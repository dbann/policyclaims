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wangmengyao/Desktop/policyclaims/concordance/"/>
    </mc:Choice>
  </mc:AlternateContent>
  <xr:revisionPtr revIDLastSave="0" documentId="13_ncr:1_{C428B422-C653-7B42-810F-BD866168BA3C}" xr6:coauthVersionLast="47" xr6:coauthVersionMax="47" xr10:uidLastSave="{00000000-0000-0000-0000-000000000000}"/>
  <bookViews>
    <workbookView xWindow="0" yWindow="780" windowWidth="27040" windowHeight="16860" xr2:uid="{69E830A9-8017-41EB-A13B-D781D2223FDA}"/>
  </bookViews>
  <sheets>
    <sheet name="in" sheetId="1" r:id="rId1"/>
    <sheet name="kappa" sheetId="2" r:id="rId2"/>
  </sheets>
  <definedNames>
    <definedName name="_xlnm._FilterDatabase" localSheetId="0" hidden="1">in!$J$1:$J$801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a="1"/>
  <c r="E3" i="2" s="1"/>
  <c r="E2" i="2"/>
  <c r="E5" i="2" s="1"/>
  <c r="D3" i="2" a="1"/>
  <c r="D3" i="2" s="1"/>
  <c r="D2" i="2"/>
  <c r="D8" i="2" s="1"/>
  <c r="C3" i="2" a="1"/>
  <c r="C3" i="2" s="1"/>
  <c r="C2" i="2"/>
  <c r="C7" i="2" s="1"/>
  <c r="R3"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90" i="1"/>
  <c r="R91" i="1"/>
  <c r="R92"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4" i="1"/>
  <c r="R5" i="1"/>
  <c r="R6" i="1"/>
  <c r="R7" i="1"/>
  <c r="R8" i="1"/>
  <c r="R9" i="1"/>
  <c r="R10" i="1"/>
  <c r="R11" i="1"/>
  <c r="R12" i="1"/>
  <c r="R13" i="1"/>
  <c r="R14" i="1"/>
  <c r="R15" i="1"/>
  <c r="R16" i="1"/>
  <c r="R17" i="1"/>
  <c r="R2" i="1"/>
  <c r="E4" i="2" l="1"/>
  <c r="D5" i="2"/>
  <c r="D6" i="2"/>
  <c r="D4" i="2"/>
  <c r="D7" i="2"/>
  <c r="E6" i="2"/>
  <c r="E7" i="2"/>
  <c r="E8" i="2"/>
  <c r="C8" i="2"/>
  <c r="C5" i="2"/>
  <c r="C6" i="2"/>
  <c r="C4" i="2"/>
  <c r="C9" i="2" l="1"/>
  <c r="C10" i="2" s="1"/>
  <c r="C11" i="2" s="1"/>
  <c r="D9" i="2"/>
  <c r="D10" i="2" s="1"/>
  <c r="D11" i="2" s="1"/>
  <c r="E9" i="2"/>
  <c r="E10" i="2" s="1"/>
  <c r="E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<sst xmlns="http://schemas.openxmlformats.org/spreadsheetml/2006/main" count="5728" uniqueCount="3792">
  <si>
    <t>scopus_id</t>
  </si>
  <si>
    <t>doi</t>
  </si>
  <si>
    <t>title</t>
  </si>
  <si>
    <t>journal</t>
  </si>
  <si>
    <t>publication_year</t>
  </si>
  <si>
    <t>keywords</t>
  </si>
  <si>
    <t>abstract</t>
  </si>
  <si>
    <t>corresponding_author_country</t>
  </si>
  <si>
    <t>cited_by_count</t>
  </si>
  <si>
    <t>policy_claim_via_terms</t>
  </si>
  <si>
    <t>DB review</t>
  </si>
  <si>
    <t>DB notes</t>
  </si>
  <si>
    <t>EC review</t>
  </si>
  <si>
    <t>EC notes</t>
  </si>
  <si>
    <t>SCOPUS_ID:78650633722</t>
  </si>
  <si>
    <t>10.1093/aje/kwq345</t>
  </si>
  <si>
    <t>Adult body size, hormone receptor status, and premenopausal breast cancer risk in a multiethnic population</t>
  </si>
  <si>
    <t>American Journal of Epidemiology</t>
  </si>
  <si>
    <t>['African Americans', 'body size', 'breast neoplasms', 'Hispanic Americans', 'premenopause', 'receptors, estrogen', 'receptors, progesterone']</t>
  </si>
  <si>
    <t>Large body size has been associated with a reduced risk of premenopausal breast cancer in non-Hispanic white women. Data on other racial/ethnic populations are limited. The authors examined the association between premenopausal breast cancer risk and adult body size in 672 cases and 808 controls aged â‰¥35 years from a population-based case-control study conducted in 1995-2004 in the San Francisco Bay Area (Hispanics: 375 cases, 483 controls; African Americans: 154 cases, 160 controls; non-Hispanic whites: 143 cases, 165 controls). Multivariate adjusted odds ratios and 95% confidence intervals were calculated using unconditional logistic regression. Height was associated with increased breast cancer risk (highest vs. lowest quartile: odds ratio = 1.77, 95% confidence interval: 1.23, 2.53; Ptrend &lt; 0.01); the association did not vary by hormone receptor status or race/ethnicity. Body mass index (measured as weight (kg) divided by height (m) squared) was inversely associated with risk in all 3 racial/ethnic groups, but only for estrogen receptor- and progesterone receptor-positive tumors (body mass index â‰¥30 vs. &lt;25: odds ratio = 0.42; 95% confidence interval: 0.29, 0.61). Other body size measures (current weight, body build, adult weight gain, young adult weight and body mass index, waist circumference, and waist-to-height ratio) were similarly inversely associated with risk of estrogen receptor- and progesterone receptor-positive breast cancer but not estrogen receptor- and progesterone receptor-negative disease. Despite racial/ethnic differences in body size, inverse associations were similar across the 3 racial/ethnic groups when stratified by hormone receptor status. Â© 2010 The Author.</t>
  </si>
  <si>
    <t>United States</t>
  </si>
  <si>
    <t>SCOPUS_ID:0032978484</t>
  </si>
  <si>
    <t>10.2105/AJPH.89.2.171</t>
  </si>
  <si>
    <t>The impact of physician bonuses, enhanced fees, and feedback on childhood immunization coverage rates</t>
  </si>
  <si>
    <t>American Journal of Public Health</t>
  </si>
  <si>
    <t>[]</t>
  </si>
  <si>
    <t>Objectives. The purpose of this study was to examine the effects on immunization coverage of 3 incentives for physicians - a cash bonus for practice-wide increases, enhanced fee for service, and feedback. Methods. Incentives were applied at 4-month intervals over 1 year among 60 inner-city office-based pediatricians. At each interval, charts of 50 randomly selected children between 3 and 35 months of age were reviewed per physician. Results. The percentage of children who were up to date for diphtheria, tetanus, and pertussis and Haemophilus influenzae type b; polio; and measles-mumps- rubella immunization in the study's bonus group improved by 25.3 percentage points (P &lt; .01). No significant changes occurred in the other groups. However, percentage of immunizations received outside the participating practice also increased significantly in the bonus group (P &lt; .0.1). Levels of missed opportunities to immunize were high in all groups and did hot change over time. Physicians' knowledge of contraindications was low. Conclusions: Bonuses sharply and rapidly increased immunization coverage in medical records. However, much of the increase was the result of better documentation. A bonus is a powerful incentive, but more structure or education may be necessary to achieve the desired results.</t>
  </si>
  <si>
    <t>marginal</t>
  </si>
  <si>
    <t>SCOPUS_ID:0032931075</t>
  </si>
  <si>
    <t>10.1093/oxfordjournals.aje.a009723</t>
  </si>
  <si>
    <t>Prospective study of diet and ovarian cancer</t>
  </si>
  <si>
    <t>['Diet', 'Nutrition', 'Ovarian neoplasms', 'Postmenopausal', 'Prospective studies', 'Risk', 'Risk factors']</t>
  </si>
  <si>
    <t>Evidence on dietary risk factors for ovarian cancer is inconsistent, but some studies have suggested positive associations with dietary fat, lactose, and cholesterol and negative associations with green and yellow vegetable intake. By using information from the Iowa Women's Health Study, the authors investigated the association of epithelial ovarian cancer with dietary factors in a prospective study of 29,083 postmenopausal women. Dietary information was ascertained via a food frequency questionnaire mailed to participants in 1986. During 10 years of follow-up (1986-1995), 139 of the women developed incident epithelial ovarian cancer. Incidence of the disease was not associated with dietary fat intake. Lactose and cholesterol showed moderately elevated risks. Multivariable-adjusted relative risks for the lowest to highest quartiles of lactose intake were 1.00, 1.38, 1.25, and 1.60 (p for trend = 0.12). For cholesterol, the corresponding values were 1.00, 1.34, 1.86, and 1.55 (p for trend = 0.06). Consumption of eggs was also associated with an increased risk of ovarian cancer. Multivariable-adjusted relative risks for increasing frequency of egg consumption were 1.00 (&lt;1/week), 1.12 (1/week), 2.04 (2-4/week), and 1.81 (&gt;4/week) (p for trend = 0.04). Total vegetable intake was modestly and inversely associated with the risk of ovarian cancer (p for trend = 0.21). Green leafy vegetable intake was more strongly associated with a decreased risk: multivariable-adjusted relative risks for the lowest to highest intake levels were 1.00, 0.80, 0.87, and 0.44 (p = 0.01). These findings are generally in agreement with the results from previous, mostly case-control studies of diet and epithelial ovarian cancer.</t>
  </si>
  <si>
    <t>SCOPUS_ID:85066260594</t>
  </si>
  <si>
    <t>10.1016/S2468-2667(19)30018-0</t>
  </si>
  <si>
    <t>Geospatial, racial, and educational variation in firearm mortality in the USA, Mexico, Brazil, and Colombia, 1990â€“2015: a comparative analysis of vital statistics data</t>
  </si>
  <si>
    <t>The Lancet Public Health</t>
  </si>
  <si>
    <t>Background: Firearm mortality is a leading, and largely avoidable, cause of death in the USA, Mexico, Brazil, and Colombia. We aimed to assess the changes over time and demographic determinants of firearm deaths in these four countries between 1990 and 2015. Methods: In this comparative analysis of firearm mortality, we examined national vital statistics data from 1990â€“2015 from four publicly available data repositories in the USA, Mexico, Brazil, and Colombia. We extracted medically-certified deaths and underlying population denominators to calculate the age-specific and sex-specific firearm deaths and the risk of firearm mortality at the national and subnational level, by education for all four countries, and by race or ethnicity for the USA and Brazil. Analyses were stratified by intent (homicide, suicide, unintentional, or undetermined). We quantified avoidable mortality for each country using the lowest number of subnational age-specific and period-specific death rates. Findings: Between 1990 and 2015, 106Â·3 million medically-certified deaths were recorded, including 2 472 000 firearm deaths, of which 851 000 occurred in the USA, 272 000 in Mexico, 855 000 in Brazil, and 494 000 in Colombia. Homicides accounted for most of the firearm deaths in Mexico (225 000 [82Â·7%]), Colombia (463 000 [93Â·8%]), and Brazil (766 000 [89Â·5%]). Suicide accounted for more than half of all firearm deaths in the USA (479 000 [56Â·3%]). In each country, firearm mortality was highest among men aged 15â€“34 years, accounting for up to half of the total risk of death in that age group. During the study period, firearm mortality risks increased in Mexico and Brazil but decreased in the USA and Colombia, with marked national and subnational geographical variation. Young men with low educational attainment were at increased risk of firearm homicide in all four countries, and in the USA and Brazil, black and brown men, respectively, were at the highest risk. The risk of firearm homicide was 14 times higher in black men in the USA aged 25â€“34 years with low educational attainment than comparably-educated white men (1Â·52% [99% CI 1Â·50â€“1Â·54] vs 0Â·11% [0Â·10â€“0Â·12]), and up to four times higher than in comparably-educated men in Brazil, Colombia, and Mexico. In the USA, the risk of firearm homicide was more than 30 times higher in black men with post-secondary education than comparably educated white men. If countries could achieve the same firearm mortality rates nationally as in their lowest-burden states, 1 777 800 firearm deaths at all ages and in both sexes could be avoided, including 1 028 000 deaths in men aged 15â€“34 years. Interpretation: Firearm mortality in the USA, Mexico, Brazil, and Colombia is highest among young adult men, and is strongly associated with race and ethnicity, and low education levels. Reductions in firearm deaths would improve life expectancy, particularly for black men in the USA, and would reduce racial and educational disparities in mortality. Funding: Canadian Institutes of Health Research and the University of Toronto Connaught Global Challenge.</t>
  </si>
  <si>
    <t>Mexico</t>
  </si>
  <si>
    <t>SCOPUS_ID:84895890934</t>
  </si>
  <si>
    <t>10.1093/aje/kwt327</t>
  </si>
  <si>
    <t>Trends in alcohol and other drugs detected in fatally injured drivers in the United States, 1999-2010</t>
  </si>
  <si>
    <t>['accidents', 'alcohol consumption', 'cannabinoids', 'drug users', 'motor vehicles', 'prescription drugs', 'safety', 'traffic']</t>
  </si>
  <si>
    <t>Drugged driving is a safety issue of increasing public concern. Using data from the Fatality Analysis Reporting System for 1999-2010, we assessed trends in alcohol and other drugs detected in drivers who were killed within 1 hour of a motor vehicle crash in 6 US states (California, Hawaii, Illinois, New Hampshire, Rhode Island, and West Virginia) that routinely performed toxicological testing on drivers involved in such crashes. Of the 23,591 drivers studied, 39.7% tested positive for alcohol and 24.8% for other drugs. During the study period, the prevalence of positive results for nonalcohol drugs rose from 16.6% in 1999 to 28.3% in 2010 (Z =-10.19, P &lt; 0.0001), whereas the prevalence of positive results for alcohol remained stable. The most commonly detected nonalcohol drug was cannabinol, the prevalence of which increased from 4.2% in 1999 to 12.2% in 2010 (Z =-13.63, P &lt; 0.0001). The increase in the prevalence of nonalcohol drugs was observed in all age groups and both sexes. These results indicate that nonalcohol drugs, particularly marijuana, are increasingly detected in fatally injured drivers. Â© 2014 The Author.</t>
  </si>
  <si>
    <t>SCOPUS_ID:84912129265</t>
  </si>
  <si>
    <t>10.1016/j.amepre.2014.08.009</t>
  </si>
  <si>
    <t>Adult vaccination disparities among foreign-born populations in the u.s., 2012</t>
  </si>
  <si>
    <t>American Journal of Preventive Medicine</t>
  </si>
  <si>
    <t>Background Foreign-born persons are considered at higher risk of undervaccination and exposure to many vaccine-preventable diseases. Information on vaccination coverage among foreign-born populations is limited.</t>
  </si>
  <si>
    <t>n/a abstract</t>
  </si>
  <si>
    <t>SCOPUS_ID:69549088896</t>
  </si>
  <si>
    <t>10.1097/EDE.0b013e3181ad5522</t>
  </si>
  <si>
    <t>Extreme high temperatures and hospital admissions for respiratory and cardiovascular diseases</t>
  </si>
  <si>
    <t>Epidemiology</t>
  </si>
  <si>
    <t>BACKGROUND: Although the association of high temperatures with mortality is well-documented, the association with morbidity has seldom been examined. We assessed the potential impact of hot weather on hospital admissions due to cardiovascular and respiratory diseases in New York City. We also explored whether the weather-disease relationship varies with socio-demographic variables. METHOD: We investigated effects of temperature and humidity on health by linking the daily cardiovascular and respiratory hospitalization counts with meteorologic conditions during summer, 1991-2004. We used daily mean temperature, mean apparent temperature, and 3-day moving average of apparent temperature as the exposure indicators. Threshold effects for health risks of meteorologic conditions were assessed by log-linear threshold models, after controlling for ozone, day of week, holidays, and long-term trend. Stratified analyses were used to evaluate temperature-demographic interactions. RESULTS: For all 3 exposure indicators, each degree C above the threshold of the temperature-health effect curve (29Â°C-36Â°C) was associated with a 2.7%-3.1% increase in same-day hospitalizations due to respiratory diseases, and an increase of 1.4%-3.6% in lagged hospitalizations due to cardiovascular diseases. These increases for respiratory admissions were greater for Hispanic persons (6.1%/Â°C) and the elderly (4.7%/Â°C). At high temperatures, admission rates increased for chronic airway obstruction, asthma, ischemic heart disease, and cardiac dysrhythmias, but decreased for hypertension and heart failure. CONCLUSIONS: Extreme high temperature appears to increase hospital admissions for cardiovascular and respiratory disorders in New York City. Elderly and Hispanic residents may be particularly vulnerable to the temperature effects on respiratory illnesses. Â© 2009 Lippincott Williams &amp; Wilkins, Inc.</t>
  </si>
  <si>
    <t>SCOPUS_ID:85088828588</t>
  </si>
  <si>
    <t>10.1007/s10654-020-00665-w</t>
  </si>
  <si>
    <t>Body mass index in young adulthood and risk of subsequent dementia at different levels of intelligence and education in Danish men</t>
  </si>
  <si>
    <t>European Journal of Epidemiology</t>
  </si>
  <si>
    <t>['Body mass index', 'Cohort study', 'Dementia', 'Intelligence']</t>
  </si>
  <si>
    <t>The risk of dementia seems to be established already early in life, which leads to the question if overweight early in life is an important risk factor for dementia as it appears to be later in life. We examined the association between body mass index (BMI) at entry to adult life and subsequent risk of dementia in men and assessed whether the relationship differed by levels of intelligence and education. The study population consisted of 377,598 Danish men born 1939â€“1959 with measures of height, weight, intelligence test score (ITS), and educational level (EL) at conscript board examinations around the age of 19Â years. Dementia outcomes were obtained from National Patient and Prescription Registries between 1969 and 2016. The association between BMI and dementia was analysed using Cox proportional hazard regression including interactions between BMI and ITS and EL, respectively. During the follow-up through age 77 years, 6144 (1.6%) developed dementia. The frequency was highest in men with lowest BMI, lowest ITS and lowest EL. Young adult BMI below the mean of 21.8Â kg/m2 was inversely associated with subsequent dementia, whereas there was no association with higher levels of BMI. Adjustment for young adult ITS and EL attenuated the risk estimates slightly, and interaction analyses showed that the shape of the association between BMI and dementia was unaffected by the levels of ITS and EL. Regardless of levels of ITS and EL, young adult BMI below the mean is inversely associated with subsequent dementia, whereas there is no association with higher levels of BMI.</t>
  </si>
  <si>
    <t>Denmark</t>
  </si>
  <si>
    <t>SCOPUS_ID:85054204629</t>
  </si>
  <si>
    <t>10.1093/aje/kwy091</t>
  </si>
  <si>
    <t>Ramadan Exposure in Utero and Child Mortality in Burkina Faso: Analysis of a Population-Based Cohort Including 41,025 Children</t>
  </si>
  <si>
    <t>['child mortality', 'difference in differences', 'population-based cohort', 'pregnancy', 'prenatal exposure delayed effects', 'Ramadan', 'sub-Saharan Africa']</t>
  </si>
  <si>
    <t>Ramadan exposure in utero can be regarded as a natural experiment with which to study how nutritional conditions in utero influence susceptibility to disease later in life. We analyzed data from rural Burkina Faso on 41,025 children born between 1993 and 2012, of whom 25,093 were born to Muslim mothers. Ramadan exposure was assigned on the basis of overlap between Ramadan dates and gestation, creating 7 exclusive categories. We used proportional hazards regression with difference-in-differences analysis to estimate the association between Ramadan exposure at different gestational ages and mortality among children under 5 years of age. Under-5 mortality was 32 deaths per 1,000 child-years. Under-5 mortality among Muslims was 15% higher than that among non-Muslims (P &lt; 0.001). In the difference-in-differences analysis, the occurrence of Ramadan during conception or the first or second trimester was associated with higher under-5 mortality rates among Muslims only. The mortality rates of children born to Muslim mothers were 33%, 29%, and 22% higher when Ramadan occurred during conception, the first trimester, and the second trimester, respectively, compared with children of non-Muslim mothers born at the same time (P = 0.01, P &lt; 0.001, and P = 0.007). Having a Muslim mother was not associated with mortality when the child was not exposed to Ramadan, born during Ramadan, or exposed during the third trimester. Observance of Ramadan during early pregnancy can have detrimental consequences for the future health of the unborn child.</t>
  </si>
  <si>
    <t>Germany</t>
  </si>
  <si>
    <t>overly bold conclusion, but not a policy claims</t>
  </si>
  <si>
    <t>SCOPUS_ID:84946734426</t>
  </si>
  <si>
    <t>10.2105/AJPH.2015.302611</t>
  </si>
  <si>
    <t>Health care disparities in the post-affordable care act era</t>
  </si>
  <si>
    <t>Disparities in health care have been targeted for elimination by federal agencies and professional organizations, including the American Public Health Association. Although the Affordable Care Act (ACA) provides a valuable first step in reducing the disparities gap, progress is contingent upon whether opportunities in the ACA help or hinder populations at risk for impaired health and limited access to medical care.</t>
  </si>
  <si>
    <t>SCOPUS_ID:45549105637</t>
  </si>
  <si>
    <t>10.2105/AJPH.2007.121137</t>
  </si>
  <si>
    <t>Prevalence of chronic diseases and multimorbidity among the elderly population in Sweden</t>
  </si>
  <si>
    <t>We explored the role of age, gender, and socioeconomic status in the occurrence of chronic diseases and multimorbidity in 1099 elderly participants in the Kungsholmen Project. Cardiovascular and mental diseases were the most common chronic disorders. Of the participants, 55% had multimorbidity. Advanced age, female gender, and lower education were independently associated with a more than 50% increased risk for multimorbidity. Multimorbidity is the most common clinical picture of the elderly and may be increased by unhealthy behaviors linked to education.</t>
  </si>
  <si>
    <t>Sweden</t>
  </si>
  <si>
    <t>SCOPUS_ID:0025121054</t>
  </si>
  <si>
    <t>10.2105/AJPH.80.9.1101</t>
  </si>
  <si>
    <t>The effects of workplace health promotion on absenteeism and employment costs in a large industrial population</t>
  </si>
  <si>
    <t>We evaluated the impact of a comprehensive workplace health promotion program on absences among full-time employees in a large, multi-location, diversified industrial company. A pretest-posttest control group design was used to study 41 intervention sites and 19 control sites with 29,315 and 14,573 hourly employees, respectively. Blue-collar employees at intervention sites experienced an 14.0 percent decline in disability days over two years versus a 5.8 percent decline at control sites. This resulted in a net difference of 11,726 fewer disability days over two years at program sites compared with non-program sites. Savings due to lower disability costs at intervention sites offset program costs in the first year, and provided a return of $2.05 for every dollar invested in the program by the end of the second year. These results suggest that comprehensive workplace health promotion programs can reduce disability days among blue collar employees and provide a good return on investiment.</t>
  </si>
  <si>
    <t>SCOPUS_ID:84875598366</t>
  </si>
  <si>
    <t>10.1093/ije/dys214</t>
  </si>
  <si>
    <t>Consistently high estimates for the proportion of human exposure to malaria vector populations occurring indoors in rural Africa</t>
  </si>
  <si>
    <t>International Journal of Epidemiology</t>
  </si>
  <si>
    <t>['Behavior', 'Exposure', 'Malaria', 'Plasmodium', 'Transmission', 'Vector']</t>
  </si>
  <si>
    <t>Background Insecticide-treated nets (ITNs) and indoor residual spraying (IRS) are highly effective tools for controlling malaria transmission in Africa because the most important vectors, from the Anopheles gambiae complex and the A. funestus group, usually prefer biting humans indoors at night. Methods Matched surveys of mosquito and human behaviour from six rural sites in Burkina Faso, Tanzania, Zambia, and Kenya, with ITN use ranging from 0.2 to 82.5, were used to calculate the proportion of human exposure to An. gambiae sensu lato and An. funestus s.l. that occurs indoors (Ï€i), as an indicator of the upper limit of personal protection that indoor vector control measures can provide. This quantity was also estimated through use of a simplified binary analysis (Ï€iB) so that the proportions of mosquitoes caught indoors (Pi), and between the first and last hours at which most people are indoors (Pfl) could also be calculated as underlying indicators of feeding by mosquitoes indoors or at night, respectively. Results The vast majority of human exposure to Anopheles bites occurred indoors (iB 0.79-1.00). Neither An. gambiae s.l. nor An. funestus s.l. strongly preferred feeding indoors (Pi 0.40-0.63 and 0.22-0.69, respectively), but they overwhelmingly preferred feeding at times when most humans were indoors (Pfl 0.78-1.00 and 0.86-1.00, respectively). Conclusions These quantitative summaries of behavioural interactions between humans and mosquitoes constitute a remarkably consistent benchmark with which future observations of vector behaviour can be compared. Longitudinal monitoring of these quantities is vital to evaluate the effectiveness of ITNs and IRS and the need for complementary measures that target vectors outdoors. Published by Oxford University Press on behalf of the International Epidemiological Association. Â© The Author 2013; all rights reserved.</t>
  </si>
  <si>
    <t>Burkina Faso</t>
  </si>
  <si>
    <t>marginal - research is called for not policy?</t>
  </si>
  <si>
    <t>SCOPUS_ID:85045210606</t>
  </si>
  <si>
    <t>10.1016/j.amepre.2018.01.008</t>
  </si>
  <si>
    <t>Changes in School Food Preparation Methods Result in Healthier Cafeteria Lunches in Elementary Schools</t>
  </si>
  <si>
    <t>Introduction: The purpose of this study is to examine the impact of a districtwide food best practices and preparation changes in elementary schools lunches, implemented as part of the LiveWell@School childhood obesity program, funded by LiveWell Colorado/Kaiser Permanente Community Health Initiative. Methods: Longitudinal study examining how school changes in best practices for food preparation impacted the types of side items offered from 2009 to 2015 in elementary school cafeterias in a high-need school district in southern Colorado. Specifically, this study examined changes in side items (fruits, vegetables, potatoes, breads, and desserts). In Phase 1 (2009â€“2010), baseline data were collected. During Phase 2 (2010â€“2011), breaded and processed foods (e.g., frozen nuggets, pre-packaged pizza) were removed and school chefs were trained on scratch cooking methods. Phase 3 (2011â€“2012) saw an increased use of fresh/frozen fruits and vegetables after a new commodity order. During Phase 4 (2013â€“2015), chef consulting and training took place. The frequency of side offerings was tracked across phases. Analyses were completed in Fall 2016. Because of limited sample sizes, data from Phases 2 to 4 (intervention phases) were combined for potatoes and desserts. Descriptive statistics were calculated. After adjusting for length of time for each phase, Pearson chi-square tests were conducted to examine changes in offerings of side items by phase. Results: Fresh fruit offerings increased and canned fruit decreased in Phases 1â€“4 (p=0.001). A significant difference was observed for vegetables (p=0.001), with raw and steamed vegetables increasing and canned vegetables decreasing from Phase 1 to 4. Fresh potatoes (low in sodium) increased and fried potatoes (high in sodium) decreased from Phase 1 to Phases 2â€“4 (p=0.001). Breads were eliminated entirely in Phase 2, and dessert changes were not significant (p=0.927). Conclusions: This approach to promoting healthier lunch sides is a promising paradigm for improving elementary cafeteria food offerings. Supplement information: This article is part of a supplement entitled Building Thriving Communities Through Comprehensive Community Health Initiatives, which is sponsored by Kaiser Permanente, Community Health.</t>
  </si>
  <si>
    <t>SCOPUS_ID:0031194498</t>
  </si>
  <si>
    <t>10.1006/pmed.1997.0151</t>
  </si>
  <si>
    <t>Epidemiology of low total plasma cholesterol concentration among young adults: The CARDIA study</t>
  </si>
  <si>
    <t>Preventive Medicine</t>
  </si>
  <si>
    <t>['Cholesterol', 'Risk factors', 'Young adults']</t>
  </si>
  <si>
    <t>Background. Data on stability of plasma total cholesterol levels and its determinants among young adults are lacking. Knowledge of factors associated with low levels of plasma total cholesterol during young adulthood may help clarify the nature of associations between hypocholesterolemia and health or illness. Methods. Tracking of plasma total cholesterol was investigated using data from the baseline (1985-1986), Year 5 (1990-1991), and Year 7 (1992- 1993) examinations of the Coronary Artery Risk Development in Young Adults Study. Lifestyle (including dietary), physiological, medical, and psychological correlates of plasma total cholesterol were examined cross- sectionally at baseline using ANCOVA and multivariate logistic regression. The attributes of participants with persistently low plasma total cholesterol level after 7 years (i.e., remaining below the 10th percentile of sex- and race-specific distributions) were also examined. Results. The cohort in this analysis comprised 720 black men, 922 white men, 899 black women, and 944 white women who were between the ages of 18 and 30 years at baseline. Between 44 and 52% of those with plasma total cholesterol levels below the 10th percentile remained below the same percentile 7 years later. Among black men, a difference of 1 SD in age [3.7 years; odds ratio (OR) = 0.69; 95% CI = 0.52-0.91] and a difference of 1 SD in systolic blood pressure (10.5 mm Hg; OR = 0.73; 95% CI = 0.54-0.97) were independently associated with lower odds, respectively, of being in the lowest 10th percentile of the plasma total cholesterol distribution. Also among black men, current smoking and more calories from carbohydrates were associated with nonsignificantly higher odds of low total cholesterol level. Among white men, a 1 SD older age (3.4 years; OR = 0.78; 95% CI = 0.61-1.00) and a 1 SD higher physical fitness (118 see; OR = 1.41; 95% CI = 1.09-1.82) predicted lower and higher odds, respectively, of low plasma total cholesterol. Among black women, a 1 SD difference in albumin (0.3 g/dL; OR = 0.80; 95% CI = 0.63-1.03) was related to lower odds of low plasma total cholesterol. Among white women, the factors independently associated with low plasma total cholesterol were body mass index (OR for a difference in 4.0 kg/m2 = 0.73; 95% CI = 0.54-1.00) and Î³-glutamyl transferase (OR for an increase in 9.6 IU/L = 0.41; 95% CI = 0.18-0.93). The independent predictive factors of stably low total cholesterol levels were age and uric acid among black men (both inversely related) and age, Framingham Type A Behavior (inversely), and calories from carbohydrates (positively related) among white men. Conclusion: Young adults with low plasma total cholesterol level have characteristics generally associated with good cardiovascular health. However, adverse attributes such as current cigarette smoking (notably among black men) may confound future associations between low total cholesterol and disease.</t>
  </si>
  <si>
    <t>SCOPUS_ID:0029924623</t>
  </si>
  <si>
    <t>10.1097/00001648-199605000-00011</t>
  </si>
  <si>
    <t>Silica and aluminum in drinking water and cognitive impairment in the elderly</t>
  </si>
  <si>
    <t>['aluminum', "Alzheimer's disease", 'cognitive impairment', 'dementia', 'drinking water', 'elderly', 'silicon']</t>
  </si>
  <si>
    <t>We studied the relation between silica and aluminum levels in drinking water and the risk of cognitive impairment using data from a population- based survey of 3,777 French subjects age 65 years and older. We also studied the effect of pH and the concentrations of calcium, magnesium, fluorine, zinc, copper, and iron. We used a mixed effects logistic regression adjusting for age, sex, educational level, and occupation of the subjects. We confirmed the inverse relation previously found between calcium level and cognitive impairment. We found no important association between cognitive impairment and fluorine, magnesium, iron, copper, or zinc. The association between cognitive impairment and aluminum depended on the pH and the concentration of silica: high levels of aluminum appeared to have a deleterious effect when the silica concentration was low, but there was a protective effect when the pH and the silica level were high. The threshold for an aluminum effect, however, was very low (3.5 Î¼g per liter) and did not support the hypothesis of a deleterious effect for only high levels of aluminum.</t>
  </si>
  <si>
    <t>France</t>
  </si>
  <si>
    <t>SCOPUS_ID:85102828933</t>
  </si>
  <si>
    <t>10.1016/j.ypmed.2021.106507</t>
  </si>
  <si>
    <t>Associations between indicators of energy intake and expenditure with excess weight and obesity among women in sedentary and less-sedentary jobs</t>
  </si>
  <si>
    <t>['Dietary questionnaire for epidemiological studies', 'Energy balance', 'Obesity', 'Physical activity', 'Saturated fat', 'Sedentary work', 'Sugar sweetened beverages']</t>
  </si>
  <si>
    <t>The aim of this study was to compare the associations between indicators of energy intake and expenditure with excess weight and obesity in women who work full-time in sedentary and less sedentary jobs. Data were from 3444 participants the Australian Longitudinal Study on Women's Health, who reported their weight, dietary intake, physical activity and occupation in 2009 (baseline), and weight in 2012 (follow-up). Participants were categorised as being in a â€˜less sedentaryâ€™ or â€˜sedentaryâ€™ job, based on occupational activity patterns. Odds of excess weight (BMI â‰¥ 25) at baseline and of being obese (BMI â‰¥ 30) at follow-up, by indicators of energy intake and expenditure, were compared in the two occupational groups. In multivariate analyses, high non-work sitting time and saturated fat intake were associated with increased odds of obesity at 3-year follow-up in both occupational groups. In the sedentary job group, high physical activity (in leisure and transport) was associated with a 51% reduction in odds of obesity (OR 0.49, 95%CI 0.25â€“0.97). In the less-sedentary job group, energy intake and high soft drink consumption were associated with markedly increased odds of obesity (OR 1.67 95%CI 1.07â€“2.61; OR 2.08 95%CI1.42â€“3.05, respectively). In this cohort of young Australian women, sedentariness at work did not markedly affect the prevalence of excess weight or obesity. Indicators of high energy intake and low energy expenditure were associated with increased odds of both excess weight and obesity, regardless of sedentariness of occupational group.</t>
  </si>
  <si>
    <t>Australia</t>
  </si>
  <si>
    <t>SCOPUS_ID:0141997855</t>
  </si>
  <si>
    <t>10.1093/aje/kwg218</t>
  </si>
  <si>
    <t>Differences in body shape representations among young adults from a biracial (Black-White), semirural community: The Bogalusa Heart Study</t>
  </si>
  <si>
    <t>['Blacks', 'Body image', 'Body mass index', 'Body weight', 'Perception', 'Psychology', 'Whites']</t>
  </si>
  <si>
    <t>In this study, the authors examined body image perception and body mass index (weight (kg)/height (m)2) among race-gender groups in a biracial (Black-White) population of young adults in Bogalusa, Louisiana. A mail-out survey was completed in 1994 by 3,698 (65%) participants aged 18.5-35 years in the Bogalusa Heart Study (mean age = 27.6 years). As part of the survey, body image perception was determined in terms of body shape representation from a figure rating scale. A body image discrepancy score was calculated from the difference between z-standardized values of body image perception and body mass index. A stepwise proportional odds model including the covariates income, employment, education, and physical activity was used to identify factors influencing lower perception of body shape. Mean body mass index was highest among Black females (p &lt; 0.001). The odds of having a lower perception of body shape (vs. body mass index) were 1.72 times higher in Blacks (p &lt; 0.001), 0.80 times lower in persons who were currently employed (p &lt; 0.001), and 0.86 times lower in persons with a higher education (p = 0.032). Gender, income, and physical activity were not found to be significant predictors of body image perception (p &gt; 0.05). The authors conclude that significant differences exist within racial groups concerning body image perception in relation to overweight status among young adults. This has implications for prevention and education programs.</t>
  </si>
  <si>
    <t>"This has implications" - marginal, but still…</t>
  </si>
  <si>
    <t>SCOPUS_ID:85195147269</t>
  </si>
  <si>
    <t>10.1007/s10654-024-01134-4</t>
  </si>
  <si>
    <t>Trends in incidence and mortality of early-onset cancer in Germany between 1999 and 2019</t>
  </si>
  <si>
    <t>['Cancer', 'Germany', 'Incidence', 'Mortality']</t>
  </si>
  <si>
    <t>Evidence on the recent temporal trend in the incidence and mortality of early-onset cancer, i.e., cancer diagnosed at ages of &lt; 50 years, in Germany is scarce. To estimate the temporal trend in the incidence and mortality of early-onset cancer in Germany between 1999 and 2019. Input data were obtained from the Centre for Cancer Registry Data (Zentrum fÃ¼r Krebsregisterdaten, ZfKD). The analysis comprised all ages until 50 years and all types of cancer classified by the International Classification of Diseases (ICD-10)-codes C00-C97 (excl. C44). Temporal trends were estimated using negative binomial regression, differentiated by sex and cancer type. Between 1999 and 2019 in Germany, we observed stable or slightly increasing trends (0% and 1%) in the incidence of all early-onset cancers combined (C00-C97) for men and women, respectively, and strict declines in the mortality for both, men and women (-2% and âˆ’ 3%). However, the trends differ largely with respect to sex and the individual cancer types. Early-onset cancer should be closely monitored to see whether stable and decreasing trends in the incidence and mortality continue. Knowing that despite decreasing incidence, the prevalence of a disease can rise due to their interplay with mortality, we recommend to maintain precise surveillance, efforts in prevention and early detection, as well as appropriate investments into healthcare resources, research and development.</t>
  </si>
  <si>
    <t>SCOPUS_ID:0037209068</t>
  </si>
  <si>
    <t>10.1097/00001648-200301000-00009</t>
  </si>
  <si>
    <t>The effect of concurvity in generalized additive models linking mortality to ambient particulate matter</t>
  </si>
  <si>
    <t>['Air pollution', 'Concurvity', 'Generalized additive model', 'PM 10', 'PM 2.5', 'Sulfate particles']</t>
  </si>
  <si>
    <t>In recent years, a number of studies have applied generalized additive models to time series data to estimate associations between exposure to air pollution and cardiorespiratory morbidity and mortality. If concurvity, the nonparametric analogue of multicollinearity, is present in the data, statistical software such as S-plus can seriously underestimate the variance of fitted model parameters, leading to significance tests with inflated type 1 error. This paper uses computer simulation and analyses of actual epidemiologic data to explore this underestimation of standard errors. We provide a method for assessing concurvity in data and an alternate class of models that is unaffected by concurvity. We argue that some degree of concurvity is likely to be present in all epidemiologic time series datasets and we explore through the use of meta-analysis the possible impact of concurvity on the existing body of work relating ambient levels of sulfate particles to mortality. Copyright Â© 2002 by Lippincott Williams &amp; Wilkins, Inc.</t>
  </si>
  <si>
    <t>Canada</t>
  </si>
  <si>
    <t>SCOPUS_ID:85097113376</t>
  </si>
  <si>
    <t>10.1093/aje/kwaa139</t>
  </si>
  <si>
    <t>Incidence Correction Factors for Moderate and Severe Acute Child Malnutrition from 2 Longitudinal Cohorts in Mali and Burkina Faso</t>
  </si>
  <si>
    <t>['burden of acute malnutrition', 'child acute malnutrition', 'cumulative incidence', 'incidence correction factor K', 'longitudinal data', 'moderate acute malnutrition', 'prevalence', 'severe acute malnutrition']</t>
  </si>
  <si>
    <t>Child acute malnutrition (AM) is an important cause of child mortality. Accurately estimating its burden requires cumulative incidence data from longitudinal studies, which are rarely available in low-income settings. In the absence of such data, the AM burden is approximated using prevalence estimates from cross-sectional surveys and the incidence correction factor $K$, obtained from the few available cohorts that measured AM. We estimated $K$ factors for severe acute malnutrition (SAM) and moderate acute malnutrition (MAM) from AM incidence and prevalence using representative cross-sectional baseline and longitudinal data from 2 cluster-randomized controlled trials (Innovative Approaches for the Prevention of Childhood Malnutrition-PROMIS) conducted between 2014 and 2017 in Burkina Faso and Mali. We compared K estimates using complete (weight-for-length z score, mid-upper arm circumference (MUAC), and edema) and partial (MUAC, edema) definitions of SAM and MAM. $K$ estimates for SAM were 9.4 and 5.7 in Burkina Faso and in Mali, respectively; K estimates for MAM were 4.7 in Burkina Faso and 5.1 in Mali. The MUAC and edema-based definition of AM did not lead to different $K$ estimates. Our results suggest that $K$ can be reliably estimated when only MUAC and edema-based data are available. Additional studies, however, are required to confirm this finding in different settings.</t>
  </si>
  <si>
    <t>SCOPUS_ID:70249102791</t>
  </si>
  <si>
    <t>10.1093/aje/kwp179</t>
  </si>
  <si>
    <t>Determinants of first puff and daily cigarette smoking in adolescents</t>
  </si>
  <si>
    <t>['Adolescent', 'Epidemiologic factors', 'Incidence', 'Longitudinal studies', 'Risk factors', 'Smoking']</t>
  </si>
  <si>
    <t>Few prospective studies of smoking initiation have investigated a wide range of time-varying and invariant predictor variables at the individual and contextual levels concurrently. In this study (1999-2005), 877 Canadian students (mean age=12.7 years) who had never smoked at baseline completed self-report questionnaires on cigarette smoking and 32 predictor variables in 20 survey cycles during secondary school. Height and weight were measured in survey cycles 1, 12, and 19. School administrators completed questionnaires on school tobacco control policies/activities, and trained observers collected data on access to tobacco products in commercial establishments near schools. Younger age, single-parent family status, smoking by parents, siblings, friends, and school staff, stress, impulsivity, lower self-esteem, feeling a need to smoke, not doing well at school, susceptibility to tobacco advertising, alcohol use, use of other tobacco products, and attending a smoking-tolerant school were independent determinants of smoking initiation. Independent determinants of daily smoking onset among initiators of nondaily smoking included smoking by siblings and friends, feeling a need to smoke, susceptibility to tobacco advertising, use of other tobacco products, and self-perceived mental and physical addiction. Adolescent tobacco control programs should address multiple individual and contextual-level risk factors. Strategies that address nicotine dependence symptoms are also needed for adolescents who have already initiated smoking.</t>
  </si>
  <si>
    <t>clear</t>
  </si>
  <si>
    <t>SCOPUS_ID:0031689886</t>
  </si>
  <si>
    <t>10.1016/S0749-3797(98)00049-X</t>
  </si>
  <si>
    <t>Costs of maternal conditions attributable to smoking during pregnancy</t>
  </si>
  <si>
    <t>['Cost', 'Economics', 'Health behavior', 'Health care costs', 'Pregnancy', 'Smoking', 'Surveys']</t>
  </si>
  <si>
    <t>Context: Despite known adverse health effects, many women continue to smoke during pregnancy. Public attention has now focused on the economic as well as health effects of this behavior. Objective: To estimate health care costs associated with smoking-attributable cases of placenta previa, abruptio placenta, ectopic pregnancy, preterm premature rupture of the membrane (PPROM), pre-eclampsia, and spontaneous abortion. Design: Pooled odds ratios were used with data on total cases to estimate smoking-attributable cases. Estimated average costs for cases of ectopic pregnancy and spontaneous abortion were used to estimate smoking-attributable health care costs for these conditions. Incremental costs, or costs above those for a 'normal' delivery, were used to estimate smoking-attributable costs of placenta previa, abruptio placenta, PPROM, and pre- eclampsia associated with delivery. Setting: National estimates for 1993. Participants: Data from the National Hospital Discharge Survey (NHDS) and claims data from a sample of large, self-insured employers across the country. Results: Smoking- attributable costs ranged from $1.3 million for PPROM to $86 million for ectopic pregnancy. Smoking during pregnancy apparently protects against pre- eclampsia and saves between $36 and $49 million, depending on smoking prevalence. Over all conditions smoking-attributable costs ranged from $135 to $167 million. Conclusions: Smoking during pregnancy is a preventable cause of higher health care costs for the conditions studied. While smoking during pregnancy was found to be protective against pre-eclampsia and, hence, saves costs, the net costs were still positive and significant, Effective smoking- cessation programs can reduce health care costs but clinicians will perhaps need to manage increased cases of pre-eclampsia in a cost-effective manner.</t>
  </si>
  <si>
    <t>SCOPUS_ID:85149642428</t>
  </si>
  <si>
    <t>10.2105/AJPH.2022.307207</t>
  </si>
  <si>
    <t>Housing Instability and Evictions Linked to Elevated Intimate Partner and Workplace Violence Among Women Sex Workers in Vancouver, Canada: Findings of a Prospective, Community-Based Cohort, 2010-2019</t>
  </si>
  <si>
    <t>Objectives. To model the relationship of unstable housing and evictions with physical and sexual violence perpetrated against women sex workers in intimate and workplace settings. Methods. We used bivariate and multivariable logistic regression with generalized estimating equations to model the association of unstable housing exposure and evictions with intimate partner violence (IPV) and workplace violence among a community-based longitudinal cohort of cisgender and transgender women sex workers in Vancouver, Canada, from 2010 through 2019. Results. Of 946 women, 85.9% experienced unstable housing, 11.1% eviction, 26.2% IPV, and 31.8% workplace violence. In multivariable generalized estimating equation models, recent exposure to unstable housing (adjusted odds ratio [AOR]52.04; 95% confidence interval [CI]51.45, 2.87) and evictions (AOR52.45; 95% CI50.99, 6.07) were associated with IPV, and exposure to unstable housing was associated with workplace violence (AOR51.46; 95% CI51.06, 2.00). Conclusions. Women sex workers face a high burden of unstable housing and evictions, which are linked to increased odds of intimate partner and workplace violence. Increased access to safe, womencentered, and nondiscriminatory housing is urgently needed.</t>
  </si>
  <si>
    <t>SCOPUS_ID:0028286476</t>
  </si>
  <si>
    <t>10.1136/jech.48.3.313</t>
  </si>
  <si>
    <t>Estimating confidence limits on a standardised mortality ratio when the expected number is not error free</t>
  </si>
  <si>
    <t>Journal of Epidemiology &amp; Community Health</t>
  </si>
  <si>
    <t>Objective - The aim was to demonstrate how the beta distribution may be used to find confidence limits on a standardised mortality ratio (SMR) when the expected number of events is subject to random variation and to compare these limits with those obtained with the standard exact approach used for SMRs and with a Fieller-based confidence interval. Design - The relationship of the binomial and the beta distributions is explained. For cohort studies in which deaths are counted in exposed and unexposed groups exact confidence limits on the relative risk are found conditional on the total number of observed deaths. A similar method for the SMR is justified by analogy between the SMR and the relative risk found from such cohort studies, and the fact that the relevant (beta) distribution does not require integer parameters. Source of data - Illustrative examples of hypothetical data were used, together with a MINITAB macro to perform the calculations. Main results - Exact confidence intervals that include error in the expected number are much wider than those found with the standard exact method. Fieller intervals are comparable with the new exact method provided the observed and expected numbers (taken to be means of Poisson variates) are large enough to approximate normality. As the expected number is increased, the standard method gives results closer to the new method, but may still lead to different conclusions even with as many as 100 expected. Conclusions - If there is reason to suppose the expected number of deaths in an SMR is subject to sampling error (because of imprecisely estimated rates in the standard population) then exact confidence limits should be found by the methods described here, or approximate Fieller-based limits provided enough events are observed and expected to approximate normality.</t>
  </si>
  <si>
    <t>United Kingdom</t>
  </si>
  <si>
    <t>clear LLM mistake?</t>
  </si>
  <si>
    <t>SCOPUS_ID:0028784286</t>
  </si>
  <si>
    <t>10.1093/oxfordjournals.aje.a117747</t>
  </si>
  <si>
    <t>Preschool physical activity level and change in body fatness in young children: The framingham children's study</t>
  </si>
  <si>
    <t>['Child', 'Exercise', 'Obesity', 'Prospective studies', 'Skinfold thickness']</t>
  </si>
  <si>
    <t>This study examined the effect of preschool physical activity on the change in body fatness from preschool to first grade. The Framingham Children's Study, a longitudinal study of childhood cardiovascular risk behaviors, began in 1987 with the enrollment of 106 children aged 3-5 years and their parents. The present analyses include 97 healthy children with complete data from study entry into first grade. Physical activity was assessed twice yearly for 5 days with an electronic motion sensor. The authors estimated change in the child's level of body fat from preschool to first grade by using the slopes of triceps and subscapular skinfolds and body mass index. On average, active girls (i.e., those with above-median activity levels) gained 1.0 mm in their triceps skinfolds from baseline to first grade, while inactive girls gained 1.75 mm. Active boys lost an average of 0.75 mm in their triceps, while inactive boys gained 0.25 mm. When age, television viewing, energy intake, baseline triceps, and parents' body mass indices were controlled for, inactive preschoolers were 3.8 (95% confidence interval 1.4-10.6) times as likely as active preschoolers to have an increasing triceps slope during follow up (rather than a stable or decreasing slope). This relative risk estimate was slightly higher for children with more body fat at baseline. In this study, preschool-aged children with low levels of physical activity gained substantially more subcutaneous fat than did more active children. Â© 1995 Copyright 1995 by The Johns Hopkins University School of Hygiene and Public Health.</t>
  </si>
  <si>
    <t>SCOPUS_ID:85123459610</t>
  </si>
  <si>
    <t>10.1093/ije/dyab095</t>
  </si>
  <si>
    <t>Maternal smoking and smokeless tobacco use during pregnancy and offspring development: Sibling analysis in an intergenerational Swedish cohort</t>
  </si>
  <si>
    <t>['confounding', 'fetal growth restriction', 'Intellectual disability', 'maternal prenatal smoking', 'siblings', 'snus']</t>
  </si>
  <si>
    <t>Background: The association between maternal smoking in pregnancy and offspring intellectual disability (ID) is less well understood than that of smoking and fetal growth restriction. As fetal growth and cognitive development may share similar confounding structures, comparison of the two associations may improve understanding of the causal nature of the association with ID. Furthermore, comparisons of smoking with smokeless tobacco use may aid identification of mechanisms of action. Methods: This was a cohort study of all Swedish births between 1999 and 2012 (n = 1 070 013), with prospectively recorded data. We assessed the association between maternal smoking during pregnancy and offspring outcomes ID and born small for gestational age (SGA). Analyses were repeated for snus use in pregnancy. Using a sibling design, we estimated within-family effects that control for shared sibling characteristics. Results: Those exposed to maternal smoking in pregnancy had increased odds of ID [odds ratio (OR) = 1.24, 95% confidence interval (CI): 1.16-1.33] and SGA (OR = 2.19, 95% CI: 2.11-2.27) after confounder adjustment. Within-family effects were found for SGA (OR = 1.44, 95% CI: 1.27-1.63) but not ID (OR = 0.92, 95% CI: 0.74-1.14). For snus use, the results for ID were similar to smoking. We found increased odds of offspring SGA among mothers who used snus in pregnancy in sensitivity analyses but not in primary analyses. Conclusions: Our findings are consistent with a causal effect of maternal smoking in pregnancy on risk of offspring born SGA but not on risk of ID. We found no evidence for a causal effect of snus use in pregnancy on ID and inconclusive evidence for SGA.</t>
  </si>
  <si>
    <t>SCOPUS_ID:0028997640</t>
  </si>
  <si>
    <t>10.2105/AJPH.85.6.854</t>
  </si>
  <si>
    <t>A preventive child health program: The effect of telephone and home visits by public health nurses</t>
  </si>
  <si>
    <t>A randomized trial was conducted to determine if a public health nursing intervention consisting of telephone contacts or home visits affected the receipt of preventive health services by children eligible for the Early Periodic Screening, Diagnosis, and Treatment program. Each nursing intervention was applied using a protocol, and outcome data for 1654 case subjects were obtained from state-paid provider claims. However, the trial revealed no statistically significant differences between the study groups, nor was ethnicity a significant factor. Methodological and study context issues were identified that may have affected the results, the generalization of which is limited by the strict selection of cases.</t>
  </si>
  <si>
    <t>SCOPUS_ID:78650909890</t>
  </si>
  <si>
    <t>10.2105/AJPH.2009.182287</t>
  </si>
  <si>
    <t>Potential national and state medical care savings from primary disease prevention</t>
  </si>
  <si>
    <t>Objectives: We estimated national and state-level potential medical care cost savings achievable through modest reductions in the prevalence of several diseases associated with the same lifestyle-related risk factors. Methods: Using Medical Expenditure Panel Survey Household Component data (2003-2005), we estimated the effects on medical spending over time of reductions in the prevalence of diabetes, hypertension, and related conditions amenable to primary prevention by comparing simulated counterfactual morbidity and medical care expenditures to actual disease and expenditure patterns. We produced state-level estimates of spending by using multivariate reweighting techniques. Results. Nationally, we estimated that reducing diabetes and hypertension prevalence by 5% would save approximately $9 billion annually in the near term. With resulting reductions in comorbidities and selected related conditions, savings could rise to approximately $24.7 billion annually in the medium term. Returns were greatest in absolute terms for private payers, but greatest in percentage terms for public payers. State savings varied with demographic makeup and prevailing morbidity. Conclusions. Well-designed interventions that achieve improvements in lifestyle-related risk factors could result in sufficient savings in the short and medium term to substantially offset intervention costs.</t>
  </si>
  <si>
    <t>SCOPUS_ID:0026733346</t>
  </si>
  <si>
    <t>10.1093/oxfordjournals.aje.a116486</t>
  </si>
  <si>
    <t>Childhood weight and growth rate as predictors of adult mortality</t>
  </si>
  <si>
    <t>['Anthropometry', 'Body height', 'Body weight', 'Child', 'Growth', 'Mortality']</t>
  </si>
  <si>
    <t>The effect of rate of growth and relative weight in childhood on adult mortality was studied among 13,146 persons whose weights and heights were measured between the ages of 5 and 18 years in Hagerstown, Maryland, during the period 1933-1945. Relative weight was defined internally, age- and sex-specific Z-scores for height and weight were calculated using national standards, and height and weight velocities were measured as annual increments. Associations between growth parameters (pre- and postpubertal) and mortality through 1985 were investigated in subjects who matched the 1963 and 1975 private health censuses of Washington County, Maryland, using a nested case-control design. Odds ratios of mortality increased linearly with prepubertal relative weight (p &lt; 0.05 for both sexes combined) and with postpubertal relative weight in females (p &lt; 0.01). The associations between growth velocities or attained height with mortality tended to be inverse, although not statistically significant. These results are compatible with the existence of positive associations of overweight in school-age children with long-term mortality and seem to allay fears that harm could come from increased growth rates in childhood. Without jeopardizing growth, the avoidance of overweight in childhood might reduce mortality in middle age. Am J Epidemiol1992;136:201-13. Â© 1992 by The Johns Hopkins University School of Hypiene and Public Health.</t>
  </si>
  <si>
    <t>SCOPUS_ID:0041509097</t>
  </si>
  <si>
    <t>10.1093/aje/kwg150</t>
  </si>
  <si>
    <t>Searching for disease-susceptibility loci by testing for Hardy-Weinberg disequilibrium in a gene bank of affected individuals</t>
  </si>
  <si>
    <t>['Disease susceptibility', 'Epidemiologic methods', 'Gene library', 'Genetics', 'Genome', 'Hardy-Weinberg equilibrium', 'Monte Carlo method', 'Polymorphism, single nucleotide']</t>
  </si>
  <si>
    <t>The future of genetic studies of complex human diseases will rely more and more on the epidemiologic association paradigm. The author proposes to scan the genome for disease-susceptibility gene(s) by testing for deviation from Hardy-Weinberg equilibrium in a gene bank of affected individuals. A power formula is presented, which Is very accurate as revealed by Monte Carlo simulations. If the disease-susceptibility gene is recessive with an allele frequency of â‰¤0.5 or dominant with an allele frequency of â‰¥0.5, the number of subjects needed by the present method is smaller than that needed by using a case-parents design (using either the transmission/disequilibrium test or the 2-df likelihood ratio test). However, the method cannot detect genes with a multiplicative mode of inheritance, and the validity of the method relies on the assumption that the source population from which the cases arise is in Hardy-Weinberg equilibrium. Thus, it is prone to produce false positive and false negative results. Nevertheless, the method enables rapid gene hunting in an existing gene bank of affected individuals with no extra effort beyond simple calculations.</t>
  </si>
  <si>
    <t>Taiwan</t>
  </si>
  <si>
    <t>SCOPUS_ID:34247537778</t>
  </si>
  <si>
    <t>10.1093/ije/dyl267</t>
  </si>
  <si>
    <t>Are socially disadvantaged neighbourhoods deprived of health-related community resources?</t>
  </si>
  <si>
    <t>['Community resources', 'Context', 'Health inequality', 'Neighbourhoods', 'New Zealand']</t>
  </si>
  <si>
    <t>Background: Recent work in a number of countries has identified growing geographical inequalities in health between deprived and non-deprived neighbourhoods. The health gaps observed cannot be entirely explained by differences in the characteristics of individuals living in those neighbourhoods, which has led to a concerted international public health research effort to determine what contextual features of neighbourhoods matter. This article reports on access to potentially health-promoting community resources across all neighbourhoods in New Zealand. Prevailing international opinion is that access to community resources is worse in deprived neighbourhoods. Methods: Geographical Information Systems were used to calculate geographical access to 16 types of community resources (including recreational amenities, and shopping, educational and health facilities) in 38-350 small census areas across the country. The distribution of these access measures by neighbourhood socioeconomic deprivation was determined. Results: For 15 out of 16 measures of community resources, access was clearly better in more deprived neighbourhoods. For example, the travel time to large supermarkets was âˆ¼80% greater in the least deprived quintile of neighbourhoods compared with the most deprived quintile. Conclusions: These results challenge the widely held, but largely untested, view that areas of high social disadvantage have poorer access to community resources. Poor locational access to community resources among deprived neighbourhoods in New Zealand does not appear to be an explanation of poorer health in these neighbourhoods. If anything, a pro-equity distribution of community resources may be preventing even wider disparities in neighbourhood inequalities in health. Â© The Author 2006; all rights reserved.</t>
  </si>
  <si>
    <t>New Zealand</t>
  </si>
  <si>
    <t>SCOPUS_ID:33750628586</t>
  </si>
  <si>
    <t>10.1136/jech.2005.043182</t>
  </si>
  <si>
    <t>Validity of age at menarche self-reported in adulthood</t>
  </si>
  <si>
    <t>Objective: To test the validity of age at menarche self-reported in adulthood and examine whether socioeconomic position, education, experience of gynaecological events and psychological symptoms influence the accuracy of recall. Design: Prospective birth cohort study. Setting: England, Scotland and Wales. Participants: 1050 women from the Medical Research Council National Survey of Health and Development, with two measures of age at menarche, one recorded in adolescence and the other self-reported at age 48 years. Results: By calculating the limits of agreement, Îº statistic and Pearson's correlation coefficients (r), we found that the validity of age at menarche self-reported in middle age compared with that recorded in adolescence was moderate (Îº = 0.35, r = 0.66, n = 1050). Validity was improved by categorising age at menarche into three groups: early, normal and late (Îº = 0.43). Agreement was influenced by educational level and having had a stillbirth or miscarriage. Conclusions: The level of validity shown in this study throws some doubt on whether it is justifiable to use age at menarche self-reported in middle age. It is likely to introduce error and bias, and researchers should be aware of these limitations and use such measures with caution.</t>
  </si>
  <si>
    <t>SCOPUS_ID:0344117621</t>
  </si>
  <si>
    <t>10.1093/eurpub/9.3.181</t>
  </si>
  <si>
    <t>Physician recommendations for coronary revascularization: Variations by clinical speciality</t>
  </si>
  <si>
    <t>European Journal of Public Health</t>
  </si>
  <si>
    <t>['Appropriateness', 'Coronary artery bypass graft surgery', 'Percutaneous transluminal coronary angioplasty']</t>
  </si>
  <si>
    <t>Background: Studies have shown that clinical speciality has a strong influence on appropriateness ratings. We examined the effect of clinical speciality on physician recommendations for the performance of coronary artery bypass graft surgery (CABG) and percutaneous transluminal coronary angioplasty (PTCA) in Spain. Methods: Following the RAND appropriateness method, a 10-member multispeciality panel composed of cardiovascular surgeons (CVs), interventional cardiologists (ICs), and non-interventional cardiologists (NICs) rated the appropriateness of 1826 hypothetical indications: 936 for coronary revascularization and 890 for preference between PTCA and CABG. For all revascularization indications and for all PTCA-CABG indications for which revascularization was rated appropriate by the panel, we calculated the mean appropriateness rating, by panellist and by speciality group, and the proportion of indications rated with preference for PTCA, with preference for CABG, and with no preference, by speciality group. Results: The ICs had a higher mean rating across all revascularization indications (7.8) than either the NICs (5.7) or the CVs (5.9). For the 509 indications rated appropriate for revascularization by the panel, the ICs preferred PTCA in 54% of indications, versus 39% for the NICs and 25% for the CVs. The CVs preferred CABG in 58% of indications, versus 32% for the NICs and 20% for the ICs. Conclusions: Appropriateness ratings varied by clinical speciality. Physicians who perform a procedure may be more aggressive in recommending its use than non-performers. Appropriateness panels should be multidisciplinary to accurately reflect the judgements of the different types of physicians involved in patient care.</t>
  </si>
  <si>
    <t>hard to call</t>
  </si>
  <si>
    <t>SCOPUS_ID:0034541277</t>
  </si>
  <si>
    <t>10.1093/aje/152.11.1072</t>
  </si>
  <si>
    <t>Validation of three food frequency questionnaires and 24-hour recalls with serum carotenoid levels in a sample of African-American adults</t>
  </si>
  <si>
    <t>['Antioxidants', 'Biological markers', 'Carotenoids', 'Diet surveys', 'Fruits', 'Questionnaires', 'Recall', 'Vegetables']</t>
  </si>
  <si>
    <t>The validity of self-reported fruit and vegetable intake in minority populations has not been adequately established. In this study, the authors examined the association of three food frequency questionnaires (FFQs) and 24-hour dietary recalls with serum carotenoid levels. Approximately 1,000 African-American adults recruited from 15 churches in Atlanta, Georgia (1997-1998) completed three fruit and vegetable FFQs: a seven-item instrument assessing intake during the past month; a two-item measure assessing usual intake; and a 36-item measure adapted from the Health Habits and History Questionnaire. A total of 414 participants received a 24-hour recall by telephone, and 105 of them received two additional recalls. Serum levels of lycopene, lutein, cryptoxanthin, Î±-carotene, and Î²-carotene were assessed in 813 participants and used as the validity criterion. The correlations of fruit and vegetable servings with specific and total serum carotenoid levels were generally higher for the 36-item FFQ than for the two-item and seven-item instruments. The strongest correlation of fruit and vegetable servings with total carotenoid levels was observed for the three recalls (r = 0.42), with the 36-item FFQ and the single 24-hour recall yielding comparable correlations (r = 0.35 and r = 0.37, respectively). The validity of the 36-item fruit and vegetable FFQ was generally as strong as the validity of both 1 and 3 days of recalls. Given the lower cost and time needed for administration relative to recalls, it appears that the 36-item FFQ has merit for evaluating fruit and vegetable health interventions.</t>
  </si>
  <si>
    <t>SCOPUS_ID:84885841557</t>
  </si>
  <si>
    <t>10.1016/j.ypmed.2013.07.007</t>
  </si>
  <si>
    <t>Who uses new walking and cycling infrastructure and how? Longitudinal results from the UK iConnect study</t>
  </si>
  <si>
    <t>['Built environment', 'Cycling', 'Infrastructure', 'Walking']</t>
  </si>
  <si>
    <t>Objective: To examine how adults use new local walking and cycling routes, and what characteristics predict use. Methods: 1849 adults completed questionnaires in 2010 and 2011, before and after the construction of walking and cycling infrastructure in three UK municipalities. 1510 adults completed questionnaires in 2010 and 2012. The 2010 questionnaire measured baseline characteristics; the follow-up questionnaires captured infrastructure use. Results: 32% of participants reported using the new infrastructure in 2011, and 38% in 2012. Walking for recreation was by far the most common use. In both follow-up waves, use was independently predicted by higher baseline walking and cycling (e.g. 2012 adjusted rate ratio 2.09 (95% CI 1.55, 2.81) for &gt; 450. min/week vs. none). Moreover, there was strong specificity by mode and purpose, e.g. baseline walking for recreation specifically predicted walking for recreation on the infrastructure. Other independent predictors included living near the infrastructure, better general health and higher education or income. Conclusions: The new infrastructure was well-used by local adults, and this was sustained over two years. Thus far, however, the infrastructure may primarily have attracted existing walkers and cyclists, and may have catered more to the socio-economically advantaged. This may limit its impacts on population health and health equity. Â© 2013 The Authors.</t>
  </si>
  <si>
    <t>SCOPUS_ID:32344440035</t>
  </si>
  <si>
    <t>10.1016/j.amepre.2005.11.001</t>
  </si>
  <si>
    <t>Cigarette promotional offers: Who takes advantage?</t>
  </si>
  <si>
    <t>Background: Promotional offers on cigarettes (e.g., dollar-off, multipack discounts) composed the largest share of tobacco industry marketing expenditures, totaling $8.9 billion, or 72% of the total budget in 2002. Internal industry documents indicate that young adults, potential quitters, and other price-sensitive groups are the targets of these marketing tactics. How effective they are in actually reaching these groups in the general population of smokers has not yet been investigated. Methods: Data were from 4618 current smokers responding to the large, random-digit-dialed population-based 2002 California Tobacco Survey. The characteristics were identified of smokers who reported that they used these offers "every time I see one." Results: Thirty-five percent of smokers used promotional offers every time they saw one. Multivariate analyses identified young adults, women, African Americans, those with higher daily cigarette consumption, and those worried about cigarette costs as more likely to use promotional offers at every opportunity. Smokers most committed to quitting were no more likely to use promotional offers than those with no intention to quit. Cigarette brand was highly correlated with age and race/ethnicity, and therefore was not included in the multivariate analysis. Those who smoked menthol cigarettes and Camels, more often young adults and African Americans, were much more likely than those of other brands to use promotional offers. Conclusions: With the exception of smokers intending to quit, cigarette promotional offers are effectively reaching most industry-targeted groups. Importantly, young adults, who have the greatest long-term customer potential, are responding. Â© 2006 American Journal of Preventive Medicine.</t>
  </si>
  <si>
    <t>SCOPUS_ID:77952942744</t>
  </si>
  <si>
    <t>10.1093/aje/kwq045</t>
  </si>
  <si>
    <t>Body fatness at young ages and risk of breast cancer throughout life</t>
  </si>
  <si>
    <t>['Adiposity', 'Adolescent', 'Breast neoplasms', 'Child', 'Obesity']</t>
  </si>
  <si>
    <t>Body fatness at young ages may be related to breast cancer risk independently of adult adiposity. The authors conducted a prospective analysis among 188,860 women (7,582 breast cancer cases) in the Nurses' Health Study (1988-2004) and Nurses' Health Study II (1989-2005) who recalled their body fatness at ages 5, 10, and 20 years using a 9-level pictogram (level 1: most lean; level 9: most overweight). Body fatness at young ages was inversely associated with risk of both premenopausal and postmenopausal breast cancer (per 1-unit increase in adolescent body fatness, relative risk (RR) = 0.88 and RR = 0.91, respectively; Ptrend &lt; 0.0001). Among all women, the RR for adolescent body fatness of level 6.5 or higher versus level 1 was 0.57 (per 1-unit increase, RR = 0.90; Ptrend &lt; 0.0001) and was unaffected by adjustment for current body mass index. The association was stronger for women with birth weights under 8.5 pounds (&lt;3.9 kg) than for women with birth weights of 8.5 pounds or more (â‰¥3.9 kg) (per 1-unit increase, RR = 0.89 and RR = 0.94, respectively; Pinteraction = 0.04) and stronger for estrogen receptor-negative tumors than for estrogen receptor-positive tumors (per 1-unit increase, RR = 0.86 and RR = 0.92, respectively; Pheterogeneity = 0.03). Body fatness at young ages has a strong and independent inverse relation to breast cancer risk throughout life. Â© The Author 2010.</t>
  </si>
  <si>
    <t>SCOPUS_ID:85133308008</t>
  </si>
  <si>
    <t>10.1016/j.ypmed.2022.107128</t>
  </si>
  <si>
    <t>Correlates of behavior change intents in response to a hypothetical flavored cigar sales restriction among U.S. adult flavored cigar smokers</t>
  </si>
  <si>
    <t>['Cigar prevention', 'Cigarillos', 'Cigars', 'Flavored tobacco', 'Health disparities', 'Large cigars', 'Tobacco policy']</t>
  </si>
  <si>
    <t>Flavored cigar sales restrictions (FCSRs) may reduce cigar smoking and protect public health. This study examined the correlates of behavior change intents in response to a hypothetical FCSR. Data were from a nationally representative sample of adult flavored cigar smokers (ages â‰¥21; n = 343) collected through an online survey in 2021. Respondents selected their behavior change intents in response to a hypothetical FCSR, including (1) quitting cigars altogether; (2) smoking plain or non-flavored cigars; (3) smoking other flavored tobacco products; (4) smoking cannabis; and (5) other options. Weighted logistic regressions were used to examine the associations of socio-demographic backgrounds, tobacco use history, and tobacco dependence with behavioral change intents. In response to an FCSR, 15.1% of respondents would quit smoking cigars altogether, 41.6% would smoke plain cigars without flavors, 33.4% would substitute flavored cigars with other flavored tobacco products, and 29.2% would substitute flavored cigars with cannabis. Large cigar smokers and blunt smokers were less likely to quit cigars altogether than non-smokers of those products; females and racial/ethnic minorities were more likely to substitute flavored cigars with other flavored tobacco and cannabis products, respectively, than males and non-Hispanic White respondents. Results suggest that FCSRs may reduce cigar smoking among a portion of U.S. flavored cigar smokers while leaving more continuing to smoke plain cigars or transitioning to use other flavored tobacco products or cannabis. Implementing FCSRs should be accompanied by comprehensive flavored tobacco sales restrictions, cessation programs, and educational messages aimed at reducing the use of cigars and other substances.</t>
  </si>
  <si>
    <t>SCOPUS_ID:84929335072</t>
  </si>
  <si>
    <t>10.2105/AJPH.2015.302628</t>
  </si>
  <si>
    <t>Polling places, pharmacies, and public health: Vote &amp;amp; Vax 2012</t>
  </si>
  <si>
    <t>US national elections, which draw sizable numbers of older voters, take place during flu-shot season and represent an untapped opportunity for large-scale delivery of vaccinations. In 2012, Vote &amp; Vax deployed a total of 1585 clinics in 48 states; Washington, DC; Guam; Puerto Rico; and the US Virgin Islands. Approximately 934 clinics were located in pharmacies, and 651 were near polling places. Polling place clinics delivered significantly more vaccines than did pharmacies (5710 vs 3669). The delivery of vaccines was estimated at 9379, and approximately 45% of the recipients identified their race/ethnicity as African American or Hispanic. More than half of the White Vote &amp; Vax recipients and more than two thirds of the non-White recipients were not regular flu shot recipients.</t>
  </si>
  <si>
    <t>SCOPUS_ID:85133980653</t>
  </si>
  <si>
    <t>10.1093/aje/kwac025</t>
  </si>
  <si>
    <t>Sampling Validation Data to Achieve a Planned Precision of the Bias-Adjusted Estimate of Effect</t>
  </si>
  <si>
    <t>['epidemiologic methods', 'quantitative bias analysis', 'study design', 'validation substudies']</t>
  </si>
  <si>
    <t>Data collected from a validation substudy permit calculation of a bias-adjusted estimate of effect that is expected to equal the estimate that would have been observed had the gold standard measurement been available for the entire study population. In this paper, we develop and apply a framework for adaptive validation to determine when sufficient validation data have been collected to yield a bias-adjusted effect estimate with a prespecified level of precision. Prespecified levels of precision are decided a priori by the investigator, based on the precision of the conventional estimate and allowing for wider confidence intervals that would still be substantively meaningful. We further present an applied example of the use of this method to address exposure misclassification in a study of transmasculine/transfeminine youth and self-harm. Our method provides a novel approach to effective and efficient estimation of classification parameters as validation data accrue, with emphasis on the precision of the bias-adjusted estimate. This method can be applied within the context of any parent epidemiologic study design in which validation data will be collected and modified to meet alternative criteria given specific study or validation study objectives.</t>
  </si>
  <si>
    <t>SCOPUS_ID:0028170572</t>
  </si>
  <si>
    <t>10.2105/AJPH.84.9.1439</t>
  </si>
  <si>
    <t>Black-White differences in serum cotinine levels among pregnant women and subsequent effects on infant birthweight</t>
  </si>
  <si>
    <t>Objectives. Higher levels of serum cotinine (a metabolite of nicotine) have been found in Black smokers than in White smokers even after self- reported cigarette dose was controlled. It is unknown whether higher cotinine levels in Black pregnant smokers may increase the risk of delivering an infant of reduced birthweight. Methods. We analyzed serum cotinine levels of 374 Black and 829 White women who smoked during pregnancy and who delivered between April 1964 and April 1967. Racial differences in the relationship between cotinine and birthweight were examined. Results. Cotinine levels were 27.4 ng/mL higher in Black smokers after cigarette dose and confounding variables were controlled. Blacks had higher cotinine levels than Whites at each dose. No significant racial differences in the rate of decrease in birthweight per nanogram of cotinine per milliliter were found. Conclusions. Our results confirm previous research showing higher cotinine levels at each smoking dose in Black smokers than in White smokers. Because there was no difference in the rate of decrease in birthweight due to cotinine, our results suggest that cigarette smoking among Blacks may have a greater effect on birthweight than it does among Whites.</t>
  </si>
  <si>
    <t>SCOPUS_ID:79952050640</t>
  </si>
  <si>
    <t>10.1093/ije/dyq164</t>
  </si>
  <si>
    <t>Prospective cohort study of breast implants and the risk of connective-tissue diseases</t>
  </si>
  <si>
    <t>['Breast implants', 'Cohort studies', 'Connective-tissue diseases', "Women's health"]</t>
  </si>
  <si>
    <t>Background: A 2000 meta-analysis indicated no overall association between breast implants and risk of connective-tissue diseases (CTDs). However, a large retrospective cohort study we previously conducted suggested, instead, a small increased risk of CTDs. Because of limitations inherent to the retrospective cohort study design, we sought clarification by conducting a prospective cohort study of the association of breast implants with CTD risk. Methods:: Participants were 23 847 US women (mean age 56.6 years), 3950 of whom had breast implants and 19 897 did not. Women reported their breast implant status at baseline in 2001 and were followed for a median of 3.63 years. During follow-up, women reported incident CTD, confirmed using a CTD screening questionnaire (CSQ) and medical records. Results: In multivariate analyses, the rate ratios for self-reported CTD (113 vs 377 cases in the implanted and non-implanted group, respectively) were 1.60 [95% confidence interval (CI) 1.28-2.00], for CSQ-confirmed CTD (77 vs 226 cases), 1.80 (1.37-2.38) and for medical ecord confirmed CTD (21 vs 74 cases), 1.39 (0.82-2.35). Conclusions: Although this prospective cohort study represented a stronger design than the retrospective cohort study, the present data should still be viewed cautiously because of remaining methodological limitations, including the potential for differential self-reporting of CTD and CTD symptoms among women with and without breast implants, the difficulty of obtaining medical records for women reporting CTD and the low and possibly differential confirmation of self-reported disease against medical records. A reasonable conclusion is the lack of a large increase in CTD risk (e.g.â‰¥2-fold) associated with breast implants. Â© The Author 2010. Published by Oxford University Press on behalf of the International Epidemiological Association. All rights reserved.</t>
  </si>
  <si>
    <t>SCOPUS_ID:0041803240</t>
  </si>
  <si>
    <t>10.1023/A:1024686625528</t>
  </si>
  <si>
    <t>Birth weight and risk of angina pectoris: Analysis in Swedish twins</t>
  </si>
  <si>
    <t>['Angina pectoris', 'Birth weight', 'Coronary heart disease', 'Twin study']</t>
  </si>
  <si>
    <t>Objective: Intrauterine nutrition approximated by birth weight has been shown to be inversely associated with risk of coronary heart disease (CHD). By investigating the association within twin pairs discordant for disease, the influence of genetic and early environmental factors is substantially reduced. Methods: We have investigated the association between birth weight and angina pectoris in same-sexed twins with known zygosity included in the population-based Swedish Twin Registry. Self-reports of birth weight and angina pectoris were collected in a telephone interview between 1998 and 2000. The cohort analyses were based on 4594 same-sexed twins, and the within-pair analyses included 55 dizygotic and 37 monozygotic twin pairs discordant for angina pectoris. Odds ratios (OR) and 95% confidence intervals (CI) were calculated by logistic regression. Results: Compared with birth weight between 2.0 and 2.9 kg, low birth weight (&lt;2.0 kg) was associated with increased risk of angina pectoris in the twin cohort, (OR: 1.46; 95% CI: 1.14-1.87), but after adjustment for potential confounders the risk decreased, and did not reach significance. Within twin pairs discordant for angina pectoris, low birth weight was significantly associated with increased risk of angina pectoris within dizygotic twins (adjusted OR: 5.73; 95% CI: 1.59-20.67), but not within monozygotic twins (adjusted OR: 1.20; 95% CI: 0.40-3.58). Conclusions: The results suggest that genetic differences associated with foetal growth and adult risk of CHD may have affected previously reported associations between birth weight and CHD.</t>
  </si>
  <si>
    <t>SCOPUS_ID:16544383725</t>
  </si>
  <si>
    <t>10.1023/B:EJEP.0000036814.56108.66</t>
  </si>
  <si>
    <t>Estimating non-response bias in family studies: Application to mental health and lifestyle</t>
  </si>
  <si>
    <t>['Health and lifestyle', 'Mailed survey', 'Mental state', 'Non-response', 'Personality', 'Twin-family design']</t>
  </si>
  <si>
    <t>Non-response to mailed surveys reduces the effective sample size and may introduce bias. Non-response has been studied by (1) comparison to available data in population based registers, (2) directly contacting non-respondents by telephone or single-item reply cards, and (3) longitudinal repetition of the survey. The goal of this paper was to propose an additional method to study non-response bias: when the variable of interest has a familial component, data from respondents can be used as proxy for the data from their non-responding family members. This approach was used with data on smoking, alcohol consumption, physical activity, coffee- and tea-use, education, body mass index, religion, burnout, life events, personality and mental health in large number of siblings and DZ twins registered with the Netherlands Twin Register. In addition, for smoking behavior, we also used the second strategy by sending a reply card. Results show that scores of members from less cooperative families or incomplete twin pairs tended to be more unfavorable than the scores from highly cooperative families or complete twin pairs. For example, family members from less cooperative families cycled less often and scored higher on anxious depression and neuroticism. For smoking, both the results of the reply card and the results of the additional method suggested a higher percentage smokers among the non-respondents but this was only significant with reply card method. In general, differences between highly/less cooperative families and complete/incomplete DZ twins were small. Results suggest that, even for studies with moderate response rates, data collected on health, personality and lifestyle are relatively unbiased. Â© 2004 Kluwer Academic Publishers.</t>
  </si>
  <si>
    <t>Netherlands</t>
  </si>
  <si>
    <t>SCOPUS_ID:0030889263</t>
  </si>
  <si>
    <t>The Dutch EPIC Food Frequency Questionnaire. I. Description of the questionnaire, and relative validity and reproducibility for food groups</t>
  </si>
  <si>
    <t>['EPIC', 'Food frequency questionnaire', 'Food groups', 'Food photographs', 'Relative validity', 'Reproducibility']</t>
  </si>
  <si>
    <t>Background. A self-administered food frequency questionnaire was developed for the Dutch cohort of the European Prospective Investigation into Cancer and Nutrition (EPIC). Habitual consumption of 178 food items can be calculated from the questionnaire data. Methods. Reproducibility and relative validity for food group intake were investigated in a population of 121 Dutch men and women. The questionnaire was administered three times at 6-month intervals in order to determine the reproducibility. To assess the relative validity 12 monthly 24-hour recalls served as the reference method. Results. Spearman rank order correlation coefficients between estimates of food group intake assessed by repeated questionnaires ranged from 0.45 to 0.92. For men, Spearman correlation coefficients between estimates of food group intake based on the questionnaire and those based on 24-hour recalls ranged from 0.21 for cooked vegetables to 0.78 for sugar and sweet products, with a range of 0.61. For women the median was 0.53, with a minimum of 0.31 for vegetables and a maximum of 0.87 for alcoholic beverages. The photographs in the questionnaire for the estimation of portion sizes contributed little to the relative validity of the ranking of subjects. However, on the group level most median food group estimates based on photographic portion sizes were closer to the median intakes as assessed by 24-hour recalls than those based on standard portion sizes. Conclusions. The questionnaire seems adequate for ranking Dutch EPIC subjects according to intake of most food groups, although the relative validity for some food groups, such as vegetables and fish, remains of concern.</t>
  </si>
  <si>
    <t>SCOPUS_ID:85022341794</t>
  </si>
  <si>
    <t>10.1016/j.ypmed.2017.07.005</t>
  </si>
  <si>
    <t>Is the link between movement and mental health a two-way street? Prospective associations between physical activity, sedentary behaviour and depressive symptoms among women living in socioeconomically disadvantaged neighbourhoods</t>
  </si>
  <si>
    <t>['Exercise, sedentary lifestyle', 'Mental health', 'Sitting', 'Vulnerable populations', 'Women']</t>
  </si>
  <si>
    <t>This study aimed to investigate the bi-directional relationship between different domains of physical activity (PA), sedentary behaviour (SB) and depressive symptoms among women living in socioeconomically disadvantaged neighbourhoods in Victoria, Australia. Women (nÂ =Â 1033), aged 18â€“46Â years at Wave 1 (2007/08), completed self-report measures of PA (leisure-time, transport, occupational, domestic), SB (TV viewing, computer use, overall sitting time) and depressive symptoms (CES-D 10) at each study time-point (Wave 2: 2010/11, Wave 3: 2012/13). Separate linear mixed models were fitted to examine if change in depressive symptoms differed dependent on each of the baseline PA or SB measures. Similarly, baseline depressive symptoms were used as a predictor of change in PA and SB. In secondary analyses, associations between baseline PA or SB and odds of becoming â€˜at riskâ€™ of depression among those not â€˜at riskâ€™ at baseline were examined using logistic regression. There was no evidence that change in depressive symptoms differed depending on PA or SB at baseline. In general, there was also no evidence that change in PA or SB differed depending on baseline depressive symptoms. One exception was change in leisure-time PA, which declined more among those with heightened depressive symptoms at baseline (Interaction: Î²Â =Â âˆ’Â 0.003, 95% CIÂ =Â âˆ’Â 0.007, âˆ’Â 0.0003). Transport-related PA (adjusted ORÂ =Â 1.06, 95% CIÂ =Â 1.013, 1.101) and domestic PA (adjusted ORÂ =Â 1.02, 95% CIÂ =Â 1.003, 1.040) were associated with greater odds of becoming at risk of depression at wave 3. There was limited evidence of a bi-directional relationship between PA, SB and depressive symptoms in women living in socioeconomically disadvantaged neighbourhoods.</t>
  </si>
  <si>
    <t>SCOPUS_ID:0029949732</t>
  </si>
  <si>
    <t>10.1006/pmed.1996.0058</t>
  </si>
  <si>
    <t>Exposure to environmental tobacco smoke - Perceptions of African American children and adolescents</t>
  </si>
  <si>
    <t>['attitudes', 'environmental tobacco smoke', 'knowledge', 'preventive efforts']</t>
  </si>
  <si>
    <t>Background. A study was designed to investigate the knowledge, attitudes, and preventive efforts with regard to exposure to environmental tobacco smoke (ETS) among a sample of urban African American children and adolescents. Methods. A sample of 675 students enrolled in grades 5 through 12 in an urban public school district located in the greater metropolitan area of Detroit, Michigan, was surveyed. Results. Smoking rates among students were higher if someone else in the home was a smoker and lower if there were no other smokers in the home. Forty-eight percent of the students reported that their fathers smoked, while 46% reported mothers who smoked. In each of the areas knowledge, attitudes, and preventive efforts, elementary students scored highest and middle school students scored lowest. Attitude scores were higher if the mother or father was a nonsmoker, and nonsmokers scored higher than smokers on knowledge, attitudes, and preventive efforts. Students' preventive efforts were significantly predicted by their knowledge, attitudes, and gender, while their attitudes were in turn predicted by their knowledge, gender, school level, and smoking status and by the proportion of their friends who were smokers. Students' knowledge was significantly predicted by their gender and school level and by the proportion of their siblings who were smokers. Conclusions. It is apparent that many of the African American students surveyed in this study experience significant exposure to ETS, particularly in the home. As is evident from the literature, this has implications for the long term health of these youngsters. Health education and promotion efforts should be directed not only toward the students themselves, but should also address the smoking behavior of parents and others in the home environment.</t>
  </si>
  <si>
    <t>SCOPUS_ID:85054071416</t>
  </si>
  <si>
    <t>10.1097/EDE.0000000000000857</t>
  </si>
  <si>
    <t>Performance of between-study heterogeneity measures in the cochrane library</t>
  </si>
  <si>
    <t>['Cochrane Library', 'Heterogeneity', 'I  statistic 2', 'Meta-analysis', 'Outlying studies']</t>
  </si>
  <si>
    <t>The growth in comparative effectiveness research and evidence-based medicine has increased attention to systematic reviews and meta-analyses. Meta-analysis synthesizes and contrasts evidence from multiple independent studies to improve statistical efficiency and reduce bias. Assessing heterogeneity is critical for performing a meta-analysis and interpreting results. As a widely used heterogeneity measure, the I2 statistic quantifies the proportion of total variation across studies that is caused by real differences in effect size. The presence of outlying studies can seriously exaggerate the I2 statistic. Two alternative heterogeneity measures, the Ir2 and Im2 , have been recently proposed to reduce the impact of outlying studies. To evaluate these measures' performance empirically, we applied them to 20,599 meta-analyses in the Cochrane Library. We found that the Ir2 and Im2 have strong agreement with the I2, while they are more robust than the I2 when outlying studies appear.</t>
  </si>
  <si>
    <t>China</t>
  </si>
  <si>
    <t>SCOPUS_ID:85085015109</t>
  </si>
  <si>
    <t>10.1016/j.amepre.2020.03.024</t>
  </si>
  <si>
    <t>Alcohol Use and Suicidality by Sexual Orientation Among U.S. Youth, 2009â€“2017</t>
  </si>
  <si>
    <t>Introduction: Alcohol use and suicidality remain serious risks for U.S. youth. Research has established that disparities exist in these outcomes between heterosexual and sexual minority youth. However, research into the associations between alcohol use and suicidality has yet to consider the differential role of sexual orientation. Methods: Using a pooled, diverse sample from the 2009â€“2017 Youth Risk Behavior Survey, associations of alcohol use and suicidality by sex and sexual orientation, and changes in these outcomes over time, were investigated. Analyses were conducted in 2019. Results: Suicidality was highest among nonheterosexuals, who ranged from twofold to sevenfold higher odds to report suicidality across all time points, with the most striking disparities among male sexual minority youth. Rates among all students remained stable or increased over time; notable exceptions included a decrease in suicide attempts among bisexual students. Among all students, current alcohol use was associated with elevated levels of suicidality. For female students, the association between drinking and suicidality did not significantly differ by sexual identity; for male students, it was significant regardless of sexual identity and most pronounced among not sure youth. Conclusions: These results emphasize the need for additional research into the relationship between contemporaneous alcohol use and suicidality, with attention to differences based on sex, sexual orientation, and other factors that may impact these relationships. There is a particular need for research to examine the temporal nature of the association such that evidence-informed, high-impact interventions can be developed to improve suicidality outcomes among sexual minority youth.</t>
  </si>
  <si>
    <t>SCOPUS_ID:0033962566</t>
  </si>
  <si>
    <t>10.1006/pmed.1999.0608</t>
  </si>
  <si>
    <t>Changes in serum total cholesterol levels over 18 years in a cohort of men and women: The Nijmegen cohort study</t>
  </si>
  <si>
    <t>['Cholesterol', 'Cohort', 'Epidemiology']</t>
  </si>
  <si>
    <t>Background. This study aimed to investigate to what extent cholesterol levels change in individuals in different age groups over an 18-year period. Factors that contribute to the changes, with respect to prevention of cardiovascular disease, were taken into account. Methods. In 1977 serum cholesterol, systolic and diastolic blood pressures, body mass index, and smoking habits were measured in a cohort of 7,092 patients (men and women from 20 to 50 years of age) from six general practices in The Netherlands. In 1995, a sample of 2,600 of these same patients were invited to take part in a similar screening program; 2,335 patients, consisting of 1,171 men and 1,164 women, agreed to participate. Patients were derived from both high-risk and low- to normal-risk category in 1977. The differences in cholesterol between 1977 and 1995 were calculated and cholesterol levels were tracked over the study period by determining Pearson correlation coefficients. A multiple linear regression analysis was performed to investigate the determinants influencing the changes in cholesterol level. Results. The mean cholesterol levels rose during the study period in all age groups. The highest mean increase in men was 1.23 mmol/L, or 20%, in the youngest age group (20-24 years), and in women the maximum mean increase was 1.12 mmol/L, or 17%, in the age group 40-44 years. Correlation coefficients between the 1977 and 1995 readings varied from 0.63 in the youngest age group to 0.41 in the oldest. Body weight change during the study period, more than initial body weight, was found to have influenced the rise in serum cholesterol. At basic screening, 19.2% of the men and 12.4% of the women had cholesterol levels of 6.5 mmol/L or higher, as against 35.8 and 36.8%, respectively, in 1995. Conclusions. Over an 18-year period cholesterol level increased in most subjects, at a younger age in men than in women. The highest increase in women took place during the menopausal period. Weight gain, more than baseline weight, had a positive influence on the increase in cholesterol. (C) 2000 American Health Foundation and Academic Press.</t>
  </si>
  <si>
    <t>SCOPUS_ID:84959905141</t>
  </si>
  <si>
    <t>10.1016/j.ypmed.2016.02.001</t>
  </si>
  <si>
    <t>The influence of electronic cigarette age purchasing restrictions on adolescent tobacco and marijuana use</t>
  </si>
  <si>
    <t>['E-cigarettes', 'Electronic nicotine delivery systems', 'Minimum legal purchase age', 'Tobacco control']</t>
  </si>
  <si>
    <t>Objective In the United States, many states have established minimum legal purchase ages for electronic nicotine delivery systems (ENDS) to ban adolescent purchases, but these policies may also affect other related substance use. We explore whether ENDS are substitutes or complements for cigarettes, cigars, smokeless tobacco, and marijuana among adolescents by using variation in state-level implementation of ENDS age purchasing restrictions. Methods We linked data on ENDS age purchasing restrictions to state- and year-specific rates of adolescent tobacco and marijuana use in 2007â€“2013 from the Youth Risk Behavior Surveillance System. This data provides a nationally representative sample of adolescents who attend public and private schools. We performed a fixed effect regression analysis exploring the influence of ENDS age purchasing restrictions on outcomes of tobacco use and marijuana use, controlling for state and year fixed characteristics, age-race cohorts, cigarette excise taxes, and cigarette indoor use restrictions. Results For cigarette use, we separate our results into cigarette use frequency. We found causal evidence that ENDS age purchasing restrictions increased adolescent regular cigarette use by 0.8 percentage points. ENDS age purchasing restrictions were not associated with cigar use, smokeless tobacco use, or marijuana use. Conclusions We document a concerning trend of cigarette smoking among adolescents increasing when ENDS become more difficult to purchase.</t>
  </si>
  <si>
    <t>SCOPUS_ID:84890514902</t>
  </si>
  <si>
    <t>10.1093/eurpub/cks187</t>
  </si>
  <si>
    <t>Association between parental perceptions of residential neighbourhood environments and childhood obesity in Porto, Portugal</t>
  </si>
  <si>
    <t>Background: Portugal has one of the highest rates of childhood obesity in Europe. Few studies have explored the relationship between parents' perceptions of their residential neighbourhood (safety concerns and amenities of the built environment) and their children's weight status. This study aims to examine the associations between parents' perceptions of their residential neighbourhood and overweight/obesity among their children. Methods: Anthropometric measures of height and weight were taken for 2690 children in preschools and elementary schools in Porto. Body mass index (kg/m2) was calculated, and the International Obesity Taskforce (IOTF) cut-offs were used. Parents completed the 'Environmental Module' standard questionnaire of the International Physical Activity Prevalence Study. Chi-square tests and the logistic regression model adjusted for age, gender, maternal education and school cluster were used to examine the associations between parents' perceptions of their residential neighbourhood and overweight/obesity among their children. Results: In this sample, 31.8% of the children were overweight (including obese). Significant associations were found between child obesity and the following residential environmental characteristics: the odds of children being obese were lower if their parents believed that it was safe (low/no crime rate) to walk/cycle at night (OR = 0.65, 95% CI = 0.54-0.79) and during the day (OR = 0.70, 95% CI = 0.55-0.86) and that it was easy and pleasant (pedestrian safety) to walk in their neighbourhoods (OR = 0.73, 95% CI = 0.58-0.90) and when local sidewalks were well maintained and unobstructed (OR = 1.18, 95% CI = 1.01-1.40). Conclusion: Parental perceptions of neighbourhood safety and the quality of local sidewalks are significantly associated with obesity values. Â© 2013 The Author.</t>
  </si>
  <si>
    <t>Portugal</t>
  </si>
  <si>
    <t>SCOPUS_ID:67749091014</t>
  </si>
  <si>
    <t>10.1093/aje/kwp143</t>
  </si>
  <si>
    <t>Age of onset in concordant twins and other relative pairs with multiple sclerosis</t>
  </si>
  <si>
    <t>['Age of onset', 'Environment', 'Family', 'Genetics', 'Multiple sclerosis', 'Twins']</t>
  </si>
  <si>
    <t>The ages of onset in multiple sclerosis cases span more than 7 decades. Data are presented for affected relative pairs from a Canadian population base of 30,000 multiple sclerosis index cases (1993-2008). The effects of genetic sharing, parent of origin, intergenerational versus collinear differences, and gender on the ages of onset were evaluated in the following concordant pairs: monozygotic twins (n=29), dizygotic twins (n=10), siblings (n=614), first cousins (n=405), half siblings (n=29), parent/child (n=285), and aunt/uncle/niece/nephew (avunculars) (n=289). Fisher's z test assessed intraclass correlation (r) for ages of onset. Correlations for monozygotic twins, dizygotic twins, full siblings, and first cousins were 0.60, 0.54, 0.20, and 0.10, respectively. Dizygotic twins resembled monozygotic twins more than siblings. The age-of-onset correlation for maternal half siblings (r=0.37) was higher than that for paternal half siblings (r=0.26), consistent with other observations suggesting an intrauterine environmental effect on multiple sclerosis risk. Intergenerational comparisons are complicated by substantial increases of multiple sclerosis incidence over time. Genetic loading (familial vs. sporadic cases) did not generally influence the age of onset, but correlation of age of onset in multiple sclerosis relative pairs was proportional to genetic sharing. A maternal parent-of-origin effect on the age of onset in collinear generations was suggested. Â© 2009 The Authors.</t>
  </si>
  <si>
    <t>SCOPUS_ID:84877257399</t>
  </si>
  <si>
    <t>10.1093/aje/kws330</t>
  </si>
  <si>
    <t>Association of functional polymorphism rs2231142 (Q141K) in the ABCG2 gene with serum uric acid and gout in 4 US populations</t>
  </si>
  <si>
    <t>['ABCG2 protein, human', 'genetic association studies', 'gout', 'meta-analysis', 'polymorphism, single nucleotide', 'urate transporter', 'uric acid']</t>
  </si>
  <si>
    <t>A loss-of-function mutation (Q141K, rs2231142) in the ATP-binding cassette, subfamily G, member 2 gene (ABCG2) has been shown to be associated with serum uric acid levels and gout in Asians, Europeans, and European and African Americans; however, less is known about these associations in other populations. Rs2231142 was genotyped in 22,734 European Americans, 9,720 African Americans, 3,849 Mexican Americans, and 3,550 American Indians in the Population Architecture using Genomics and Epidemiology (PAGE) Study (2008-2012). Rs2231142 was significantly associated with serum uric acid levels (P = 2.37 Ã— 10-67, P = 3.98 Ã— 10-5, P = 6.97 Ã— 10 -9, and P = 5.33 Ã— 10-4 in European Americans, African Americans, Mexican Americans, and American Indians, respectively) and gout (P = 2.83 Ã— 10-10, P = 0.01, and P = 0.01 in European Americans, African Americans, and Mexican Americans, respectively). Overall, the T allele was associated with a 0.24-mg/dL increase in serum uric acid level (P = 1.37 Ã— 10-80) and a 1.75-fold increase in the odds of gout (P = 1.09 Ã— 10-12). The association between rs2231142 and serum uric acid was significantly stronger in men, postmenopausal women, and hormone therapy users compared with their counterparts. The association with gout was also significantly stronger in men than in women. These results highlight a possible role of sex hormones in the regulation of ABCG2 urate transporter and its potential implications for the prevention, diagnosis, and treatment of hyperuricemia and gout. Â© 2013 The Author.</t>
  </si>
  <si>
    <t>SCOPUS_ID:84857279547</t>
  </si>
  <si>
    <t>10.2105/AJPH.2011.300295</t>
  </si>
  <si>
    <t>Position-specific HIV risk in a large network of homeless youths</t>
  </si>
  <si>
    <t>We examined interconnections among runaway and homeless youths (RHYs) and how aggregated network structure position was associated with HIV risk in this population. Methods. We collected individual and social network data from 136 RHYs.On the basis of these data, we generated a sociomatrix, accomplished network visualization with a "spring embedder," and examined k-cores. We used multivariate logistic regression models to assess associations between peripheral and nonperipheral network position and recent unprotected sexual intercourse. Results. Small numbers of nominations at the individual level aggregated into a large social network with a visible core, periphery, and small clusters. Female youths were more likely to be in the core, as were youths who had been homeless for 2 years or more. Youths at the periphery were less likely to report unprotected intercourse and had been homeless for a shorter duration. Conclusions. HIV riskwas a function of risk-taking youths' connectionswith one another and was associated with position in the overall network structure. Social network-based prevention programs, young women's housing and health programs, and housing-first programs for peripheral youths could be effective strategies for preventing HIV among this population.</t>
  </si>
  <si>
    <t>SCOPUS_ID:85084695125</t>
  </si>
  <si>
    <t>10.1093/eurpub/ckaa031</t>
  </si>
  <si>
    <t>Estonia advances on SDG achievement by tackling high alcohol consumption through a multi-pronged approach</t>
  </si>
  <si>
    <t>Estonia has implemented a comprehensive, multipronged approach to the reduction of alcohol consumption in the population, comprising a series of successful policy responses. The Estonian alcohol strategy (2014) builds on the Global strategy to reduce the harmful use of alcohol and the European action plan to reduce the harmful use of alcohol 2012-2010. It aims to decrease the overall yearly consumption of alcohol among the adult population to less than 8 litres of absolute alcohol per capita. Gathering support across society from a range of stakeholders, including policy-makers, researchers, parents and advocates, has been one of the key elements in the implementation of the policy. High-level political commitment and strategic timing of efforts have maintained the issue of alcohol control on the political agenda and in the public's mind.</t>
  </si>
  <si>
    <t>Estonia</t>
  </si>
  <si>
    <t>SCOPUS_ID:0033557398</t>
  </si>
  <si>
    <t>10.1093/oxfordjournals.aje.a009814</t>
  </si>
  <si>
    <t>Double-blind intervention trial on modulation of ozone effects on pulmonary function by antioxidant supplements</t>
  </si>
  <si>
    <t>['Antioxidants', 'Bicycling', 'Ozone', 'Spirometry', 'Vitamins']</t>
  </si>
  <si>
    <t>The aim of this study was to investigate whether the acute effects of ozone on lung function could be modulated by antioxidant vitamin supplementation in a placebo-controlled study. Lung function was measured in Dutch bicyclists (n = 38) before and after each training session on a number of occasions (n = 380) during the summer of 1996. The vitamin group (n = 20) received 100 mg of vitamin E and 500 mg of vitamin C daily for 15 weeks. The average ozone concentration during exercise was 77 Î¼g/m3 (range, 14-186 Î¼g/m3). After exclusion of subjects with insufficient compliance from the analysis, a difference in ozone exposure of 100 Î¼g/m3 decreased forced expiratory volume in 1 second (FEV1) 95 ml (95% confidence interval (Cl) - 265 to -53) in the placebo group and 1 ml (95% Cl -94 to 132) in the vitamin group; for forced vital capacity, the change was -125 ml (95% Cl -384 to - 36) in the placebo group and -42 ml (95% Cl -130 to 35) in the vitamin group. The differences in ozone effect on lung function between the groups were statistically significant. The results suggest that supplementation with the antioxidant vitamins C and E confers partial protection against the acute effects of ozone on FEV1, and forced vital capacity in cyclists.</t>
  </si>
  <si>
    <t>SCOPUS_ID:0033019577</t>
  </si>
  <si>
    <t>10.1136/jech.53.7.412</t>
  </si>
  <si>
    <t>Determinants of self assessed health among Spanish older people living at home</t>
  </si>
  <si>
    <t>Study objective - To identify the main determinants of self assessed health among community dwelling elderly. Participants and setting - A representative sample of 677 people aged 65 and over of the city of Madrid, Spain. Design - Cross sectional study. Information was collected through personal interviews at the homes of the selected subjects. The five category dependent variable was grouped into two categories: good and poor self assessed health. Age, sex, social class, use of physician services, number of chronic conditions, and functional capacity, were included as main explanatory factors. Adjusted odds ratios were estimated through multiple logistic regression models. Main results - A total of 49.5% of subjects rated their health as good or very good. Those aged 85 and over rated their health higher than those aged 65-74 (adjusted odds ratio (OR): 0.37; 95% confidence intervals (CI): 0.18, 0.77). The adjusted OR for an increase of three chronic conditions was 3.48 (95% CI: 2.49, 4.85). Functional capacity also showed a strong independent effect (OR: 3.64; 95% CI: 1.89, 7.02). Social class was one of the main determinants for the youngest group, with those in the upper class reporting a better health perception (OR: 3.28 95% CI: 1.70, 6.35), but showed no effect in the oldest old (OR: 1.05; 95% CI: 0.57, 1.96). Conclusions - Age, chronic conditions, and functional status were the main determinants of perceived health among Spanish elderly. The effect of social class on perceived health markedly decreases with age. This study may contribute to a better utilisation and interpretation of self ratings in research and in general practice.</t>
  </si>
  <si>
    <t>Spain</t>
  </si>
  <si>
    <t>SCOPUS_ID:78751685435</t>
  </si>
  <si>
    <t>10.1016/j.ypmed.2010.07.005</t>
  </si>
  <si>
    <t>Screen time and risk behaviors in 10- to 16-year-old Canadian youth</t>
  </si>
  <si>
    <t>['Adolescent', 'Computer', 'Risky behaviors', 'Television', 'Video games']</t>
  </si>
  <si>
    <t>ObjectiveTo examine television, computer, and video game use as possible determinants of multiple risk behaviors (MRB) among Canadian youth. MethodsResults are based on the Canadian 2005/06 Health Behaviour in School-Aged Children Survey. This survey included a representative cross-sectional sample of 8215 youth in grades 6-10, and a 1-year longitudinal sample of 1424 youth in grades 9-10. Total hours per week of television, video games, and computer use were calculated and participants were grouped into quartiles. Six risk behavior variables (smoking, drunkenness, non-use of seatbelts, cannabis use, illicit drug use, non-use of condoms) were combined to form a MRB score. Ordinal and repeated measure logistic regression models were used to examine associations between screen time and MRB variables. ResultsHigh computer use (top quartile) was associated with approximately a 50% increased engagement of MRB in both samples. High television use was also associated with modestly increased engagement in MRB in the cross-sectional sample. ConclusionsHigh computer use was the screen time behavior that was mostly strongly and consistently associated with engagement in MRB. Future research is needed to understand the relationship between specific screen time behaviors and adolescent health to help strengthen current screen time guidelines for youth. Â© 2010.</t>
  </si>
  <si>
    <t>SCOPUS_ID:33744471162</t>
  </si>
  <si>
    <t>10.1136/jech.2005.039032</t>
  </si>
  <si>
    <t>Do perceptions of neighbourhood environment influence health? Baseline findings from a British survey of aging</t>
  </si>
  <si>
    <t>Objectives: To investigate the relation between perceived neighbourhood environment, social contact and support, and self efficacy, on the health of older people. Design: British cross sectional population survey of people aged 65 and over. Participants: 999 people aged 65 plus living at home in Britain. Results: Regression modelling showed that high self efficacy had a strong independent association with better self rated health status and physical functioning. Indicators of perceived neighbourhood environment that showed strong associations with both good health and functioning were: perceptions of good quality facilities in the area (social/leisure, facilities for people aged 65+, rubbish collection, health services, transport, closeness to shops, somewhere nice to walk), and high levels of neighbourliness (knows/trusts people). Perceptions of problems in the area (noise, crime, air quality, rubbish/litter, traffic, graffiti) were also predictive of poorer health. Measures of social contact and support did not show any independent associations with health or functioning. Conclusions: The unique value of this paper is in the simultaneous analysis of associations between perceived neighbourhood, social contact and support, self efficacy, and health. The consistent strength of older people's perceptions of the quality of facilities in their neighbourhoods shows that responsive reinforcement of local infrastructures might have wider health benefits. Also of interest was the strength of self efficacy as a predictor of self rated health and physical functioning. The results have implications for both neighbourhood level interventions and self management programmes in chronic illness.</t>
  </si>
  <si>
    <t>clear - broad but vague implications</t>
  </si>
  <si>
    <t>SCOPUS_ID:84862587399</t>
  </si>
  <si>
    <t>10.2105/AJPH.2011.300408</t>
  </si>
  <si>
    <t>Integrating biodiversity management and indigenous biopiracy protection to promote environmental justice and global health</t>
  </si>
  <si>
    <t>Many potentially useful medicines arise from developing countries' biodiverse environments and indigenous knowledge. However, global intellectual property rules have resulted in biopiracy, raising serious ethical concerns of environmental justice, exploitation, and health disparities in these populations. Furthermore, state-based approaches have not led to adequate biodiversity protection,management, or resource sharing, which affect access to lifesaving drugs. In response, country delegates adopted the Nagoya Protocol, which aims at promoting biodiversity management, combating biopiracy, and encouraging equitable benefits sharing with indigenous communities. However, the effectiveness of this framework in meeting these objectives remains in question. To address these challenges, we propose a policy building on the Nagoya Protocol that employs a World Health Organization-World Trade Organization Joint Committee on Bioprospecting and Biopiracy.</t>
  </si>
  <si>
    <t>SCOPUS_ID:2142711607</t>
  </si>
  <si>
    <t>10.1136/jech.2003.009852</t>
  </si>
  <si>
    <t>Is perceived failure in school performance a trigger of physical injury? A case-crossover study of children in Stockholm County</t>
  </si>
  <si>
    <t>Objectives: To investigate whether perceived failure in school performance increases the potential for children to be physically injured. Subjects: Children aged 10-15 years residing in the Stockholm County and hospitalised or called back for a medical check up because of a physical injury during the school years 2000-2001 and 2001-2002 (n=592). Methods: A case-crossover design was used and information on potential injury triggers was gathered by interview. Information about family socioeconomic circumstances was gathered by a questionnaire filled in by parents during the child interview (response rate 87%). Results: Perceived failure in school performance has the potential to trigger injury within up to 10 hours subsequent to exposure (relative risk=2.70; 95% confidence intervals=1.2 to 5.8). The risk is significantly higher among pre-adolescents and among children from families at a higher education level. Conclusions: Experiencing feelings of failure may affect children's physical safety, in particular among pre-adolescents. Possible mechanisms are perceptual deficits and response changes occasioned by the stress experienced after exposure.</t>
  </si>
  <si>
    <t>SCOPUS_ID:85047410366</t>
  </si>
  <si>
    <t>10.1097/EDE.0000000000000795</t>
  </si>
  <si>
    <t>Diagnostic performance of one-off flexible sigmoidoscopy with fecal immunochemical testing in a large screening population</t>
  </si>
  <si>
    <t>Background: Flexible sigmoidoscopy and fecal immunochemical tests are established diagnostic tests for colorectal cancer (CRC) screening and less invasive, less expensive, and easier to conduct than colonoscopy. However, little is known about their joint diagnostic performance compared with colonoscopy. We aimed to assess the expected diagnostic performance of joint use of flexible sigmoidoscopy and fecal immunochemical test. Methods: We assessed the overall and site-specific prevalences of colorectal neoplasms and the overall sensitivity, specificity, area under the receiver operating characteristics curve of a quantitative fecal immunochemical test (FOB Gold, Sentinel Diagnostics, Milano, Italy) among 3,466 participants in screening colonoscopy in Germany. Results were used to model the expected diagnostic performance of joint use of flexible sigmoidoscopy and fecal immunochemical testing. Results: CRC and advanced adenomas were found in 29 (1%) and 354 (10%) participants, respectively. The area under the curve of fecal immunochemical testing for these outcomes could be raised from 96% to 100% and from 70% to 89%, respectively, by combining it with flexible sigmoidoscopy. At 90% specificity, sensitivity of fecal immunochemical testing would increase from 97% to 100% for CRC and from 40% to 79% for advanced adenomas. Conclusions: Combining flexible sigmoidoscopy and fecal immunochemical testing might strongly enhance diagnostic performance of each single test to a level close to the diagnostic performance of screening colonoscopy while avoiding many unnecessary colonoscopies.</t>
  </si>
  <si>
    <t>SCOPUS_ID:76549115338</t>
  </si>
  <si>
    <t>10.1016/j.amepre.2009.10.040</t>
  </si>
  <si>
    <t>Neighborhood, Route, and School Environments and Children's Active Commuting</t>
  </si>
  <si>
    <t>Background: Walking and cycling to school represent an opportunity for children to achieve regular physical activity. These behaviors may be influenced by characteristics of the environment around homes and schools, yet few studies have quantified the potential associations between these two sets of factors. Purpose: This study aims to assess whether objectively measured characteristics of the neighborhood, route, and school environments are associated with active commuting to school among children, and it explores whether distance acts as a moderator in this association. Methods: A cross-sectional study was conducted of 2012 children (899 boys and 1113 girls) aged 9-10 years attending 92 schools in the county of Norfolk, United Kingdom. Questionnaires were completed by children and parents during Summer 2007. Attributes around the home and children's route to school were assessed using a GIS. School environments were assessed using a newly developed school audit and via questionnaires completed by head teachers. Data were analyzed in 2008. Results: Almost half of the children usually walked or cycled to school. Children who lived in a more deprived area and whose route to school was direct were less likely to walk or cycle to school, whereas those who had a higher density of roads in their neighborhood were more likely to walk. Further, children whose routes had a high density of streetlights were less likely to cycle to school. Distance did not moderate the observed associations. Conclusions: Objectively measured neighborhood and route factors are associated with walking and cycling to school. However, distance did not moderate the associations found here. Creating safe environments by improving urban design may influence children's commuting behavior. Intervention studies are needed to confirm the findings from this observational cross-sectional study. Â© 2010 American Journal of Preventive Medicine.</t>
  </si>
  <si>
    <t>SCOPUS_ID:84905561636</t>
  </si>
  <si>
    <t>10.1097/EDE.0000000000000143</t>
  </si>
  <si>
    <t>Long-term exposure to crystalline silica and risk of heart disease mortality</t>
  </si>
  <si>
    <t>BACKGROUND: The association between crystalline silica exposure and risk of heart disease mortality remains less clear. METHODS: We investigated a cohort of 42,572 Chinese workers who were potentially exposed to crystalline silica and followed from 1960 to 2003. Cumulative silica exposure was estimated by linking a job-exposure matrix to each person's work history. Low-level silica exposure was defined as never having held a job with an exposure higher than 0.1 mg/m. We estimated hazard ratios (HRs) in exposure-response analyses using Cox proportional hazards model. RESULTS: We identified 2846 deaths from heart disease during an average of 35 years follow-up. Positive exposure-response trends were observed for cumulative silica exposure associated with mortality from total heart disease (HRs for increasing quartiles of cumulative silica exposure compared with the unexposed group = 0.89, 1.09, 1.32, 2.10; P for linear trend &lt; 0.001) and pulmonary heart disease (0.92, 1.39, 2.47, 5.46; P for linear trend &lt; 0.001). These positive trends remained among workers with both high- and low-level silica exposure. There was also a positive trend for ischemic heart disease among workers with low-level exposure, with quartile HRs of 1.04, 1.13, 1.52, and 1.60 (P for linear trend &lt; 0.001). CONCLUSION: Low-level crystalline silica exposure was associated with increased mortality from heart disease, including pulmonary heart disease and ischemic heart disease, whereas high-level exposure mainly increased mortality from pulmonary heart disease. Current permissible exposure limits for crystalline silica in many countries may be insufficient to protect people from deaths due to heart disease. Copyright Â© 2014 by Lippincott Williams &amp; Wilkins.</t>
  </si>
  <si>
    <t>SCOPUS_ID:18844403140</t>
  </si>
  <si>
    <t>10.1007/s10654-004-6880-1</t>
  </si>
  <si>
    <t>The epidemiology of anophthalmia and microphthalmia in Sweden</t>
  </si>
  <si>
    <t>['Anophthalmia', 'Epidemiology', 'Maternal age', 'Microphthalmia', 'Smoking']</t>
  </si>
  <si>
    <t>Infants with a clinical diagnosis of anophthalmia or microphthalmia were identified from four health registers in Sweden, covering different parts of the period 1965-2001. During the observation period, the rate of anophthalmia decreased from the early 1970s from 0.4 to 0.2 per 10,000 births. The registered rate of microphthalmia increased markedly during the observation period to reach a maximum in 1987 of about 1.5 per 10,000. About 10% of the 432 identified children had a chromosome anomaly. There was no geographical variation in prevalence and infants born in urban or rural districts had, if anything, a lower risk than infants born in cities (0.93 and 1.13 per 10,000, respectively). Non-eye malformations were more common at anophthalmia (63%) than at microphthalmia (30%). Sex ratio was normal and no statistically significant variation between sub-groups (anophthalmia, microphthalmia, isolated, associated with non-eye malformations) could be demonstrated. There was a marked risk increase with maternal age but no certain parity effect, no effect of maternal education, but a possible association with subfertility. Maternal smoking in early pregnancy seemed to increase the risk for anophthalmia or microphthalmia in the absence of a coloboma. Â© Springer 2005.</t>
  </si>
  <si>
    <t>SCOPUS_ID:0031028150</t>
  </si>
  <si>
    <t>10.1016/s0749-3797(18)30226-5</t>
  </si>
  <si>
    <t>Representations of menopause and their health care implications: A qualitative study</t>
  </si>
  <si>
    <t>Introduction: Menopause is primarily represented as a medical condition with its associated body changes described as symptoms in need of treatment. The purpose of this study was to determine whether women's representations of and responses to menopause reflected this medical perspective. It is based on a secondary analysis of data from an earlier study in which the menopause experience of 17 middle-aged women was examined. Methods: The original study used a qualitative methodology in which data were collected by means of semistructured interviews and then analyzed for primary categories of meaning. Interview transcripts were reanalyzed for the current study. Results: Findings of that analysis indicate that, although the women were relatively uninformed about menopause, they identified themselves as menopausal on the basis of both positively and negatively defined physical and psychological changes that they associated with it. These changes were also associated with aging in general. Furthermore, although the women responded to menopause as a time-limited physiological event that sometimes required medical attention, they perceived it primarily as a marker or symbol of more general life-stage developmental issues and responded with both lifestyle changes and a search for new meaning. Discussion: These findings indicate that the women's perception of and response to menopause reflected both medical and nonmedical representations. Health care implications include the importance of health care providers supporting menopausal women in their search for both information and meaning, and of researchers investigating both medical and nonmedical approaches to reducing the negative health- related effects of decreased estrogen levels in menopausal women. Medical Subject Headings (MESH): aging, climacteric, estrogen replacement therapy, health behavior, menopause.</t>
  </si>
  <si>
    <t>SCOPUS_ID:0030039192</t>
  </si>
  <si>
    <t>10.1093/ije/25.1.5</t>
  </si>
  <si>
    <t>Cancer mortality among North African migrants in France</t>
  </si>
  <si>
    <t>['Cancer', 'Migrants', 'Mortality', 'North Africa', 'Relative risk']</t>
  </si>
  <si>
    <t>Background. Data on cancer mortality in North African migrants to France (the largest foreign-born community in the country) are presented, providing useful insights both into cancer patterns in North Africa and their changes following migration. Methods. The cancer mortality in migrants from North Africa (Algeria, Morocco, Tunisia and Egypt) resident in France relative to that of the local-born population, is estimated from mortality data for the period 1979-1985, and population data from the 1982 French census. Risks of death from different cancers were adjusted for important confounding factors such as social status and area of residence. Results. The risks are quite similar for Algerian, Tunisian and Moroccan migrants. Compared to the local-born, those Maghrebian migrants of one or both sexes have higher risks of death from cancer of the nasopharynx, gallbladder and bladder (in Algerians only). Conversely, Maghrebian migrants have lower risks of death from cancer of the oral cavity, other pharynx, oesophagus, stomach, colon, rectum, lung, larynx, melanoma (in Algerians only), kidney and nervous system (except in Tunisians), breast, ovary, and cervix uteri (except in Moroccans). For Egyptian migrants, because of small numbers, few of the estimates are statistically significant. They are at lower risk of death from lung cancer and at higher risk for lymphoma and leukaemia. Conclusion. The findings provide confirmatory evidence of the unusual cancer patterns among North African populations, who have low risks for most cancer sites, and high risks for certain cancers, such as of the nasopharynx and bladder.</t>
  </si>
  <si>
    <t>Switzerland</t>
  </si>
  <si>
    <t>SCOPUS_ID:84902668737</t>
  </si>
  <si>
    <t>10.2105/AJPH.2014.301947</t>
  </si>
  <si>
    <t>Gender-specific associations of objective and perceived neighborhood characteristics with body mass index and waist circumference among older adults in the English Longitudinal Study of Ageing</t>
  </si>
  <si>
    <t>Objectives. We sought to determine whether objective and perceived neighborhood characteristics are independently associated with obesity indicators among older adults and whether associations differ by gender. Methods. Linear regression was used to examine mutually adjusted associations of objective area-level neighborhood deprivation and perceived individuallevel neighborhood disorder in 2002-2003 with body mass index (BMI) and waist circumference (WC) 2 years later among 6297 community-dwelling older adults in the English Longitudinal Study of Ageing. Results. Associations between neighborhood characteristics and obesity indicators were evident for women only. Being in the most deprived quintile of neighborhood deprivation was associated with a BMI that was 1.18 kilograms per meters squared higher (95% confidence interval [CI] = 0.54, 1.83) and a WC that was 2.42 centimeters higher (95% CI = 0.90, 3.94) at follow-up in women after adjustment for baseline health status, socioeconomic factors, and neighborhood disorder.Neighborhood disorder was not independently associated with BMI orWC. Conclusions. Among women, greater objective neighborhood deprivation was independently associated with higher BMI and WC after 2 years. Public efforts to reduce obesity among community-dwelling older women may benefit most from addressing objective residential characteristics, over and above subjective perceptions.</t>
  </si>
  <si>
    <t>SCOPUS_ID:0032914081</t>
  </si>
  <si>
    <t>10.1136/jech.53.6.348</t>
  </si>
  <si>
    <t>Association between job characteristics and plasma fibrinogen in a normal working population: A cross sectional analysis in referents of the SHEEP study</t>
  </si>
  <si>
    <t>Study objective - To explore the association between job characteristics and plasma fibrinogen concentrations. Design - Cross sectional design. Setting - The Greater Stockholm area. Subjects - A total of 1018 men and 490 women aged 45-70 who were randomly selected from the general population during 1992-1994. They were all employed and had no history of myocardial infarction. Main results - The self reported job characteristics were measured by a Swedish version of the Karasek demand-control questionnaire. For inferred scoring of job characteristics, psychosocial exposure categories (job control and psychological demands) were assigned by linking each subject's occupational history with a work organisation exposure matrix. Job strain was defined as the ratio between demands and control. In univariate analyses, expected linear trends were found in three of four tests of association between high plasma fibrinogen and low control (the self reported score for women and the inferred score for both sexes), in one of four tests of association between high plasma fibrinogen and high demands (the inferred score for women) and in two of four tests of association between high plasma fibrinogen and job strain (the inferred score for both sexes). Multiple logistic regression analyses showed that men in the inferred job strain group have an increased risk of falling into the increased plasma fibrinogen concentration group (above median level of the distribution) (odds ratio (OR) 1.2; 95% CI 1.0, 1.5) after adjustment for the variables that were associated with plasma fibrinogen in the univariate analyses. In women, low self reported control, high inferred demand, and inferred job strain were significantly associated with increased plasma fibrinogen concentration (OR 1.3; 95% CI 1.0, 1.8, OR 1.5; 95% CI 1.0, 2.2, OR 1.5; 95% CI 1.1, 2.2, respectively). Conclusions - These results indicate that adverse job characteristics may be related to plasma fibrinogen concentrations and this relation is more relevant in female workers. The clearest evidence for psychosocial effects on plasma fibrinogen seems to be with job control and the associations are clearer for the objective than for the self report variables.</t>
  </si>
  <si>
    <t>SCOPUS_ID:85005916303</t>
  </si>
  <si>
    <t>10.1016/j.amepre.2016.09.016</t>
  </si>
  <si>
    <t>Association of Bacterial Vaginosis With Chlamydia and Gonorrhea Among Women in the U.S. Army</t>
  </si>
  <si>
    <t>Introduction Bacterial vaginosis (BV) is a common vaginal condition in women of reproductive age, which has been associated with Chlamydia trachomatis and Neisseria gonorrhoeae among commercial sex workers and women attending sexually transmitted infection clinics. Pathogen-specific associations between BV and other sexually transmitted infections among U.S. military women have not been investigated. Methods A population-based, nested case-control study was conducted of all incident chlamydia and gonorrhea cases reported to the Defense Medical Surveillance System during 2006âˆ’2012. Using a density sampling approach, for each chlamydia or gonorrhea case, 10 age-matched (Â±1 year) controls were randomly selected from those women who were never diagnosed with these infections. Incidence rate ratios were estimated using conditional logistic regression. Statistical analysis was carried out in December 2015. Results A total of 37,149 chlamydia cases and 4,987 gonorrhea cases were identified during the study period. Antecedent BV was associated with an increased risk of subsequent chlamydia (adjusted incidence rate ratio=1.51; 95% CI=1.47, 1.55) and gonorrhea (adjusted incidence rate ratio=2.42; 95% CI=2.27, 2.57) infections. For every one additional episode of BV, the risk of acquiring chlamydia and gonorrhea infections increased by 13% and 26%, respectively. A monotonic doseâˆ’response relationship was also noted between antecedent BV and subsequent chlamydia and gonorrhea infection. In addition, an effect modification on the additive scale was found between BV and African-American race for gonorrhea, but not for chlamydia. Conclusions Among U.S. Army women, antecedent BV is associated with an increased risk of subsequent chlamydia and gonorrhea infection.</t>
  </si>
  <si>
    <t>SCOPUS_ID:0032440796</t>
  </si>
  <si>
    <t>10.2105/ajph.88.12.1846</t>
  </si>
  <si>
    <t>Potential barriers to the removal of norplant among family planning clinic patients</t>
  </si>
  <si>
    <t>Objectives. This study examined the prevalence and effects of potential barriers to removal of levonorgestrel implants (Norplant) among low-income women. Methods. A sample of 687 women who received Norplant at hospital- based family planning clinics were interviewed before Norplant insertion and 6 months after Norplant insertion (or at Norplant removal if removal occurred earlier). Those who continued to use Norplant were reinterviewed at 2 years or at removal. Results. In a multivariate analysis, only 1 of the 4 potential barriers - cost - significantly impeded Norplant discontinuation. Conclusions. Family planning clinics need to make clear that they follow a policy of Norplant removal on demand, regardless of the patient's ability to pay.</t>
  </si>
  <si>
    <t>SCOPUS_ID:0032694208</t>
  </si>
  <si>
    <t>10.1023/A:1007611412532</t>
  </si>
  <si>
    <t>Osteoporosis and years since menopause</t>
  </si>
  <si>
    <t>['Bone mineral density (BMD)', 'Epidemiology', 'Osteoporosis', 'Years since menopause']</t>
  </si>
  <si>
    <t>In Fukuoka Prefecture, in south-western Japan, a regional screening program for osteoporosis was conducted from 1994 to 1995. The screening level in the bone mineral density (BMD) at the distal non-dominant radius was equal to or less than two standard deviations below age-specific mean (â‰¤ -2.0 SD). In 1177 examinees with natural menopause (mean age: 61.4, range: 42-88), 56 of those who were screened were subsequently radiologically confirmed by orthopedic specialists to have osteoporosis (case group). They were then compared with 802 normal BMD (â‰¥ -1.0 SD) women (reference group) with their lifestyle and reproductive characteristics. The adjusted odds ratio (OR) and its 95% confidence interval (CI) were calculated using a logistic regression model. A significant increase in the ORs for osteoporosis based on the number of years since menopause was observed for 7-13 years since menopause (OR = 2.3; 95% CI: 1.0-5.4) compared with &lt;7 years, however, no increasing trend in risk was evident in 14+ years since menopause (OR = 1.4; 95% CI: 0.4-5.1). Thus, the elevated risk continued up to around 10 years since menopause. These findings are consistent with previous studies that reported an alternation in the calcium metabolism and bone loss related to the length of time after menopause. Both the childhood and current milk consumption were also associated with a decreased risk: ORs were 0.4 (95% CI: 0.2-0.9) and 0.5 (95% CI: 0.3-1.0), respectively.</t>
  </si>
  <si>
    <t>Japan</t>
  </si>
  <si>
    <t>SCOPUS_ID:0030850107</t>
  </si>
  <si>
    <t>10.2105/AJPH.87.6.1022</t>
  </si>
  <si>
    <t>Prenatal health behaviors and psychosocial risk factors in pregnant women of mexican origin: The role of acculturation</t>
  </si>
  <si>
    <t>Objectives. This study examined the association between acculturation of Mexican-origin women and factors in low birthweight and preterm delivery. Methods. Interviews were conducted with 911 Mexican-origin respondents in Los Angeles prenatal care clinics. Infant outcome data were retrieved from delivery records. Results. Mexican-American women had generally more undesirable prenatal behaviors mad risk factors than Mexican-immigrant women. Although higher acculturation was significantly associated with behavioral risk factors, there were no direct effects of acculturation on infant gestational age or birthweight. Conclusions. Future research needs to measure multiple factors to assess their effects on culture-specific protective factors.</t>
  </si>
  <si>
    <t>SCOPUS_ID:79960815320</t>
  </si>
  <si>
    <t>10.1093/aje/kwr086</t>
  </si>
  <si>
    <t>Evaluating the incremental value of new biomarkers with integrated discrimination improvement</t>
  </si>
  <si>
    <t>['biological markers', 'bootstrap confidence interval', 'prediction', 'risk assessment', 'sampling distribution', 'sampling error', 'selection bias', 'type I error']</t>
  </si>
  <si>
    <t>The integrated discrimination improvement (IDI) index is a popular tool for evaluating the capacity of a marker to predict a binary outcome of interest. Recent reports have proposed that the IDI is more sensitive than other metrics for identifying useful predictive markers. In this article, the authors use simulated data sets and theoretical analysis to investigate the statistical properties of the IDI. The authors consider the common situation in which a risk model is fitted to a data set with and without the new, candidate predictor(s). Results demonstrate that the published method of estimating the standard error of an IDI estimate tends to underestimate the error. The z test proposed in the literature for IDI-based testing of a new biomarker is not valid, because the null distribution of the test statistic is not standard normal, even in large samples. If a test for the incremental value of a marker is desired, the authors recommend the test based on the model. For investigators who find the IDI to be a useful measure, bootstrap methods may offer a reasonable option for inference when evaluating new predictors, as long as the added predictive capacity is large. Â© 2011 The Author.</t>
  </si>
  <si>
    <t>SCOPUS_ID:84880312110</t>
  </si>
  <si>
    <t>10.1016/j.amepre.2013.03.019</t>
  </si>
  <si>
    <t>Challenges in cervical cancer prevention: A survey of U.S. Obstetrician-Gynecologists</t>
  </si>
  <si>
    <t>Background Current cervical cancer prevention recommendations include human papillomavirus (HPV) vaccination, Pap and HPV co-testing, and Pap testing at 3- to 5-year intervals. Purpose To examine attitudes, practice patterns, and barriers related to HPV vaccination and cervical cancer screening guidelines among U.S. obstetrician-gynecologists. Methods In 2011-2012, a national sample of members of the American Congress of Obstetricians and Gynecologists responded to a 15-item (some with multiple parts) questionnaire assessing sociodemographic characteristics, clinical practices, and perceived barriers to HPV vaccination and cervical cancer screening. Multivariate logistic regression was used to identify factors associated with guideline adherence. Analyses were conducted in 2012. Results A total of 366 obstetrician-gynecologists participated. Ninety-two percent of respondents offered HPV vaccination to patients, but only 27% estimated that most eligible patients received vaccination. Parent and patient refusals were commonly cited barriers to HPV vaccination. Approximately half of respondents followed guidelines to begin cervical cancer screening at age 21 years, discontinue screening at age 70 years or after hysterectomy, and appropriately utilize Pap and HPV co-testing. Most physicians continued to recommend annual Paps (74% aged 21-29 years, 53% aged â‰¥30 years). Physicians felt that patients were uncomfortable with extended screening intervals and were concerned that patients would not come for annual exams without concurrent Paps. Solo practitioners were less likely to follow both vaccination and screening guidelines than those in group practices. Conclusions This survey of obstetrician-gynecologists indicates persistent barriers to the adoption of HPV vaccination and cervical cancer screening guidelines. Interventions to promote guideline adherence may help improve the quality of cervical cancer prevention. Â© 2013 American Journal of Preventive Medicine.</t>
  </si>
  <si>
    <t>SCOPUS_ID:79955779649</t>
  </si>
  <si>
    <t>10.1093/aje/kwq502</t>
  </si>
  <si>
    <t>Dynamic path analysis in life-course epidemiology</t>
  </si>
  <si>
    <t>['blood pressure', 'body mass index', 'epidemiologic methods', 'heart diseases', 'path analysis', 'survival analysis']</t>
  </si>
  <si>
    <t>Life-course epidemiology seeks to better understand the mechanisms that lead to the development of chronic diseases. An example is the mechanism leading from body size to coronary heart disease (CHD); one way to acquire a better understanding of this mechanism is to investigate to what extent it works through other risk factors. In this paper, the dynamic path analysis model is presented as a tool to analyze these dynamic mechanisms in life-course epidemiology. A key feature of dynamic path analysis is its ability to decompose the total effect of a risk factor into a direct effect (not mediated by other variables) and indirect effects (mediated through other variables). This is illustrated by examining the associations between repeated measurements of body mass index (BMI) and systolic blood pressure (SBP) and the risk of CHD in a sample of Danish men between 1976 and 2006. The effect of baseline BMI on the risk of CHD is decomposed into a direct effect and indirect effects going through later BMI, concurrent SBP, or later SBP. In conclusion, dynamic path analysis is a flexible tool that by the decomposition of effects can be used to increase the understanding of mechanisms that underlie the etiology of chronic disease. Â© The Author 2011. Published by Oxford University Press on behalf of the Johns Hopkins Bloomberg School of Public Health. All rights reserved.</t>
  </si>
  <si>
    <t>SCOPUS_ID:84907201782</t>
  </si>
  <si>
    <t>10.2105/AJPH.2013.301735</t>
  </si>
  <si>
    <t>Factors influencing adoption of and adherence to indoor smoking bans among health disparity communities</t>
  </si>
  <si>
    <t>Methods: We used a cross-sectional design to assess home smoking rules, smoking status, cigarettes smoked in the home, and barriers and benefits to attaining a smoke-free home among 138 caregivers (mean age = 30.0 years; 92% women) of children aged 0 to 6 years, between April 2010 and September 2012. Indoor SHS was assessed using a nicotine dosimeter.</t>
  </si>
  <si>
    <t>SCOPUS_ID:0028282150</t>
  </si>
  <si>
    <t>10.1136/jech.48.2.188</t>
  </si>
  <si>
    <t>Prevalence of total hip replacement: How much demand has been met?</t>
  </si>
  <si>
    <t>Objective - To determine the prevalence of completed elective total hip replacements in a defined elderly population. Design - Cross sectional postal questionnaire survey with additional data and validation from general practice and hospital records. Setting - Six general practices in the English counties of Avon, Somerset, and Oxfordshire. Subjects - A total of 7806 patients aged 65 years and over (94.7% response). Results - The overall prevalence (95% confidence intervals) of elective total hip replacement was 5.3 (4.8, 5.8)%. Age and sex specific prevalences were 2.7 (2.0, 3.5)% in men and 4.1 (3.3, 4.9)% in women aged 65-74 years, and 5.2 (4.0, 6.5)% in men and 8.8 (7.6, 10.0)% in women aged 75 years and over. Of the 415 patients who had received elective total hip replacement, 28.2% had required bilateral surgery, 20% had received at least one operation privately, and 13% had required revision surgery. Conclusion - Our results show an increased level of satisfied demand for total hip replacement in elderly people compared with earlier estimates. The increasing prevalence of hip replacement is an indicator of increasing potential demand for revision procedures. Population based surveys are required to establish the level of unmet demand for primary procedures. Differences in past surgical activity may be important in interpreting the wide variation in current surgical rates.</t>
  </si>
  <si>
    <t>SCOPUS_ID:0026747758</t>
  </si>
  <si>
    <t>10.2105/AJPH.82.8.1133</t>
  </si>
  <si>
    <t>Does equal socioeconomic status in Black and White men mean equal risk of mortality?</t>
  </si>
  <si>
    <t>Although concerns have been expressed that mortality from coronary disease and all other causes is greater among Blacks than Whites, we hypothesized that, when socioeconomic status is adequately considered, mortality inequalities between Blacks and Whites are insignificant. The study population was a random sampling of Black and White men who were 35 years of age or older when recruited into the Charleston Heart Study in 1960. Education level and occupational status at baseline were used to compare mortality over the ensuing 28 years between Black and White men, who were classified as low or high socioeconomic status. In no instance were Black- White differences in all-cause or coronary disease mortality rates significantly different when socioeconomic status was controlled. We conclude that socioeconomic status is an important predictor of mortality and that, when socioeconomic status is considered, differences in Black-White mortality rates may be small.</t>
  </si>
  <si>
    <t>SCOPUS_ID:0029968968</t>
  </si>
  <si>
    <t>10.2105/AJPH.86.11.1607</t>
  </si>
  <si>
    <t>Childhood victimization and subsequent risk for promiscuity, prostitution, and teenage pregnancy: A prospective study</t>
  </si>
  <si>
    <t>Objectives. This study examined the extent to which being abused and/or neglected in childhood increases a person's risk for promiscuity, prostitution, and teenage pregnancy. Methods. A prospective cohorts design was used to match, on the basis of age, race, sex, and social class, cases of abused and/or neglected children from 1967 to 1971 with nonabused and nonneglected children; subjects were followed into young adulthood. From 1089 to 1995, 1196 subjects (676 abused and/or neglected and 520 control subjects) were located and interviewed. Results. Early childhood abuse and/or neglect was a significant predictor of prostitution for females (odds ratio [OR] = 2.96). For females, sexual abuse (OR = 2.54) and neglect (OR = 2.58) were associated with prostitution, whereas physical abuse was only marginally associated. Childhood abuse and neglect were not associated with increased risk for promiscuity or teenage pregnancy. Conclusions. These findings strongly support a relationship between childhood victimization and subsequent prostitution. The presumed causal sequence between childhood victimization and teenage pregnancy may need to be reevaluated.</t>
  </si>
  <si>
    <t>SCOPUS_ID:85055798363</t>
  </si>
  <si>
    <t>10.1093/aje/kwy158</t>
  </si>
  <si>
    <t>The Number of Events per Confounder for Valid Estimation of Risk Difference Using Modified Least-Squares Regression</t>
  </si>
  <si>
    <t>['confounding', 'events per confounder', 'linear binomial model', 'modified least-squares regression', 'prenatal care', 'risk difference', 'simulation study']</t>
  </si>
  <si>
    <t>Risk difference is a relevant effect measure in epidemiologic research. Although it is well known that when there are few events per confounder, logistic regression is not suitable for confounding control, it is not clear how many events per confounder are required for valid estimation of risk difference using linear binomial models. Because the maximum likelihood method has a convergence problem, we investigated the number of events per confounder necessary to validly estimate risk difference using modified least-squares regression in a simulation. We simulated 864 scenarios, according to the number of confounders (2-20), the number of events per confounder (2-12), marginal risk (0.5%-40%), exposure proportion (20% and 40%), and 3 sizes of risk difference. Our simulation showed that modified least-squares regression provided unbiased risk difference-regardless of the number of events per confounder-and reliable confidence intervals when more than 5 events were expected in the exposed and in the unexposed, irrespective of the number of events per confounder. We illustrated the modified least-squares regression analysis using perinatal epidemiologic data. Modified least-squares regression is considered to be a useful analytical tool for rare binary outcomes relative to the number of confounders.</t>
  </si>
  <si>
    <t>SCOPUS_ID:84871232651</t>
  </si>
  <si>
    <t>10.1093/aje/kws212</t>
  </si>
  <si>
    <t>Perinatal and family risk factors for Hodgkin lymphoma in childhood through young adulthood</t>
  </si>
  <si>
    <t>['birth order', 'family', 'fetal development', 'gestational age', 'Hodgkin disease', 'lymphoma', 'maternal age']</t>
  </si>
  <si>
    <t>The incidence of Hodgkin lymphoma has increased among adolescents and young adults in recent decades, but the relevant risk factors in early life are still unknown. A national cohort study was conducted of 3,571,574 individuals born in Sweden in 1973-2008 and followed up for Hodgkin lymphoma incidence through 2009, to examine perinatal and family risk factors for Hodgkin lymphoma in childhood through young adulthood (ages 0-37 years). There were 943 Hodgkin lymphoma cases identified in 66.3 million person-years of follow-up. High fetal growth was associated with an increased risk of Hodgkin lymphoma after adjustment for gestational age at birth and other potential confounders (P trend = 0.005). Family history of Hodgkin lymphoma in a sibling or parent also was strongly associated with an increased risk, with adjusted hazard ratios = 8.83 (95% confidence interval: 3.67, 21.30) and 7.19 (95% confidence interval: 3.58, 14.44), respectively. No association was found between gestational age at birth, birth order, twinning, parental age, or parental education and Hodgkin lymphoma. These findings did not vary by age at Hodgkin lymphoma diagnosis. Similar associations were found for nodular sclerosis and mixed cellularity subtypes. These findings suggest that perinatal factors including possible growth factor pathways may contribute to the risk of Hodgkin lymphoma in childhood through young adulthood. Â© 2012 The Author.</t>
  </si>
  <si>
    <t>SCOPUS_ID:0034032147</t>
  </si>
  <si>
    <t>10.1023/A:1007621104789</t>
  </si>
  <si>
    <t>Use of unconventional methods of therapy by cancer patients in Pakistan</t>
  </si>
  <si>
    <t>['Alternative medicine', 'Cancer patients', 'Developing countries', 'Unconventional medicine']</t>
  </si>
  <si>
    <t>Most of the studies related to the use of unconventional methods of therapy by cancer patients have been carried out in the developed countries. This study was conducted to ascertain the frequency, type, and duration of use of unconventional methods of therapy by cancer patients in Pakistan. We also wanted to identify individuals who are most likely to use these methods and to compare the findings with those reported from the developed countries. Between 1 April and 30 May 1994, all patients with histologically proven cancer who visited the oncology unit were interviewed. A printed questionnaire with questions and options was used as an interview guide. Informed consent was obtained. One hundred and ninety-one patients were interviewed, on average, for 25 minutes each. Use of unconventional methods of therapy by cancer patients was widespread (54.5% of all patients). The majority (83.7%) were influenced by family members to use these methods. Traditional herbal medicines (70.2%) and homeopathy (64.4%) were the most commonly employed methods. Thirty-six percent of the users employed these methods before receiving any conventional therapy. Only 15% used these methods after conventional therapeutic options had been exhausted. Patients generally perceived these methods as useful, non-toxic and inexpensive. Age, marital status, socio-economic background, education level and status of underlying neoplasm did not influence the frequency of use of unconventional methods. The use, however, was influenced by gender, family size, and type of underlying malignancy. Patients aware of their diagnosis were less likely to use these methods. This study suggests that use of unconventional methods by cancer patients in Pakistan is widespread. Unlike western countries, these methods are often employed before receiving any conventional therapy. This probably results in a significant delay which can be expected to adversely influence the subsequent disease management and survival. Public education, reduction of cost and easy availability of conventional therapy may be helpful in reducing the use of methods which otherwise may have no proven value.</t>
  </si>
  <si>
    <t>Pakistan</t>
  </si>
  <si>
    <t>SCOPUS_ID:79960805262</t>
  </si>
  <si>
    <t>10.1093/aje/kwr074</t>
  </si>
  <si>
    <t>Changes in the prevalence of cognitive impairment among older Americans, 1993-2004: Overall trends and differences by race/ethnicity</t>
  </si>
  <si>
    <t>['African Americans', 'aged', 'aged, 80 and over', 'cognition disorders', 'health status disparities', 'Hispanic Americans', 'prevalence', 'socioeconomic factors']</t>
  </si>
  <si>
    <t>The authors used data from 6 waves of the Health and Retirement Study to evaluate changes in the prevalence of cognitive impairment among adults 70 years of age or older from 1993 to 2004. Having sampling weights for each wave enabled the authors to create merged waves that represented cross-sections of the community-dwelling older population for that year. Logistic regression analyses with year as the predictor were used to estimate trends and determine the contribution of sociodemographic and health status variables to decreasing trends in the prevalence of cognitive impairment over time (score â‰¤8 on a modified Telephone Interview Cognitive Screen). Results showed an annual decline in the prevalence of cognitive impairment of 3.4% after adjustment for age, gender, and prior test exposure (odds ratio (OR) = 0.966, 95% confidence interval (CI): 0.941, 0.992). The addition of socioeconomic variables to the model attenuated the trend by 72.1%. The annual percentage of decline in impairment was larger for blacks (OR = 0.943, 95% CI: 0.914, 0.973) and Hispanics (OR = 0.954, 95% CI: 0.912, 0.997) than for whites (OR = 0.971, 95% CI: 0.936, 1.006), although the differences were not statistically significant. Linear probability models used in secondary analyses showed larger percentage-point declines for blacks and Hispanics. Improvements in educational level contributed to declines in cognitive impairment among older adults - particularly blacks and Hispanics - in the United States. Â© 2011 The Author.</t>
  </si>
  <si>
    <t>SCOPUS_ID:85042868429</t>
  </si>
  <si>
    <t>10.1136/jech-2017-209333</t>
  </si>
  <si>
    <t>Longitudinal analysis of cardiovascular disease risk profile in neighbourhood poverty subgroups: 5-year results from an afterschool fitness programme in the USA</t>
  </si>
  <si>
    <t>['cardiovascular disease', 'child health', 'health inequalities', 'physical activity', 'poverty']</t>
  </si>
  <si>
    <t>Background The WHO calls for affordable populationbased prevention strategies for reducing the global burden of cardiovascular disease (CVD) on morbidity and mortality; however, effective, sustainable and accessible community-based approaches for CVD prevention in at-risk youth have yet to be identified. We examined the effects of implementing a daily park-based afterschool fitness programme on youth CVD risk profiles over 5 years and across area poverty subgroups. Methods The study included 2264 youth (mean age 9.4 years, 54% male, 50% Hispanic, 47% non-Hispanic black, 70% high/very high area poverty) in Miami, Florida, USA. We used three-level repeated measures mixed models to determine the longitudinal effects of programme participation on modifiable CVD outcomes (2010-2016). Results Duration of programme participation was significantly associated with CVD risk profile improvements, including body mass index (BMI) z-score, diastolic/systolic blood pressure, skinfold thicknesses, waist-hip ratio, sit-ups, push-ups, Progressive Aerobic Cardiovascular Endurance Run (PACER) score, 400 m run time, probability of developing systolic/diastolic hypertension and overweight/obesity in high/very high poverty neighbourhoods (P&gt;0.001). Diastolic blood pressure decreased 3.4 percentile points (95% CI-5.85 to-0.85), 8.1 percentile points (95% CI-11.98 to-4.26), 6.1 percentile points (95% CI-11.49 to-0.66), 7.6 percentile points (95% CI-15.33 to-0.15) and 11.4 percentile points (95% CI-25.32 to 2.61) for 1-5 years, respectively, in high/very high poverty areas. In contrast, significant improvements were found only for PACER score and waist-hip ratio in low/mid poverty areas. Conclusion This analysis presents compelling evidence demonstrating that park-based afterschool programmes can successfully maintain or improve at-risk youth CVD profiles over multiple years.</t>
  </si>
  <si>
    <t>SCOPUS_ID:84929055179</t>
  </si>
  <si>
    <t>10.1093/eurpub/cku229</t>
  </si>
  <si>
    <t>Comparing variation across European countries: Building geographical areas to provide sounder estimates</t>
  </si>
  <si>
    <t>Background: In geographical studies, population distribution is a key issue. An unequal distribution across units of analysis might entail extra-variation and produce misleading conclusions on healthcare performance variations. This article aims at assessing the impact of building more homogeneous units of analysis in the estimation of systematic variation in three countries. Methods: Hospital discharges for six conditions (congestive heart failure, short-term complications of diabetes, hip fracture, knee replacement, prostatectomy in prostate cancer and percutaneous coronary intervention) produced in Denmark, England and Portugal in 2008 and 2009 were allocated to both original geographical units and new ad hoc areas. New areas were built using Ward's minimum variance methods. The impact of the new areas on variability was assessed using Kernel distribution curves and different statistic of variation such as Extremal Quotient, Interquartile Interval ratio, Systematic Component of Variation and Empirical Bayes statistic. Results: Ward's method reduced the number of areas, allowing a more homogeneous population distribution, yet 20% of the areas in Portugal exhibited less than 100 000 inhabitants vs. 7% in Denmark and 5% in England. Point estimates for Extremal Quotient and Interquartile Interval Ratio were lower in the three countries, particularly in less prevalent conditions. In turn, the Systematic Component of Variation and Empirical Bayes statistic were slightly lower in more prevalent conditions. Conclusions: Building new geographical areas produced a reduction of the variation in hospitalization rates in several prevalent conditions mitigating random noise, particularly in the smallest areas and allowing a sounder interpretation of the variation across countries.</t>
  </si>
  <si>
    <t>SCOPUS_ID:0027940114</t>
  </si>
  <si>
    <t>10.1093/ije/23.4.673</t>
  </si>
  <si>
    <t>No improvement in survival from melanoma diagnosed from 1973 to 1984</t>
  </si>
  <si>
    <t>Berwick M (Cancer Prevention Research Institute, 11 East 22nd Street, New York, NY 10010, USA), Dubin N, Luo S-T and Flannery J. No improvement in survival from melanoma diagnosed from 1973 to 1984. International Journal of Epidemiology 1994; 23: 673-681. Background. While the incidence and mortality of melanoma has increased dramatically during the last few decades, survival rates, based on the case-fatality ratio, have apparently improved. Efforts at early detection have probably been effective in the discovery of lesions at a curable stage. However, the effects of lead-time bias need to be accounted for in order to understand the contribution of early detection to the increased incidence. This can best be done by appropriately controlling for depth of the turnour or a surrogate of depth, at diagnosis. Methods. A survival analysis was conducted for 3197 Connecticut residents newly diagnosed with invasive melanoma between 1973 and 1984. Five prognostic variables were evaluated: sex, age at diagnosis, anatomical site, histological type, and year of diagnosis. Results. As expected, women and the young had better survival than men and the elderly. Melanomas located on the trunk had poorer prognosis than those on other sites. The survival experience by histological type was significantly different; lentigo maligna melanoma and superficial spreading melanoma had the best survival and nodular melanomas the poorest, while â€˜otherâ€™ and unclassifiable melanomas had intermediate survival. When survival by period of diagnosis was controlled by other variables, which included surrogates for disease stage, there was no improvement in survival over time. Conclusion. These data do not imply that early diagnosis and treatment are ineffective; rather, that within stages of disease, survival improvements did not occur during the period 1973-1984. Â© 1994 International Epidemiological Association.</t>
  </si>
  <si>
    <t>SCOPUS_ID:31944433220</t>
  </si>
  <si>
    <t>10.1007/s10654-005-4724-2</t>
  </si>
  <si>
    <t>Characteristics and analysis of risk factors for mortality in infective endocarditis</t>
  </si>
  <si>
    <t>['Endocarditis', 'Haemodialysis', 'Mental alteration', 'Mortality', 'Prognosis', 'Vegetation']</t>
  </si>
  <si>
    <t>Objective: The aim of our study was to establish the etiology of and risk factors for infective endocarditis (IE) and determine the prognostic factors for adverse outcome during hospital admission in a Turkish population. Material and Methods: Between January 2002 and January 2004, the clinical and laboratory features of 112 consecutive adult patients (&gt;18 years) with diagnosis of IE who were referred to the infectious diseases clinics/departments of 17 teaching hospitals in Turkey were evaluated. Cases of IE were defined according to the modified Duke Criteria. Mortality was defined as death occurring within 30 days or during hospital stay period. Univariate and multivariate analyses were performed to predict the factors related to fatal outcome. Results: A total of 112 consecutive patients presented with 101 definite and 11 probable IE episodes were defined according to the modified Duke Criteria. The mean age was 45.2Â±19.9. Fifty percent of the patients were male. Ninety (60.4%) of the 112 patients had risk factors for IE and 48 (42.9%) of them had â‰¥2 risk factors. On the other hand, 49.1% of patients had cardiac risk factors. Blood cultures were positive in 94 (83.9%) cases. Staphylococci were the most common agents (50.0%), followed by streptococci (28.7%) and enterococi (16.0%). Native cardiac valves were detected in 93 (83%) of the episodes of suspected IE. Valvular involvement was present in 103 (92%) patients; the mitral valve, alone or in combination with other valves, was affected in 70 (62.5%) of the patients. Echocardiography detected vegetations in 105 patients (93.8%). The mortality rate was 28.6%. Three factors were independently associated with mortality: haemodialysis OR: 14.5 (95% CI: 1.5-138.2), mobile vegetation OR: 4.8 (95% CI: 1.5-15.4) and mental alteration OR: 4.1 (95% CI: 1.1-15.6). Conclusion: Mortality is still high in IE. Our data indicate that patients with altered mental status, mobile vegetation, or on haemodialysis had poorer prognosis. Â© Springer 2006.</t>
  </si>
  <si>
    <t>TÃ¼rkiye</t>
  </si>
  <si>
    <t>SCOPUS_ID:0025918863</t>
  </si>
  <si>
    <t>10.2105/AJPH.81.1.53</t>
  </si>
  <si>
    <t>AIDS-related knowledge, sexual behavior, and condom use among men and women in Kinshasa, Zaire</t>
  </si>
  <si>
    <t>This study was conducted in 1988 among a random sample of 6,625 men and women of reproductive age in all 24 administrative zones of Kinshasa, the capital city of Zaire, to determine existing levels of knowledge regarding AIDS (acquired immunodeficiency syndrome), sexual behavior, knowledge and use of condoms in marital and extramarital relations; perceived risk of AIDS, and attitudes toward testing for the human immunodeficiency virus (HIV). Awareness of AIDS is almost universal, and the vast majority know the four main modes of transmission. Almost half believed in transmission by mosquitoes and in a vaccine or cure for AIDS. The majority of male respondents knew of condoms, but negative attitudes toward condom use are widespread, and few respondents perceived them to play a central role in combatting AIDS.</t>
  </si>
  <si>
    <t>SCOPUS_ID:85207423519</t>
  </si>
  <si>
    <t>10.1136/jech-2024-222677</t>
  </si>
  <si>
    <t>Association of housing tenure and unaffordable housing with preterm birth and other adverse birth outcomes in Canada: a population-based study</t>
  </si>
  <si>
    <t>Background Socioeconomic risk factors are known drivers of adverse birth outcomes. Housing is a key target for policy interventions. Objective To estimate the associations of housing tenure (renting vs owning) and unaffordable housing with preterm birth and other adverse birth outcomes. Methods We used 2014â€“2016 Canadian birth registration data linked with the 2016 long-form census and included singleton births among homeowners and renters. Unaffordable housing was defined at the family level as the proportion of pre-tax income spent on shelter, using a 30% cut-off. The primary outcome was preterm birth. Secondary outcomes were stillbirth and infant death. Log-binomial regression estimated the association of housing tenure and unaffordability with outcomes adjusting for sociodemographic risk factors and parity. Results Among 162 700 live births and stillbirths (52 740 renters, 109 960 owners), 31% of renters and 17% of owners experienced unaffordable housing. Renting was associated with an increased risk of preterm birth (7.5% vs 6.1%; adjusted risk ratio (aRR) 1.13; 95% CI 1.08 to 1.17), stillbirth (9.5 vs 6.6 per 1000; aRR 1.33, 95% CI 1.14 to 1.56) and infant death (4.2 vs 3.0 per 1000; aRR 1.52, 95% CI 1.26 to 1.82). There was no association of housing unaffordability with preterm birth or other adverse birth outcomes among owners or renters. Conclusions This nationally representative study in Canada found associations between renting versus owning and preterm birth, stillbirth and infant death, as well as a high burden of unaffordable housing, particularly among renters. This study suggests that home tenure itself is a social determinant of adverse birth outcomes.</t>
  </si>
  <si>
    <t>SCOPUS_ID:85108568071</t>
  </si>
  <si>
    <t>10.1136/jech-2021-216581</t>
  </si>
  <si>
    <t>Effectiveness of the population-based a â‚¬ check your health preventive programme' conducted in a primary care setting: A pragmatic randomised controlled trial</t>
  </si>
  <si>
    <t>['epidemiology of chronic non communicable diseases', 'health promotion', 'prevention', 'treatment outcome']</t>
  </si>
  <si>
    <t>Health checks have been suggested as an early detection approach aiming at lowering the risk of chronic disease development. This study aimed to evaluate the effectiveness of a health check programme offered to the general population, aged 30-49 years. Methods The entire population aged 30-49 years (N=26 216) living in the municipality of Randers, Denmark, was invited to a health check during 5 years. A pragmatic household cluster-randomised controlled trial was conducted in 10 505 citizens. The intervention group (IG, N=5250) included citizens randomised to the second year and reinvited in the 5th year. The comparison group (CG, N=5255) included citizens randomised to the 5th year. Outcomes were modelled cardiovascular disease (CVD) risk; self-reported physical activity (PA) and objectively measured cardio respiratory fitness (CRF); self-rated health (short-form 12 (SF-12)), self-rated mental health (SF-12_Mental Component Score (MCS)) and, registry information on sick-leave and employment. Due to low participation, we compared groups matched on propensity scores for participation when reinvited. Results Participation in the first health check was 51% (N=2698) in the IG and 40% (N=2120) in the CG. In the IG 26% (N=1340) participated in both the first and second health checks. No intervention effects were found comparing IG and CG. Mean differences were (95% CI): modelled CVD risk: -0.052 (95% CI -0.107 to 0.003)%, PA: -0.156 (-0.331 to 0.019) days/week with 30 min moderate PA, CRF: 0.133 (-0.560 to 0.826) mL O 2 /min/kg, SF-12: -0.003 (-0.032 to 0.026), SF-12_MCS: 0.355 (-0.423 to 1.132), sick leave periods â‰¥3 weeks: -0.004 (-0.025 to 0.017), employment: -0.004 (-0.032 to 0.024). Conclusions Preventive health checks offered to the general population, aged 30-49 years, had no effects on a wide range of indicators of chronic disease risk. Trial registration number NCT02028195.</t>
  </si>
  <si>
    <t>SCOPUS_ID:84856106049</t>
  </si>
  <si>
    <t>10.1093/eurpub/ckq193</t>
  </si>
  <si>
    <t>Prevalence and regional differences of gestational diabetes mellitus and oral glucose tolerance tests in Finland</t>
  </si>
  <si>
    <t>Background: The prevalence of gestational diabetes (GDM) is constantly increasing all around the world. Aim of this study is to report prevalence and regional differences of GDM, oral glucose tolerance tests (OGTT) and register-based GDM risk factors [age and body mass index (BMI)] among Finnish women. Methods: Data from the Finnish Medical Birth Register including all deliveries in Finland during 2004-06 (N=174634) were used. The criteria for GDM were abnormal results in OGTT, GDM diagnosis based on ICD-10 classification or use of insulin treatment during pregnancy. Pregnant women with type I diabetes were excluded, but women with pregestational diabetes (type II) were included since they also can receive GDM diagnosis. Results: The prevalence of GDM was 10-11% and OGTTs 22-28% between the period 2004 until 2006. Regional differences were 2-fold both in prevalence of GDM (8-15%) and OGTTs (19-34%). Proportions of obese women varied between 28% and 35% and women aged &gt;40 years between 3% and 4%. The regional differences in GDM prevalence were not attenuated when risk factors were taken into account. Overweight and age â‰¥years explained only a fourth of the variation in GDM prevalence. Conclusion: Proportion of women undergoing OGTT increased but the prevalence of GDM did not during the study period. Two-fold regional differences in OGTT prevalence explained higher proportion of variation in prevalence of GDM than risk factors available from birth registry, age and BMI. Â© The Author 2011. Published by Oxford University Press on behalf of the European Public Health Association. All rights reserved.</t>
  </si>
  <si>
    <t>Finland</t>
  </si>
  <si>
    <t>SCOPUS_ID:0842281637</t>
  </si>
  <si>
    <t>10.1016/j.ypmed.2003.11.003</t>
  </si>
  <si>
    <t>Nicotine dependence, quit attempts, and quitting among smokers in a regional population sample from a country with a high prevalence of tobacco smoking</t>
  </si>
  <si>
    <t>['Nicotine dependence', 'Quit attempts', 'Smoking', 'Smoking cessation']</t>
  </si>
  <si>
    <t>Background. Nicotine dependence might function as a barrier to smoking cessation. Therefore, the goal was to determine whether single symptoms of nicotine dependence are related to the number of quit attempts and smoking status. Methods. In a random population sample of 4075 women and men aged 18-64, drawn from 47 German communities, data about nicotine dependence according to the US Diagnostic and Statistical Manual of Mental Disorders and according to the FagerstrÃ¶m Test for Nicotine Dependence (FTND), and data on quit attempts and quitting were collected at baseline with an interview and 30 months later with a questionnaire. Results. Nicotine dependence, in particular withdrawal, was related to a high number of quit attempts and to remaining a current smoker. The urgent need for tobacco, craving for nicotine, smoking to avoid withdrawal, and the expectation of increased appetite or weight gain correctly classified smoking status in 72.1% of individuals through logistic regression analysis. Conclusions. Nicotine dependence is a strong factor that may partly explain the failure of a subpopulation of smokers to live abstinent. Population-based interventions should include measures of tobacco control and brief interventions carried out, for example, by experts in health care. Â© 2003 The Institute For Cancer Prevention and Elsevier Inc. All rights reserved.</t>
  </si>
  <si>
    <t>SCOPUS_ID:85142342895</t>
  </si>
  <si>
    <t>10.1016/j.ypmed.2022.107345</t>
  </si>
  <si>
    <t>Total cost of care associated with opioid use disorder treatment</t>
  </si>
  <si>
    <t>['Healthcare cost', 'Medicaid', 'Medication for opioid use disorder']</t>
  </si>
  <si>
    <t>The opioid epidemic in the United States disproportionately affects Medicaid beneficiaries than other groups. This results in a significant financial burden on state Medicaid programs. In this analysis, we investigate the association of medication for opioid use disorder (MOUD) treatment initiation and linkage to ongoing care on overall healthcare costs of Medicaid Fee-for-Service patients. We conducted a retrospective study among adult patients diagnosed with opioid use disorder (OUD) and who had a clinical encounter at a safety-net institution in Denver Colorado in 2020. Three categories of MOUD status of patients were defined: 1) identified with OUD but did not receive MOUD; 2) initiated MOUD but not linked to ongoing treatment and 3) received MOUD and linked to ongoing treatment. Our outcome variable was per-member per-month total healthcare cost. We estimated a multivariable model to test the association between healthcare cost and MOUD status, while controlling for demographic and risk classification variables. We found that in individuals with OUD who initiated MOUD treatment but were not linked to ongoing care had the highest healthcare cost, while those who were linked to ongoing MOUD treatment had the lowest healthcare cost. MOUD treatment is not only effective at addressing the significant morbidity and mortality burden of OUD but also associated with decreased financial cost, which is disproportionately incurred by Medicaid. Additional policy and care delivery changes are needed to focus efforts to improve linkage to ongoing treatment.</t>
  </si>
  <si>
    <t>marginal e.g., additional policy is required may be reasonable eg to solve an unresolved health issue</t>
  </si>
  <si>
    <t>SCOPUS_ID:0035038622</t>
  </si>
  <si>
    <t>10.2105/AJPH.91.5.761</t>
  </si>
  <si>
    <t>Depression and substance use in minority middle-school students</t>
  </si>
  <si>
    <t>Objectives: This study investigated the association between depression and substance use in a sample of middleschool students. Methods: The 5721 students (59%-63% Hispanic) completed self-report items on depressive symptoms, recent smoking and binge drinking, and lifetime use of marijuana, cocaine, and inhalants. Results: Symptoms of depression were strongly and positively related to substance use. For every type of use, a stepwise increase was seen between the percentage of students with low symptom frequency and the percentage of students with more symptoms. A sizable number of users reported symptoms indicating major depression. Depression scores showed few clinically meaningful differences among demographic subgroups. Substance use scores, in contrast; showed meaningful intergroup differences for racial/ethnic group and other demographic variables. Conclusions: Depressive symptoms and substance use were associated in a sample of middle-school students who were largely non-White and predominantly Hispanic. Greater understanding of the nature of this association is needed; this understanding should be used to design prevention programs, and prevention programs should be introduced at least in the middle-school years.</t>
  </si>
  <si>
    <t>SCOPUS_ID:33947211169</t>
  </si>
  <si>
    <t>10.1093/aje/kwk063</t>
  </si>
  <si>
    <t>Smoking, hypertension, alcohol consumption, and risk of abdominal aortic aneurysm in men</t>
  </si>
  <si>
    <t>['Alcoholic beverages', 'Aorta', 'Aortic aneurysm', 'Ethanol', 'Risk factors', 'Smoking']</t>
  </si>
  <si>
    <t>Despite the known protective association between moderate alcohol consumption and ischemic heart disease, little is known about the effects of alcohol consumption on abdominal aortic aneurysms (AAA). The authors analyzed prospective, biennially updated data for a cohort of 39,352 US men from 1986 to 2002. The association of incident AAA diagnosis with alcohol consumption in grams per day was assessed at baseline and by using alcohol consumption data updated every 4 years, controlling for previously reported cardiovascular risk factors. During 576,374 person-years of follow-up, 376 newly diagnosed cases of AAA were demonstrated. After adjustment for other risk factors for AAA, including smoking, hypertension, and body mass index, alcohol consumption at baseline was independently associated with AAA diagnosis (p for trend = 0.03), with a maximum hazard ratio of 1.21 (95% confidence interval: 0.78, 1.87) for â‰¥30.0 g (approximately â‰¥2 standard drinks) of daily alcohol consumption. This association was stronger when the updated alcohol consumption data were assessed rather than simply baseline exposure (p for trend = 0.02); the hazard ratio for the highest level of intake (â‰¥30.0 g/day) was 1.65 (95% confidence interval: 1.03, 2.64). Small numbers limited analyses by beverage type, but liquor demonstrated the strongest positive association with AAA. Copyright Â© 2007 by the Johns Hopkins Bloomberg School of Public Health All rights reserved.</t>
  </si>
  <si>
    <t>SCOPUS_ID:0036301558</t>
  </si>
  <si>
    <t>10.1093/ije/31.3.587</t>
  </si>
  <si>
    <t>An ecologic study of protective equipment and injury in two contact sports</t>
  </si>
  <si>
    <t>['Football', 'Protective devices', 'Rugby Union', 'Sports injuries']</t>
  </si>
  <si>
    <t>Background. Contact sports have high rates of injury. Protective equipment regulations are widely used as an intervention to reduce injury risk. The purpose of this study was to investigate the injury prevention effect of regulations governing protective equipment in two full-body contact sports. Methods. Injury rates in US collegiate football were compared to New Zealand club Rugby Union. Both sports involve significant body contact and have a high incidence of injury. Extensive body padding and hard-shell helmets are mandated in collegiate football but prohibited in Rugby Union. Results. The injury rate in football was approximately one-third the rugby rate (rate ratio [RR] = 0.35; 95% CI: 0.31-0.40). The head was the body site with the greatest differential in injury incidence (RR = 0.11; 95% CI: 0.08-0.16). Rugby players suffered numerous lacerations, abrasions, and contusions to the head region, but the incidence of these injuries in football was almost zero (RR = 0.01; 95% CI: 0.01-0.03). Injury rates were more similar for the knee (RR = 0.61; 95% CI: 0.43-0.87) and ankle (RR = 0.72; 95% CI: 0.46-1.13), two joints largely unprotected in both sports. Conclusions. The observed differences are consistent with the hypothesis that regulations mandating protective equipment reduce the incidence of injury, although important potential biases in exposure assessment cannot be excluded. Further research is needed into head protection for rugby players.</t>
  </si>
  <si>
    <t>SCOPUS_ID:85169087027</t>
  </si>
  <si>
    <t>10.1093/eurpub/ckad083</t>
  </si>
  <si>
    <t>Impact of a sugar-sweetened beverage tax on sugar producers in Ukraine</t>
  </si>
  <si>
    <t>Taxes on sugar-sweetened beverages can promote health and raise revenue. Whether these taxes negatively impact domestic sugar producers, an argument often made by opponents, is understudied. We extended a simulation model based on a uniform specific volume-based tax of UAH 4/L in Ukraine. We estimated best-and worst-case scenarios for reductions in domestic sugar demand to be 162 and 23000 metric tons. This is at worst âˆ¼0.5% of current exports, meaning decreases in domestic demand could easily be absorbed by export markets given export trends. Due to highly protectionist sugar sector policy, sugar producers would not be able to fully substitute domestic sales revenues through increased export revenues, but the worst-case revenue gap was &lt;0.5% of total sectoral output in recent years. Overall, introducing a tax on sugar-sweetened beverages in Ukraine is likely to have a very limited impact on domestic sugar producers.</t>
  </si>
  <si>
    <t>interesting negation of a policy success claim</t>
  </si>
  <si>
    <t>SCOPUS_ID:85040574830</t>
  </si>
  <si>
    <t>10.1093/aje/kwx193</t>
  </si>
  <si>
    <t>Bias in Hazard Ratios Arising from Misclassification According to Self-Reported Weight and Height in Observational Studies of Body Mass Index and Mortality</t>
  </si>
  <si>
    <t>['body mass index', 'body weight', 'epidemiologic methods', 'mortality', 'NHANES', 'obesity', 'overweight', 'self-report']</t>
  </si>
  <si>
    <t>Misclassification of body mass index (BMI) categories arising from self-reported weight and height can bias hazard ratios in studies of BMI and mortality. We examined the effects on hazard ratios of such misclassification using national US survey data for 1976 through 2010 that had both measured and self-reported weight and height along with mortality follow-up for 48,763 adults and a subset of 17,405 healthy never-smokers. BMI was categorized as &lt;22.5 (low), 22.5-24.9 (referent), 25.0-29.9 (overweight), 30.0-34.9 (class I obesity), and =35.0 (class II-III obesity). Misreporting at higher BMI categories tended to bias hazard ratios upwards for those categories, but that effect was augmented, counterbalanced, or even reversed by misreporting in other BMI categories, in particular those that affected the reference category. For example, among healthy male never-smokers, misclassifications affecting the overweight and the reference categories changed the hazard ratio for overweight from 0.85 with measured data to 1.24 with self-reported data. Both the magnitude and direction of bias varied according to the underlying hazard ratios in measured data, showing that findings on bias from one study should not be extrapolated to a study with different underlying hazard ratios. Because of misclassification effects, self-reported weight and height cannot reliably indicate the lowest-risk BMI category.</t>
  </si>
  <si>
    <t>SCOPUS_ID:85072058175</t>
  </si>
  <si>
    <t>10.1093/aje/kwz134</t>
  </si>
  <si>
    <t>A Cross-Sectional Analysis of Telomere Length and Sleep in the Women's Health Initiative</t>
  </si>
  <si>
    <t>['sleep', 'sleep disturbance', 'sleep duration', 'telomere length', "Women's Health Initiative"]</t>
  </si>
  <si>
    <t>Telomere length is a heritable marker of cellular age that is associated with morbidity and mortality. Poor sleep behaviors, which are also associated with adverse health events, may be related to leukocyte telomere length (LTL). We studied a subpopulation of 3,145 postmenopausal women (1,796 European-American (EA) and 1,349 African-American (AA)) enrolled in the Women's Health Initiative in 1993-1998 with data on Southern blot-measured LTL and self-reported usual sleep duration and sleep disturbance. LTL-sleep associations were analyzed separately for duration and disturbance using weighted and confounder-adjusted linear regression models in the entire sample (AAs + EAs; adjusted for race/ethnicity) and in racial/ethnic strata, since LTL differs by ancestry. After adjustment for covariates, each additional daily hour of sleep beyond 5 hours, approximately, was associated with a 27-base-pair (95% confidence interval (CI): 6, 48) longer LTL in the entire sample. Associations between sleep duration and LTL were strongest among AAs (adjusted Î² = 37, 95% CI: 4, 70); a similar, nonsignificant association was observed for EAs (adjusted Î² = 20, 95% CI:-7, 48). Sleep disturbance was not associated with LTL in our study. Our models did not show departure from linearity (quadratic sleep terms: P â‰¥ 0.55). Our results suggest that longer sleep duration is associated with longer LTL in postmenopausal women.</t>
  </si>
  <si>
    <t>SCOPUS_ID:77951226515</t>
  </si>
  <si>
    <t>10.2105/AJPH.2009.177345</t>
  </si>
  <si>
    <t>Perinatal outcomes for Asian, native Hawaiian, and other Pacific Islander mothers of single and multiple race/ethnicity: California and Hawaii, 2003-2005</t>
  </si>
  <si>
    <t>Objectives. We examined characteristics and birth outcomes of Asian/Pacific Islander (API) mothers to determine whether differences in outcomes existed between mothers of single race/ethnicity and multiple race/ethnicity. Methods. We used data from California and Hawaii birth certificates from 2003 through 2005 to describe variation in birth outcomes for API subgroups by selfreported maternal race/ethnicity (single versus multiple race or API subgroup), and we also compared these outcomes to those of non-Hispanic White women. Results. Low birthweight (LBW) and preterm birth (PTB) varied more among API subgroups than between mothers of single versus multiple race/ethnicity. After adjustment for sociodemographic and behavioral risk factors, API mothers of multiple race/ethnicity had outcomes similar to mothers of single race/ ethnicity, with exceptions for multiple-race/ethnicity Chinese (higher PTB), Filipino (lower LBW and PTB), and Thai (higher LBW) subgroups. Compared with single-race non-Hispanic Whites, adverse outcomes were elevated for most API subgroups: only single-race/ethnicity Korean mothers had lower rates of both LBW (3.4%) and PTB (5.6%); single-race/ethnicity Cambodian, Laotian, and Marshallese mothers had the highest rates of both LBW (8.8%, 9.2%, and 8.4%, respectively) and PTB (14.0%, 13.7%, and 18.8%, respectively). Conclusions. Strategies to improve birth outcomes for API mothers should consider variations in risk by API subgroup and multiple race/ethnicity.</t>
  </si>
  <si>
    <t>SCOPUS_ID:84871329834</t>
  </si>
  <si>
    <t>10.1016/j.amepre.2012.10.002</t>
  </si>
  <si>
    <t>Breast cancer risk prediction and mammography biopsy decisions: A model-based study</t>
  </si>
  <si>
    <t>Background: Controversy continues about screening mammography, in part because of the risk of false-negative and false-positive mammograms. Pre-test breast cancer risk factors may improve the positive and negative predictive value of screening. Purpose: To create a model that estimates the potential impact of pre-test risk prediction using clinical and genomic information on the reclassification of women with abnormal mammograms (BI-RADS3 and BI-RADS4 [Breast Imaging-Reporting and Data System]) above and below the threshold for breast biopsy. Methods: The current study modeled 1-year breast cancer risk in women with abnormal screening mammograms using existing data on breast cancer risk factors, 12 validated breast cancer single-nucleotide polymorphisms (SNPs), and probability of cancer given the BI-RADS category. Examination was made of reclassification of women above and below biopsy thresholds of 1%, 2%, and 3% risk. The Breast Cancer Surveillance Consortium data were collected from 1996 to 2002. Data analysis was conducted in 2010 and 2011. Results: Using a biopsy risk threshold of 2% and the standard risk factor model, 5% of women with a BI-RADS3 mammogram had a risk above the threshold, and 3% of women with BI-RADS4A mammograms had a risk below the threshold. The addition of 12 SNPs in the model resulted in 8% of women with a BI-RADS3 mammogram above the threshold for biopsy and 7% of women with BI-RADS4A mammograms below the threshold. Conclusions: The incorporation of pre-test breast cancer risk factors could change biopsy decisions for a small proportion of women with abnormal mammograms. The greatest impact comes from standard breast cancer risk factors. Â© 2013 American Journal of Preventive Medicine.</t>
  </si>
  <si>
    <t>SCOPUS_ID:85204380600</t>
  </si>
  <si>
    <t>10.1136/jech-2024-222040</t>
  </si>
  <si>
    <t>Impact of early childhood infection on child development and school performance: a population-based study</t>
  </si>
  <si>
    <t>Background Childhood infection might be associated with adverse child development and neurocognitive outcomes, but the results have been inconsistent. Methods Two population-based record-linkage cohorts of all singleton children born at term in New South Wales, Australia, from 2001 to 2014, were set up and followed up to 2019 for developmental outcome (N=276 454) and school performance (N=644 291). The primary outcome was developmentally high risk (DHR) at age 4-6 years and numeracy and reading below the national minimum standard at age 7-9 years. Cox regression was used to assess the association of childhood infection ascertained from hospital records with each outcome adjusting for maternal, birth and child characteristics, and sensitivity analyses were conducted assessing E-values and sibling analysis for discordant exposure. Results A higher proportion of children with an infection-related hospitalisation were DHR (10.9% vs 8.7%) and had numeracy (3.7% vs 2.7%) and reading results (4.3% vs 3.1%) below the national minimum standard, compared with those without infection-related hospitalisation. In the multivariable analysis, children with infection-related hospitalisation were more likely to be DHR (adjusted HR 1.12, 95% CI 1.08 to 1.15) and have numeracy (adjusted HR 1.22, 95% CI 1.18 to 1.26) and reading results (adjusted HR 1.16, 95% CI 1.12 to 1.20) below the national minimum standard. However, these results may be impacted by unmeasured confounding, based on E-values of 1.48-1.74, and minimal association with education outcome was found in the sibling analysis. Conclusions Infection-related hospitalisation was modestly associated with adverse child development and school performance, but the association may be explained by shared familial factors, particularly in those with most socioeconomic disadvantages.</t>
  </si>
  <si>
    <t>SCOPUS_ID:77952276406</t>
  </si>
  <si>
    <t>10.2105/AJPH.2009.160002</t>
  </si>
  <si>
    <t>Herpes zoster and exposure to the varicella zoster virus in an era of varicella vaccination</t>
  </si>
  <si>
    <t>Objectives. We performed a case-control study to determine if participants with herpes zoster had fewer contacts with persons with varicella or zoster, and with young children, to explore the hypothesis that exposure to persons with varicella zoster virus (VZV) results in "immune boosting." Methods. Participants were patients of the multispecialty Marshfield Clinic in Wisconsin. We identified patients aged 40 to 79 years with a new diagnosis of zoster from August 2000 to July 2005. We frequency matched control participants to case participants for age. We confirmed diagnoses by chart review and assessed exposures by interview. Results. Interviews were completed by 633 of 902 eligible case participants &lt;70.2%) and 655 of 1149 control participants (57.0%). The number of varicella contacts was not associated with zoster; there was no trend even at the highest exposure level (3 or more contacts). Similarly, there was no association with exposure to persons with zoster or to children, or with workplace exposures. Conclusions. Although exposure to VZV in our study was relatively low, the absence of a relationship with zoster reflects the uncertain influence of varicella circulation on zoster epidemioloqy.</t>
  </si>
  <si>
    <t>SCOPUS_ID:3242669926</t>
  </si>
  <si>
    <t>10.1093/aje/kwh195</t>
  </si>
  <si>
    <t>Relative risk of mortality in the physically inactive is underestimated because of real changes in exposure level during follow-up</t>
  </si>
  <si>
    <t>['Behavior', 'Exercise', 'Follow-up studies', 'Mortality']</t>
  </si>
  <si>
    <t>Relative risk among exposure groups in prospective cohort studies is based on the assumption that all subjects are exposed at the level recorded at baseline throughout the study. Changes in risk behavior during follow-up will dilute the relative risk. This prospective cohort study in Copenhagen, Denmark, between 1964 and 1994 included 30,640 men and women; 19,149 were examined twice, with an interval of 6.7 (standard deviation, 3.4) years. Relative risks calculated from baseline measurements for moderately active and sedentary groups compared with the highly active group were 1.11 (95% confidence interval: 1.05, 1.18) and 1.64 (95% confidence interval: 1.53, 1.75), respectively. The relative risk between the highly active group and the sedentary group decreased with increasing follow-up time. When intraindividual changes in physical activity level during follow-up were taken into account, the relative risk of physical inactivity was 24-59% higher compared with the relative risk estimated from baseline measurements. The risk of a sedentary lifestyle is underestimated when it is calculated from one baseline measurement in prospective studies, because subjects change behavior during follow-up.</t>
  </si>
  <si>
    <t>SCOPUS_ID:0026322770</t>
  </si>
  <si>
    <t>10.2105/AJPH.81.9.1121</t>
  </si>
  <si>
    <t>Is coronary-care-unit admission restricted for elderly patients? A multicenter study</t>
  </si>
  <si>
    <t>Background. To investigate whether elderly patients are more likely to experience restricted access to high technology medical care, we examined the impact of age on the likelihood of coronary care unit (CCU) admission for patients with acute myocardial infarction. Methods. As part of a prospective investigation of emergency room triage for patients with suspected cardiac ischemia, we studied 4223 patients presenting to six hospitals. Because CCU admission is the accepted standard of care for acute infarction, we defined nonadmission to the CCU as a restriction of access to care. We used a logistic regression model to control for gender, hospital, and CCU occupancy at the time of admission and examined the relationship between age and CCU nonadmission. Results. Patients 75 years or older with acute myocardial infarction were 2.5 times more likely not to be admitted to the CCU than younger patients (RR 2.5, 95% CI 1.64, 3.85). Coronary unit admission was restricted even when the physician's admitting diagnosis was ''myocardial infarction'' (RR 7.1, 95% CI 2.1, 25.0) or ''rule-out myocardial infarction'' (RR 1.5, 95% CI 1.1, 2.1). Observed differences in clinical presentation or severity of illness between older and younger patients did not account for these findings. Conclusion. Our findings suggest that physicians may intentionally restrict access to coronary care for elderly patients with acute myocardial infarction.</t>
  </si>
  <si>
    <t>SCOPUS_ID:70749122175</t>
  </si>
  <si>
    <t>10.1016/j.ypmed.2009.09.017</t>
  </si>
  <si>
    <t>Oral language comprehension assessment among elderly: A population based study in Brazil</t>
  </si>
  <si>
    <t>['Ageing', 'Cognitive function', 'Oral comprehension', 'Token test']</t>
  </si>
  <si>
    <t>Background: Determinants of oral language comprehension, a complex skill, are not clearly established, but may include age, schooling, health condition, depression and quality of life. Objective: To assess oral comprehension skill among Brazilian elderly and identify factors explaining elderly variability in the Token test performance. Methods: A population-based random sample of 373 elderly (â‰¥ 60Â years) in Belo Horizonte, 2007, answered standardized questionnaire including socio-demographic and health-related questions and performed the Token Test short version (SVTT), Snellen Test, Mini Mental State Examination, General Health Questionnaire, and Health Survey Short Form (SF12). Results: Token Test scores ranged from 8 to 35 points; 50% of participants scored â‰¤ 24 points with no sex variation. Age, schooling, literacy, cognitive status, hypertension, self-rated conversational understanding and SF12 mental component explained 62% of SVTT variability. Conclusions: Language comprehension disorder was quite common and test performance was highly influenced by education and cognitive status. Association between test performance and self-rated conversational comprehension indicated that elderly were aware of their difficulty. Â© 2009 Elsevier Inc. All rights reserved.</t>
  </si>
  <si>
    <t>Brazil</t>
  </si>
  <si>
    <t>SCOPUS_ID:0029020424</t>
  </si>
  <si>
    <t>10.1097/00001648-199507000-00005</t>
  </si>
  <si>
    <t>Dose-Response and trend analysis in epidemiology: Alternatives to categorical analysis</t>
  </si>
  <si>
    <t>['Biostatistics', 'Epidemiologic methods', 'Logistic regression', 'Relative risk', 'Risk assessment']</t>
  </si>
  <si>
    <t>Standard categorical analysis is based on an unrealistic model for dose-response and trends and does not make efficient use of within-category information. This paper describes two classes of simple alternatives that can be implemented with any regression software: fractional polynomial regression and spline regression. These methods are illustrated in a problem of estimating historical trends in human immunodeficiency virus incidence. Fractional polynomial and spline regression are especially valuable when important nonlinearities are anticipated and software for more general nonparametric regression approaches is not available. Â© 1995 Epidemiology Resources Inc.</t>
  </si>
  <si>
    <t>SCOPUS_ID:84867003072</t>
  </si>
  <si>
    <t>10.1093/eurpub/ckr104</t>
  </si>
  <si>
    <t>Good friends, high income or resilience? What matters most for Elderly patients?</t>
  </si>
  <si>
    <t>Background: Chronically ill patients need to adapt to their impaired life condition. Social (e.g. social support), material (e.g. income) and personal (e.g. mastery) resources are needed to cope with this challenge. It is, however, less clear whether these factors also contribute to 'relatively successful functioning' and whether these effects are disease specific or generic across chronic diseases. Methods: Baseline data from 361 Dutch men and women aged â‰¥60 years who were mildly depressed and diagnosed with type 2 diabetes or chronic obstructive pulmonary disease (COPD) were used. These persons participated in the 'Depression in Elderly with Long-Term Afflictions' (DELTA) study. Logistic regression analyses were used to study the independent association of social support, income and mastery (independent variables) with physical, mental and social functioning (dependent variables). Results: A high level of mastery is significantly associated with physical, mental and social functioning in the total study population, as well as in subgroups of patients with COPD or diabetes. This relationship remained significant after controlling for confounding factors such as gender, age, educational level and the other remaining resources. In diabetes patients, high levels of social support and income also contributed significantly to successful social functioning. Conclusion: Our findings suggest that rather than having good friends and a high income, having a high level of mastery (resilience) might best help chronically ill patients in coping with and adapting to their often co-morbid condition. Further longitudinal research is necessary to unravel the long-term effects of mastery, income and social support on 'relatively successful functioning' in chronically ill patients. Â© 2011 The Author. Published by Oxford University Press on behalf of the European Public Health Association. All rights reserved.</t>
  </si>
  <si>
    <t>SCOPUS_ID:85025662016</t>
  </si>
  <si>
    <t>10.1016/j.amepre.2017.05.019</t>
  </si>
  <si>
    <t>Yoga for Military Veterans with Chronic Low Back Pain: A Randomized Clinical Trial</t>
  </si>
  <si>
    <t>Introduction Chronic low back pain (cLBP) is prevalent, especially among military veterans. Many cLBP treatment options have limited benefits and are accompanied by side effects. Major efforts to reduce opioid use and embrace nonpharmacological pain treatments have resulted. Research with community cLBP patients indicates that yoga can improve health outcomes and has few side effects. The benefits of yoga among military veterans were examined. Design Participants were randomized to either yoga or delayed yoga treatment in 2013â€“2015. Outcomes were assessed at baseline, 6 weeks, 12 weeks, and 6 months. Intention-to-treat analyses occurred in 2016. Setting/Participants One hundred and fifty military veterans with cLBP were recruited from a major Veterans Affairs Medical Center in California. Intervention Yoga classes (with home practice) were led by a certified instructor twice weekly for 12 weeks, and consisted primarily of physical postures, movement, and breathing techniques. Main outcome measures The primary outcome was Rolandâˆ’Morris Disability Questionnaire scores after 12 weeks. Pain intensity was identified as an important secondary outcome. Results Participant characteristics were mean age 53 years, 26% were female, 35% were unemployed or disabled, and mean back pain duration was 15 years. Improvements in Rolandâˆ’Morris Disability Questionnaire scores did not differ between the two groups at 12 weeks, but yoga participants had greater reductions in Rolandâˆ’Morris Disability Questionnaire scores than delayed treatment participants at 6 months âˆ’2.48 (95% CI= âˆ’4.08, âˆ’0.87). Yoga participants improved more on pain intensity at 12 weeks and at 6 months. Opioid medication use declined among all participants, but group differences were not found. Conclusions Yoga improved health outcomes among veterans despite evidence they had fewer resources, worse health, and more challenges attending yoga sessions than community samples studied previously. The magnitude of pain intensity decline was small, but occurred in the context of reduced opioid use. The findings support wider implementation of yoga programs for veterans. Trial registration This study is registered at www.clinicaltrials.gov NCT02524158.</t>
  </si>
  <si>
    <t>SCOPUS_ID:84940038714</t>
  </si>
  <si>
    <t>10.1097/EDE.0000000000000350</t>
  </si>
  <si>
    <t>To Treat or to Prevent?: Reducing the Population Burden of Violence-related Post-traumatic Stress Disorder</t>
  </si>
  <si>
    <t>Background: Violence-related post-traumatic stress disorder (PTSD) remains a prevalent and disabling psychiatric disorder in urban areas. However, the most effective allocation of resources into prevention and treatment to reduce this problem is unknown. We contrasted the impact of two interventions on violence-related PTSD: (1) a population-level intervention intended to prevent violence (i.e., hot-spot policing), and (2) an individual-level intervention intended to shorten PTSD duration (i.e., cognitive-behavioral therapy - CBT). Methods: We used agent-based modeling to simulate violence and PTSD in New York City under four scenarios: (1) no intervention, (2) targeted policing to hot spots of violence, (3) increased access to CBT for people who suffered from violence-related PTSD, and (4) a combination of the two interventions. Results: Combined prevention and treatment produced the largest decrease in violence-related PTSD prevalence: hot-spot policing plus a 50% increase in CBT for 5 years reduced the annual prevalence of violence-related PTSD from 3.6% (95% confidence interval = 3.5%, 3.6%) to 3.4% (3.3%, 3.5%). It would have been necessary to implement hot-spot policing or to increase CBT by 200% for 10 years for either intervention to achieve the same reduction in isolation. Conclusions: 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 However, neither hot-spot policing nor CBT, alone or combined, will produce large shifts in the population prevalence of violence-related PTSD.</t>
  </si>
  <si>
    <t>SCOPUS_ID:0027787349</t>
  </si>
  <si>
    <t>10.1093/ije/22.6.1056</t>
  </si>
  <si>
    <t>Gender differential in all-cause and cardiovascular disease mortality</t>
  </si>
  <si>
    <t>Janghorbani M (Department of Public Health, University of Glasgow, Glasgow G12 8RZ, UK), Hedley A J, Jones R B, Zhianpour M and Gilmour W H. Gender differential in all-cause and cardiovascular disease mortality. InternationalJournal of Epidemiology 1993; 22; 1056-1063. The gender differential in mortality from all causes, cardiovascular disease (CVD), ischaemic heart disease (IHD) and stroke during the mean follow-up of 11.6 years (range 10-14) was examined among 4696 men and 5714 women aged 45-64 at entry in West of Scotland. Overall mortality was 19.4/1000 person-years of observation among men and 10.8/KXX) person-years among women. A multiple logistic regression model was used to control the influence of gender, along with seven other cardiovascular risk factors simultaneously. The risk factors considered were age, systolic (SBP) and diastolic blood pressure (DBP), serum cholesterol, casual blood glucose, body mass index (BMI) and cigarette smoking. Both the prevalence of risk factors and relative mortality risk associated with them differed by gender. Adjustment slightly reduced the gender differential in overall mortality from 2 to 1.9 and from 1.5 to 1.4 for stroke deaths. Multiple logistic regression increased minimally the gender differential for mortality from 2.4 to 2.8 for CVD and from 2.8 to 3.4 for IHD, suggesting that these cardiovascular risk factors do not account for the overall gender difference in mortality rates. Age, SBP, DBP, blood glucose and cigarette smoking were significant predictors of mortality for both genders. Serum cholesterol was a statistically significant predictor of CVD death only for men. Â© 1993, International Epidemiological Association.</t>
  </si>
  <si>
    <t>SCOPUS_ID:0029933963</t>
  </si>
  <si>
    <t>10.1007/BF00144421</t>
  </si>
  <si>
    <t>Unusual features in the epidemiology of Lyme borreliosis</t>
  </si>
  <si>
    <t>['Burgdorferi', 'Erythema migrans', 'Lyme borreliosis']</t>
  </si>
  <si>
    <t>In this study two cases of Lyme borreliosis are presented. First, the author describes how he contracted Lyme borreliosis 24 hours after he visited an endemic area. The second case described is that of a woman who developed Lyme borreliosis symptoms, when intestinal content of an infected tick came into contact with her conjunctiva. In both cases the diagnosis is based on clinical picture and positive serological tests. The first case shows the probability of contracting Lyme borreliosis when the duration of the tick's attachment to the skin is less than 24 hours. The second case, described demonstrates transmission of B. burgdorferi by contact.</t>
  </si>
  <si>
    <t>Bulgaria</t>
  </si>
  <si>
    <t>SCOPUS_ID:84907336726</t>
  </si>
  <si>
    <t>10.1016/j.ypmed.2014.08.015</t>
  </si>
  <si>
    <t>The association of major patterns of physical activity, sedentary behavior and sleep with health-related quality of life: A cohort study</t>
  </si>
  <si>
    <t>['Health-related quality of life', 'Physical activity', 'Sedentary behavior', 'Sleep', 'Spain']</t>
  </si>
  <si>
    <t>Objective: To examine the prospective association of patterns of physical activity, sedentary behavior and sleep with health-related quality of life (HRQL) in the general population of Spain. Methods: A cohort study with 4271 individuals aged â‰¥. 18. years was recruited in 2008-2010 and followed-up prospectively through 2012. Activity patterns were derived from factor analysis. HRQL was assessed with the SF-12 questionnaire, and suboptimal HRQL was defined as a score below the sex-specific sample median. Results: Three main activity patterns were identified. A higher adherence to the pattern named "vigorous activity-seated at the computer" was inversely associated with a suboptimal score in the physical-composite summary (PCS) of the SF-12 (multivariate adjusted odds ratio [aOR] for the highest vs. the lowest quartile 0.71; 95% confidence interval [IC] 0.55-0.90; p-trend. =. 0.003). The "light activity-seated for reading" pattern was inversely associated with a suboptimal score in the mental-composite summary (aOR. =. 0.73; 95% CI. =. 0.61-0.89; p-trend. =. 0.002). However, a higher adherence to the "seated for watching TV-daytime sleeping" pattern was directly associated with suboptimal PCS (aOR. =. 1.35; 95% CI. =. 1.10-1.66; p-trend. =. 0.008). Conclusion: Patterns including any physical activity were associated with better physical or mental HRQL. However, a pattern defined by sedentary behavior with diurnal sleep showed worse HRQL and should be a priority target of preventive interventions. Â© 2014.</t>
  </si>
  <si>
    <t>Chile</t>
  </si>
  <si>
    <t>SCOPUS_ID:85105814926</t>
  </si>
  <si>
    <t>10.1016/j.ypmed.2021.106617</t>
  </si>
  <si>
    <t>The value of adding a single co-test in HPV primary screening</t>
  </si>
  <si>
    <t>['Cervical intraepithelial neoplasia', 'Early detection of cancer', 'Human papillomavirus', 'Screening', 'Uterine cervical neoplasms']</t>
  </si>
  <si>
    <t>The screening program for cervical cancer in Sweden, recommends screening with HPV test primarily for women over 30 years, but at the first screening test that is performed after the age of 40, both HPV test and cytology is recommended, so-called co-testing. The aim of this study was to examine how many cases of HPV negative cervical dysplasia that were found in this age-group, to be able to estimate the value of adding a co-test in an HPV screening program. A retrospective study of all abnormal cytological samples found in the cytology based screening program in the age group 41â€“45 years during the years 2012â€“2016 in the Region of Ã–rebro County was performed. Out of the 10,511 women included in the study, 468 had an abnormal cytology screening test and 255/468 were HPV negative. The vast majority of the HPV negative cases had a normal cytology test as first follow-up. Of cases with remaining cytological abnormality, only four cases had histologically confirmed high-grade cervical dysplasia (CIN2) and no cases of HPV negative adenocarcinoma in situ or invasive cancer were found. Conclusion: With adding a single co-test to a HPV-based screening program, only a few extra cases of high-grade cervical dysplasia were found and the clinical significance of these cases is unclear.</t>
  </si>
  <si>
    <t>SCOPUS_ID:84950266705</t>
  </si>
  <si>
    <t>10.1093/aje/kwv152</t>
  </si>
  <si>
    <t>The Impact of Sparse Follow-up on Marginal Structural Models for Time-to-Event Data</t>
  </si>
  <si>
    <t>['available-case analysis', 'last observation carried forward', 'marginal structural models', 'missing data', 'multiple imputation', 'survival analysis']</t>
  </si>
  <si>
    <t>The impact of risk factors on the amount of time taken to reach an endpoint is a common parameter of interest. Hazard ratios are often estimated using a discrete-time approximation, which works well when the by-interval event rate is low. However, if the intervals are made more frequent than the observation times, missing values will arise. We investigated common analytical approaches, including available-case (AC) analysis, last observation carried forward (LOCF), and multiple imputation (MI), in a setting where time-dependent covariates also act as mediators. We generated complete data to obtain monthly information for all individuals, and from the complete data, we selected "observed" data by assuming that follow-up visits occurred every 6 months. MI proved superior to LOCF and AC analyses when only data on confounding variables were missing; AC analysis also performed well when data for additional variables were missing completely at random. We applied the 3 approaches to data from the Canadian HIV-Hepatitis C Co-infection Cohort Study (2003-2014) to estimate the association of alcohol abuse with liver fibrosis. The AC and LOCF estimates were larger but less precise than those obtained from the analysis that employed MI.</t>
  </si>
  <si>
    <t>SCOPUS_ID:63149172821</t>
  </si>
  <si>
    <t>10.2105/AJPH.2008.146571</t>
  </si>
  <si>
    <t>Psychosocial care for women survivors of the tsunami disaster in India</t>
  </si>
  <si>
    <t>Objectives. I investigated the effectiveness of Psychosocial Care, a community-based mental health initiative for survivors of the 2004 tsunami disaster in India. Methods. Mental health teams from the National Institute of Mental Health and Neurosciences (NIMHANS) in India implemented a train-the-trainer model of psychosocial care in one of the worst tsunami-affected areas of south India. Three months of psychosocial care was provided for an intervention group of women, but not for a control group recruited from an exposed neighboring village. Impact of Event Scale (IES) scores-both total scores and scores for subscales on hypervigilance, avoidance, and intrusion-were compiled for both the intervention and control groups and used as outcome measures. Results. For the intervention group, posttest total IES and subscale scores were significantly lower than pretest scores (P&lt;.001), indicating improvement in symptoms. Posttest total IES and subscale scores were significantly lower for the intervention group than for the control group (P&lt;.001). Conclusions. Psychosocial care is an effective mental health strategy for women survivors of disasters and should be an integral component of disaster response in resource-poor countries.</t>
  </si>
  <si>
    <t>SCOPUS_ID:0031661866</t>
  </si>
  <si>
    <t>10.2105/AJPH.88.10.1503</t>
  </si>
  <si>
    <t>Misclassification rates for current smokers misclassified as nonsmokers</t>
  </si>
  <si>
    <t>Objectives. This paper provides misclassification rates for current cigarette smokers who report themselves as nonsmokers. Such rates are important in determining smoker misclassification bias in the estimation of relative risks in passive smoking studies. Methods. True smoking status, either occasional or regular, was determined for individual current smokers in 3 existing studies of nonsmokers by inspecting the cotinine levels of body fluids. The new data, combined with an approximately equal amount in the 1992 Environmental Protection Agency (EPA) report on passive smoking and lung cancer, yielded misclassification rates that not only had lower standard errors but also were stratified by sex and US minority/majority status. Results. The misclassification rates for the important category of female workers misclassified as never smokers were, respectively, 0.8%, 6.0%, 2.8%, and 15.3% for majority regular, majority occasional, US minority regular, and US minority occasional smokers. Misclassification rates for males were mostly somewhat higher. Conclusions. The new information supports EPA's conclusion that smoker misclassification bias is small. Also, investigators are advised to pay attention to minority/majority status of cohorts when correcting for smoker misclassification bias.</t>
  </si>
  <si>
    <t>SCOPUS_ID:85033381429</t>
  </si>
  <si>
    <t>10.1016/j.ypmed.2017.10.035</t>
  </si>
  <si>
    <t>Modifiable predictors of insufficient sleep durations: A longitudinal analysis of youth in the COMPASS study</t>
  </si>
  <si>
    <t>['Adolescents', 'Bullying', 'Longitudinal', 'Screen use', 'Sleep', 'Sleep duration', 'Youth']</t>
  </si>
  <si>
    <t>The purpose of the current study was to simultaneously examine commonly proposed risk and protective factors for sleep deprivation over time among a large cohort of Ontario and Alberta secondary school students. Using 4-year linked longitudinal data from youth in years 1 through 4 (Y1[2012/2013], Y2[2013/2014], Y3[2014/2015], Y4[2015/2016]) of the COMPASS study (n = 26,205), the likelihood of students meeting contemporary sleep recommendations was tested based on their self-reported substance use, bullying victimization, physical activity, and homework and screen time. Models controlled for the effect of student-reported gender, race/ethnicity, grade, school clustering, and all other predictor variables. Relative to baseline, students became less likely to meet the sleep recommendations if at follow-up they had initiated binge drinking, experienced cyber bullying victimization, or were spending more time doing homework, with other factors held constant. The likelihood of reporting sufficient sleep increased if students had begun engaging in resistance training at least three times a week. No longitudinal effect was observed when students increased their caffeine consumption (energy drinks, coffee/tea), initiated cannabis or tobacco use, experienced other forms of bullying victimization (physical, verbal, or belongings), engaged in more moderate-vigorous physical activity, or increased their screen use of any type. Few of the commonly purported modifiable risk and protective factors for youth sleep deprivation held in multinomial longitudinal analyses. Causal conclusions appear premature, with further research required to confirm the targets likely to be most effective in assisting more youth in meeting the sleep recommendations.</t>
  </si>
  <si>
    <t>SCOPUS_ID:85014802814</t>
  </si>
  <si>
    <t>10.1093/aje/kww129</t>
  </si>
  <si>
    <t>Improving estimates of numbers of children with severe acute malnutrition using cohort and survey data</t>
  </si>
  <si>
    <t>['Disease burden', 'Incidence', 'Malnutrition', 'Prevalence', 'Severe acute malnutrition']</t>
  </si>
  <si>
    <t>Severe acute malnutrition (SAM) is reported to affect 19 million children worldwide. However, this estimate is based on prevalence data from cross-sectional surveys and can be expected to miss some children affected by an acute condition such as SAM. The burden of acute conditions is more appropriately represented by cumulative incidence data. In the absence of incidence data, a method for burden estimation has been proposed that corrects available prevalence estimates to account for incident cases using an "incidence correction factor." We used data from 3 West African countries (Mali, Niger, and Burkina Faso, 2009-2012) to test the hypothesis that a single incidence correction factor may be used for estimation of SAM burden. We estimated the incidence correction factor and performed meta-analysis to calculate summary estimates for each country and for all 3 countries. Heterogeneity between countries and years was assessed using the I2 statistic. We estimated a pooled incidence correction factor of 4.82 (95% confidence interval: 3.15, 7.38), although there was substantial between-country heterogeneity (I2 = 69%). Knowing how many children in a particular area will be malnourished is fundamental to planning an effective operational response. Our results show that the incidence correction factor varies widely and suggest that estimating the burden of SAM with a common incidence correction factor is unlikely to be adequate.</t>
  </si>
  <si>
    <t>SCOPUS_ID:85153610705</t>
  </si>
  <si>
    <t>10.1016/j.amepre.2023.03.006</t>
  </si>
  <si>
    <t>Effectiveness of the National Diabetes Prevention Program After Gestational Diabetes</t>
  </si>
  <si>
    <t>Introduction: Women with previous gestational diabetes are at high risk of developing Type 2 diabetes. The National Diabetes Prevention Program (NDPP) is a widely disseminated lifestyle intervention to prevent Type 2 diabetes. Although NDPP programs are open to adults of any age, participants are usually older adults. Effectiveness among younger women with previous gestational diabetes is largely unknown. Methods: The NDPP was delivered by lifestyle coaches in a large network of Federally Qualified Health Centers. Reach, retention, physical activity, and weight loss outcomes were compared between women aged &lt;40 years with previous gestational diabetes and all other participants. Data were collected from 2013 to 2019 and analyzed in 2022. Results: Among 2,865 enrollees who agreed to start the yearlong NDPP, 63.3% were Latinx, 18.8% were non-Latinx Black, and 16.4% were non-Latinx White. Younger women with previous gestational diabetes represented &lt;4% (n=107) of participants. There was no significant difference in the frequency of attending â‰¥1 NDPP session between these women and all other participants (37.4% vs 44.6%; p=0.146). However, among those attending â‰¥1 session (n=1,265), younger women with previous gestational diabetes attended more (11.27 Â± 1.27 vs 8.50 Â± 0.22 sessions, p=0.021) and had greater weight loss (3.04% Â± 0.59 vs. 1.49% Â± 0.11, p=0.010) in covariate-adjusted models than other participants. Conclusions: Diverse younger women with previous gestational diabetes attending the NDPP had one third greater attendance and twice as much weight loss as other NDPP participants but represented a much smaller proportion of enrollees. Thus, the NDPP appears to be a beneficial but underutilized resource for this high-risk population.</t>
  </si>
  <si>
    <t>SCOPUS_ID:85203007053</t>
  </si>
  <si>
    <t>10.1016/j.ypmed.2024.108125</t>
  </si>
  <si>
    <t>Relationship between participation in projects of incentives to promote walking and healthy aging among the older population: A four-year longitudinal study</t>
  </si>
  <si>
    <t>['Actigraphy feedback', 'Healthy life expectancy', 'Incentives', 'Long-term care', 'Motivation', 'Risk ratio']</t>
  </si>
  <si>
    <t>Objective: This study aimed to evaluate the association between the Yokohama Walking Point Program, which promotes walking through feedback on step counts and incentives, and the extension of healthy life expectancy. Methods: A total of 4298 individuals aged over 65 years who responded to the 2013 and 2016 surveys and who were not certified as needing long-term care in 2016 were included in this study. The participants were categorized into â€œnon-participation,â€ â€œparticipation without uploading,â€ and â€œparticipation with uploadingâ€ groups based on their involvement and uploading of pedometer data. The objective variable was the occurrence of long-term care certification and deaths over the subsequent four years. A modified Poisson regression model was applied, adjusting for 15 variables before project initiation. Results: A total of 440 participants (10.2 %) were included in the â€œparticipation with uploadingâ€ group and 206 (4.8 %) in the â€œparticipation without uploadingâ€ group. Compared with â€œnon-participation,â€ the risk ratio was 0.77 (95 % confidence interval (CI): 0.59â€“0.99) for â€œparticipation with uploadingâ€ and 1.02 (95 % CI: 0.75â€“1.38) for â€œparticipation without uploadingâ€. In the sensitivity analysis censoring death as an inapplicable outcome and considering functional decline, participation with uploading showed a risk ratio of 0.79 (95 % CI: 0.60â€“1.04) for the likelihood of functional decline. Conclusions: The use of pedometers and health point programs based on walking activity is associated with enhancing the health of older individuals participating in the program, representing a population-centric strategy targeting all citizens.</t>
  </si>
  <si>
    <t>SCOPUS_ID:85041402164</t>
  </si>
  <si>
    <t>10.1016/j.ypmed.2018.01.017</t>
  </si>
  <si>
    <t>Internet little cigar and cigarillo vendors: Surveillance of sales and marketing practices via website content analysis</t>
  </si>
  <si>
    <t>['Cigars', 'Internet', 'Tobacco', 'Tobacco Industry', 'Tobacco Products']</t>
  </si>
  <si>
    <t>Introduction: Cigar sales have nearly doubled as cigarette sales have dropped, and large cigars have been replaced by little cigars and cigarillos (LCCs). Many LCCs are flavored, are perceived as less harmful than cigarettes, and have become increasingly available from e-commerce sources. We conducted surveillance of the online retail environment in 2013 and 2014 for LCCs in order to describe characteristics of Internet tobacco vendors selling LCCs and their sales and marketing practices, youth access practices, and their practices in relation to cigarette and other tobacco product sales. Methods: In 2013, we identified and manually screened 32,446 websites, yielding 500 unique Internet LCC vendors. In 2014, we identified 511 vendors selling LCCs from a list of 31,239 manually screened websites. We then selected 249 in 2013 and 263 in 2014 for content analysis focusing on six domains including demographics, youth access, payment and delivery, products for sale, promotions and claims, and prices. Results: Just over half of vendors in both years were located solely in the U.S. with 70.1% of those selling flavored LCCs in 2013 and 76.1% in 2014. Nearly half only used proven ineffective age verification strategies and another 10% made no attempts to verify age at all. Most vendors accepted credit cards and advertised using the United States Postal Service. Half of vendors featured a variety of health warnings and most featured promotions. Conclusions: Federal bans on flavored cigarettes and restrictions on age verification, payment, and shipping for Internet tobacco sales should be extended to include LCCs.</t>
  </si>
  <si>
    <t>SCOPUS_ID:0028032014</t>
  </si>
  <si>
    <t>10.1093/oxfordjournals.aje.a116980</t>
  </si>
  <si>
    <t>Prevalence of low birth weight among hispanic infants with united states-born and foreign-born mothers: The effect of urban poverty</t>
  </si>
  <si>
    <t>['Birth weight', 'Hispanic Americans', 'Poverty']</t>
  </si>
  <si>
    <t>Although Hispanics are a poorly educated and medically underserved minority, the incidence of low birth weight (less than 2,500 g) Hispanic infants is similar to that of non-Hispanic whites. The authors used 1982-1983 Illinois vital records and 1980 US census income data to determine the contribution of maternal nativity and place of residence to this epidemiologic paradox. The proportion of low birth weight Hispanic (n = 22,892) infants ranged from 4.3% for Mexicans to 9.1% for Puerto Ricans. Maternal age, education, trimester of prenatal care initiation, and place of residence were associated with the prevalence of low birth weight infants among Puerto Rican but not foreign-born Mexican or Central-South American mothers. In very low-income (less than $10,000/year) census tracts, Mexican and other Hispanic infants with US-born mothers had low birth weight rates of 14 and 15%, respectively. In contrast, Mexican and other Hispanic infants with foreign-born mothers who resided in these areas had low birth weight rates of 3 and 7%, respectively. In a logistic model that included only impover ished infants, the adjusted odds ratio of low birth weight for those with US-born mothers equalled 6.3 (95 percent confidence interval 2.3-16.9). The authors conclude that urban poverty is negatively associated with Hispanic birth weight only when the mother is Puerto Rican or a US-born member of another subgroup. Â© 1994 by The Johns Hopkins University School of Hygiene and Public Health.</t>
  </si>
  <si>
    <t>SCOPUS_ID:85148892048</t>
  </si>
  <si>
    <t>10.1016/j.amepre.2023.01.039</t>
  </si>
  <si>
    <t>Spillover After Mammography Guideline Change: Evidence From State-Level Trends</t>
  </si>
  <si>
    <t>Introduction: Changes to which age groups are recommended for mammography may have affected screening rates for all women. This spillover effect has not previously been shown empirically in a national sample. Methods: Using data from the Centers for Disease Control and Prevention's Behavioral Risk Factor Surveillance System from 2002 to 2018, authors tested whether screening trends at a national level changed after the 2009 U.S. Preventive Services Task Force guideline change. The authors also tested whether state-level screening trends for women aged 40â€“49 years and 75+ years were associated with screening trends for women aged 50â€“74 years. Analyses were conducted in Marchâ€“December 2022. Results: In a model predicting state-level trends in screening for women aged 50â€“74 years, authors find positive, statistically significant associations with screening trends for women aged 40â€“49 years (p=0.033) and for women aged 75+ years (p&lt;0.001). Conclusions: Deimplementation is difficult and important for controlling healthcare spending and delivering high value care. However, states most successful at reducing mammography screening rates among those aged 40â€“49 years and 75+ years also had greater reductions in recommended screening among women aged 50â€“74 years. More work is needed to understand and mitigate the unintended consequences of deimplementation.</t>
  </si>
  <si>
    <t>SCOPUS_ID:84868300097</t>
  </si>
  <si>
    <t>10.1016/j.ypmed.2012.08.021</t>
  </si>
  <si>
    <t>Relationship between physical activity and general mental health</t>
  </si>
  <si>
    <t>['Cross-sectional', 'Dose-response', 'Exercise', 'Health Information National Trends Survey', 'HINTS', 'Mental health', 'Physical activity', 'Population']</t>
  </si>
  <si>
    <t>Purpose: We investigated the relationship between physical activity and mental health and determined the optimal amount of physical activity associated with better mental health. Method: Self-reported data from a national random sample of 7674 adult respondents collected during the 2008 U.S. Health Information National Trends 2007 Survey (HINTS) were analyzed in 2012. Mental health was plotted against the number of hours of physical activity per week using a fractional 2-degree polynomial function. Demographic and physical health factors related to poorer mental health were examined. The optimal range of physical activity associated with poorer mental health was examined by age, gender, and physical health. Results: A curvilinear association was observed between physical activity and general mental health. The optimal threshold volume for mental health benefits was of 2.5 to 7.5. h of weekly physical activity. The associations varied by gender, age, and physical health status. Individuals who engaged in the optimal amount of physical activity were more likely to have reported better mental health (odds ratio=1.39, p=0.006). Conclusions: This study established a hyperbolic dose-response relationship between physical activity and general mental health, with an optimal range of 2.5 to 7.5. h of physical activity per week. Â© 2012 Elsevier Inc.</t>
  </si>
  <si>
    <t>SCOPUS_ID:8544255516</t>
  </si>
  <si>
    <t>10.1023/A:1007369203648</t>
  </si>
  <si>
    <t>Awareness, treatment and control of hyperlipidaemia, hypertension and diabetes mellitus in a selected population of southern Italy</t>
  </si>
  <si>
    <t>['Atherosclerosis', 'Awareness', 'Diabetes Mellitus', 'Hyperlipidaemia', 'Hypertension']</t>
  </si>
  <si>
    <t>The purpose of the present study was to assess the degree of awareness, treatment and control of hyperlipidaemia compared with hypertension and diabetes mellitus in a selected population of southern Italy. All participants to a cardiovascular disease prevention campaign examined between April 1994 and July 1995 were screened for hyperlipidaemia, hypertension and diabetes mellitus. Subjects received also ECG, echo-Doppler of carotid arteries and filled in a questionnaire concerning personal and familial cardiovascular diseases, smoking habit and drug consumption. Of the 742 participants, 327 were found to have hypertension, 73 to have diabetes mellitus, 287 to have mild hyperlipidaemia and 322 to have moderate-severe hyperlipidaemia. Among hypertensive subjects, 60.2% were aware of their condition, 53.5% were treated and 15.6% had their blood pressure controlled at the recommended level(&lt; 140/90 mmHg). Among diabetic subjects, 76.7% were aware, 64.4% treated and 19.2% reached fasting blood glucose level of less than 7.77 mmol/l (140 mg/dl). Only 24.0% of subjects with mild hyperlipidaemia were aware of their condition. Of the subjects found to have moderate-severe hyperlipidaemia, 64.9% were aware, 32.3% were treated and 9.0% had plasma cholesterol and triglycerides concentration of less than 6.45 and 5.65 mmol/l (250 and 500 mg/dl), respectively (cutoffs chosen to separate mild from moderate-severe hyperlipidaemia). These results show that mild hyperlipidaemia is almost neglected whereas awareness of moderate-severe hyperlipidaemia is quite widespread and comparable to that of hypertension and diabetes mellitus. Prevalence of treatment and control of moderate- severe hyperlipidaemia is, however, much lower than that of hypertension and diabetes.</t>
  </si>
  <si>
    <t>Italy</t>
  </si>
  <si>
    <t>SCOPUS_ID:0027319802</t>
  </si>
  <si>
    <t>10.1016/s0749-3797(18)30729-3</t>
  </si>
  <si>
    <t>Cost-effectiveness of two nurse-led programs to teach breast self- examination</t>
  </si>
  <si>
    <t>The cost-effectiveness of breast cancer screening that includes breast self-examination (BSE) has not been investigated, in part because the costs and effects of programs to teach BSE are not well known. I used data from a randomized, controlled trial and national surveys to compare the benefit, cost, and cost-effectiveness of two one-year, nurse-led programs to teach BSE in a medical practice setting. One program (Mammacare, or MAM) used manufactured silicone models to develop tactile skills; the other program (Traditional, or TRAD) stressed knowledge and examination techniques. I defined benefit as the marginal one-year increase in the number of women in an 'average' adult primary care office practice who performed competent and frequent BSE. I defined cost as the marginal increase in the resources used to teach BSE and in the resources used as a result of performing BSE. Cost- effectiveness equaled the cost per competent, frequent BSE examiner added. The 'average' practice was derived based on estimates from national surveys of physicians and medical practices. The MAM program's benefit was fivefold greater than the TRAD program's; its total cost was more than threefold greater; and its cost per competent, frequent examiner added was 32% lower. Yet, regardless of the program, one year following teaching only 15%-28% of women were competent, frequent performers. Cost-effectiveness was sensitive to the definition of benefit. When benefit criteria were relaxed, the TRAD program's cost per additional competent, frequent examiner decreased dramatically and was 52% lower than that of the MAM program. Cost- effectiveness was also sensitive to some costs, but generally these sensitivities did not alter the relative cost-effectiveness of the two programs. The cost of teaching BSE was substantial. Benefit, cost, and cost- effectiveness varied by program. Cost and cost-effectiveness analyses need to be incorporated into analyses of the appropriateness of including BSE in breast cancer screening.</t>
  </si>
  <si>
    <t>SCOPUS_ID:0025031812</t>
  </si>
  <si>
    <t>10.1097/00001648-199001000-00010</t>
  </si>
  <si>
    <t>No adjustments are needed for multiple comparisons</t>
  </si>
  <si>
    <t>['Multiple comparisons', 'Null hypothesis', 'Significance testing', 'Statistics']</t>
  </si>
  <si>
    <t>Adjustments for making multiple comparisons in large bodies of data are recommended to avoid rejecting the null hypothesis too readily. Unfortunately, reducing the type I error for null associations increases the type II error for those associations that are not null. The theoretical basis for advocating a routine adjustment for multiple comparisons is the â€œuniversal null hypothesisâ€ that â€œchanceâ€ serves as the first-order explanation for observed phenomena. This hypothesis undermines the basic premises of empirical research, which holds that nature hollows regular laws that may he studied through observations. A policy of not making adjustments for multiple comparisons is preferable because it will lead to fewer errors of interpretation when the data under evaluation are not random numbers but actual observations on nature. Furthermore, scientists should not he so reluctant to explore leads that may turn out to he wrong that they penalize themselves by missing possibly important findings. Â© 1990 Epidemiology Resources Inc.</t>
  </si>
  <si>
    <t>Unknown</t>
  </si>
  <si>
    <t>SCOPUS_ID:79953168900</t>
  </si>
  <si>
    <t>10.1016/j.ypmed.2010.07.006</t>
  </si>
  <si>
    <t>Evaluation of policies to promote physical activity in afterschool programs: Are we meeting current benchmarks?</t>
  </si>
  <si>
    <t>['Adolescents', 'Benchmark', 'Children', 'Moderate-to-vigorous']</t>
  </si>
  <si>
    <t>Background: Policies now recommend afterschool programs (ASP, 3-6 pm) provide children a minimum amount of physical activity daily. We examined the extent to which children attending ASPs meet existing national and state-level policies that specify expected levels of physical activity (PA). Methods: Accelerometer-derived physical activity (light and moderate-to-vigorous, MVPA) of 253 children (5-13 years) was compared to policies that recommend varying amounts of PA children should achieve during an ASP. Results: The proportion of children achieving a policy ranged from 0.0% (California 60 min MVPA and North Carolina 20% of daily program time devoted to MVPA), 1.2% (California 30 min MVPA), to 48.2% (National Afterschool Association 30 min light plus MVPA). Random effects logistic models indicated boys (odds ratio [OR] range 2.0 to 6.27) and children from a minority background (Black/Hispanic, OR range 1.87 to 3.98) were more likely to achieve a recommended level of physical activity, in comparison to girls and White children. Neither age nor BMI were related to achieving a policy. Conclusions: The PA of children attending ASP falls below policy recommended levels; however, these policies were developed in absence of data on expected PA levels during ASPs. Thus, concerted effort towards building a stronger ASP evidence-base for policy refinement is required. Â© 2010 Elsevier Inc.</t>
  </si>
  <si>
    <t>SCOPUS_ID:85152168730</t>
  </si>
  <si>
    <t>10.1136/jech-2022-220009</t>
  </si>
  <si>
    <t>Gender identity and sexual orientation: A glossary</t>
  </si>
  <si>
    <t>['Gender Identity', 'Health inequalities', 'Public Health', 'Sexual Health']</t>
  </si>
  <si>
    <t>Gender and sexually diverse populations remain understudied and under-represented in research. This is attributable not only to significant and ongoing data collection limitations, where large population-based studies fail to ask adequate questions around gender and sexuality, but also due to continuously evolving terminology in this space. This glossary takes a preliminary step in rectifying these issues by defining and clarifying the application and understanding of key terms related to gender, gender identity, expression and sexuality. In doing so, this glossary provides a point of reference for understanding key differences in gender and sexually diverse terminology to (1) help guide researchers and practitioners in the use and understanding of terms and (2) facilitate the utility of more respectful, inclusive and consistent language application across the public health arena.</t>
  </si>
  <si>
    <t>SCOPUS_ID:84894083669</t>
  </si>
  <si>
    <t>10.2105/AJPH.2013.301600</t>
  </si>
  <si>
    <t>Suicidal ideation among community-dwelling adults in the United States</t>
  </si>
  <si>
    <t>Objectives. We examined the prevalence and correlates of past-year suicidal ideation among US community-dwelling adults. Methods. We examined data from 183 100 persons aged 18 years or older (including 9800 sampled adults with past-year suicidal ideation) who participated in the 2008-2011 National Survey on Drug Use and Health. We applied descriptive analyses and pooled and stratified (by age and major depression) multivariate logistic regression models. Results. The prevalence of past-year suicidal ideation among younger adults (6.6% among those aged 18-25 years and 4.0% among those aged 26-49 years)was higher than was that among adults aged 50 years or older (2.5%). The prevalence of suicidal ideation was high among adults with major depression (26.3%), adults with both major depression and substance use disorder (37.7%), and adults who received mental health treatment but perceived unmet treatment need (33.5%). Conclusions. Many risk and protective factors of suicidal ideation are dynamic and vary by age or major depression. These results have important implications for developing specific suicide prevention strategies that help screen, assess, and treat suicidal adults at the earliest possible time.</t>
  </si>
  <si>
    <t>SCOPUS_ID:84945476876</t>
  </si>
  <si>
    <t>10.1016/j.amepre.2015.04.019</t>
  </si>
  <si>
    <t>Measles, Mumps, and Rubella Titers in Air Force Recruits: Below Herd Immunity Thresholds?</t>
  </si>
  <si>
    <t>Introduction Preventable diseases like measles and mumps are occurring with increasing frequency in the U.S. despite the availability of an effective vaccine. Given concern that an outbreak may occur among military recruits, we compared serologic evidence of immunity to measles, mumps, and rubella among military recruits with known herd immunity thresholds and determined whether the current Department of Defense policy of presuming mumps immunity based on measles and rubella titers is reliable. Methods Serum antibody levels for measles, mumps, and rubella were obtained from all new recruits upon arrival at Joint Base San Antonio-Lackland, Texas, from 25 April 2013 through 24 April 2014. Seroprevalence of each disease was assessed by age and sex, and concordance between mumps titers and measles and rubella titers was calculated. Data analysis was performed in 2014-2015. Results Among 32,502 recruits, seroprevalences for measles, mumps, and rubella antibodies were 81.6%, 80.3%, and 82.1%, respectively. Of the 22,878 recruits seropositive for both measles and rubella antibodies, 87.7% were also seropositive for mumps. Conclusions Seroprevalences for measles, mumps, and rubella antibodies among a large cohort of recruits entering U.S. Air Force basic training were generally lower than levels required to maintain herd immunity. In order to reduce the incidence of mumps infections, the Department of Defense should consider obtaining antibody titers for measles, mumps, and rubella and vaccinating all individuals susceptible to one or more of the viruses.</t>
  </si>
  <si>
    <t>SCOPUS_ID:0031706171</t>
  </si>
  <si>
    <t>10.1136/jech.52.10.645</t>
  </si>
  <si>
    <t>Reproductive factors and fatal hip fractures. A Norwegian prospective study of 63,000 women</t>
  </si>
  <si>
    <t>Study objective - The aim of the study was to investigate the impact of reproductive variables (age at menarche, menopause, first and last birth as well as parity, lactation, and abortions) on hip fracture mortality. Design and setting - A prospective study in Norway with more than 60,000 women followed up for 29 years. A total of 465 deaths as a result of hip fracture were recorded. Main results - Statistically significant linear relations (p â‰¤ 0.02) were found between both age at menarche and length of reproductive period (defined as age at menopause to age at menarche) and the mortality of hip fractures in women aged less than 80. The death rate for women with a late menarche (â‰¤ 17 years) was twice that of the women with relatively early menarche (â‰¤ 13 years). Compared with women with less than 30 years between menopause and menarche, the mortality rate ratio in women with more than 38 reproductive years was 0.5. We also found an inverse relation with age at first birth. Conclusions - This study supports the hypothesis that an early menarche and a long reproductive period protect against hip fracture mortality. High age at first birth may also be protective.</t>
  </si>
  <si>
    <t>Norway</t>
  </si>
  <si>
    <t>SCOPUS_ID:0033795188</t>
  </si>
  <si>
    <t>10.2105/AJPH.90.10.1526</t>
  </si>
  <si>
    <t>Childhood mortality impact and costs of integrating vitamin A supplementation into immunization campaigns</t>
  </si>
  <si>
    <t>Country-specific activity and coverage data were used to estimate the childhood mortality impact (deaths averted) and costs of integrating vitamin A supplements into immunization campaigns conducted in 1998 and 1999. More than 94 million doses of vitamin A were administered in 41 countries in 1998, helping to avert nearly 169 000 deaths. During 1999, delivery of more than 97 million doses in 50 countries helped avert an estimated 242 000 deaths. The estimated incremental cost per death averted was US $72 (range: 36-142) in 1998 and US $64 (range: 32-126) in 1999. The estimated average total cost of providing supplementation per death averted was US $310 (range: 157-609) in 1998 and US $276 (range: 139-540) in 1999. Costs per death averted varied by campaign, depending on the number and proportion of the child population reached, number of doses received per child, and child mortality rates.</t>
  </si>
  <si>
    <t>SCOPUS_ID:37249052337</t>
  </si>
  <si>
    <t>10.1093/eurpub/ckm036</t>
  </si>
  <si>
    <t>Alcohol drinking, consumption patterns and breast cancer among Danish nurses: A cohort study</t>
  </si>
  <si>
    <t>['Alcohol', 'Breast cancer', 'Drinking pattern']</t>
  </si>
  <si>
    <t>Background: The aim of this study was to analyse the impact of alcohol intake and drinking pattern on the risk of breast cancer. Methods: A total of 17 647 nurses were followed from 1993 until the end of 2001. At baseline participants completed a questionnaire on alcohol intake and other lifestyle-related factors. Data were analysed using Cox's proportional hazard model. Results: During follow-up 457 women were diagnosed with breast cancer. The relative risk of breast cancer was 2.30 [Confidence interval (CI): 1.56-3.39] for alcohol intake of 22-27 drinks per week, compared to 1-3 drinks per week. Among alcohol consumers, weekly alcohol intake increased the risk of breast cancer with 2% for each additional drink consumed. Weekend consumption increased the risk with 4% for each additional drink consumed friday through sunday. Binge drinking of 4-5 drinks the latest weekday increased risk with 55%, compared with consumption of one drink. A possible threshold in risk estimates was found for consumption above 27 drinks per week. Conclusions: For alcohol consumption above the intake most frequently reported, the risk of breast cancer is increased. The risk is minor for moderate levels but increases for each additional drink consumed during the week. Weekend consumption and binge drinking imply an additional increase in breast cancer risk. Â© The Author 2007. Published by Oxford University Press on behalf of the European Public Health Association. All rights reserved.</t>
  </si>
  <si>
    <t>SCOPUS_ID:84888263427</t>
  </si>
  <si>
    <t>10.2105/AJPH.2013.301632</t>
  </si>
  <si>
    <t>New to care: Demands on a health system when homeless veterans are enrolled in a medical home model</t>
  </si>
  <si>
    <t>Objectives. We compared service use among homeless and nonhomeless veterans newly enrolled in a medical home model and identified patterns of use among homeless veterans associated with reductions in emergency department (ED) use. Methods. We used case-control matching with a nested cohort analysis to measure 6-month health services use, new diagnoses, and care use patterns in veterans at the Providence, Rhode Island, Veterans Affairs Medical Center from 2008 to 2011. Results. We followed 127 homeless and 106 nonhomeless veterans. Both groups had similar rates of chronic medical and mental health diagnoses; 25.4% of the homeless and 18.1% of the nonhomeless group reported active substance abuse. Homeless veterans used significantly more primary, mental health, substance abuse, and ED care during the first 6 months. Homeless veterans who accessed primary care at higher rates (relative risk ratio [RRR] = 1.46; 95% confidence interval [CI] = 1.11, 1.92) or who used specialty and primary care (RRR = 10.95; 95% CI = 1.58, 75.78) had reduced ED usage. Homeless veterans in transitional housing or doubled-up at baseline (RRR = 3.41; 95% CI = 1.24, 9.42) had similar reductions in ED usage. Conclusions. Homeless adults had substantial health needs when presenting for care. High-intensity primary care and access to specialty care services could reduce ED use.</t>
  </si>
  <si>
    <t>SCOPUS_ID:85083882682</t>
  </si>
  <si>
    <t>10.1093/aje/kwz284</t>
  </si>
  <si>
    <t>Hospital Records of Pain, Fatigue, or Circulatory Symptoms in Girls Exposed to Human Papillomavirus Vaccination: Cohort, Self-Controlled Case Series, and Population Time Trend Studies</t>
  </si>
  <si>
    <t>['epidemiologic research design', 'papillomavirus', 'vaccination', 'vaccines']</t>
  </si>
  <si>
    <t>Human papillomavirus (HPV) vaccination has been associated with subsequent diffuse symptoms in girls, reducing public confidence in the vaccine. We examined whether girls have nonspecific outcomes of HPV vaccination, using triangulation from cohort, self-controlled case series (SCCS), and population time trend analyses carried out in Denmark between 2000 and 2014. The study population consisted of 314,017 HPV-vaccinated girls and 314,017 age-matched HPV-unvaccinated girls (cohort analyses); 11,817 girls with hospital records (SCCS analyses); and 1,465,049 girls and boys (population time trend analyses). The main outcome measures were hospital records of pain, fatigue, or circulatory symptoms. The cohort study revealed no increased risk among HPV vaccine-exposed girls, with incidence rate ratios close to 1.0 for abdominal pain, nonspecific pain, headache, hypotension/syncope, tachycardia (including postural orthostatic tachycardia syndrome), and malaise/fatigue (including chronic fatigue syndrome). In the SCCS analyses, we observed no association between HPV vaccination and subsequent symptoms. In time trend analyses, we observed a steady increase in these hospital records in both girls and (HPV-unvaccinated) boys, with no relationship to the 2009 introduction of HPV vaccine to Denmark's vaccination program. This study, which had nationwide coverage, showed no evidence of a causal link between HPV vaccination and diffuse autonomic symptoms leading to hospital contact.</t>
  </si>
  <si>
    <t>SCOPUS_ID:84959479353</t>
  </si>
  <si>
    <t>10.1016/j.amepre.2015.07.012</t>
  </si>
  <si>
    <t>Lifestyle Intervention for People with Severe Obesity and Serious Mental Illness</t>
  </si>
  <si>
    <t>Introduction People with serious mental illness experience elevated severe obesity rates, yet limited evidence documents whether lifestyle intervention participation can benefit these individuals. This study examined the impact of the In SHAPE lifestyle intervention on weight loss among participants with serious mental illness and severe obesity (BMI â‰¥40) compared with participants who are overweight (BMI 25 to &lt;30) and have class I (BMI 30 to &lt;35) or class II (BMI 35 to &lt;40) obesity. Methods Data were combined from three trials of the 12-month In SHAPE intervention for individuals with serious mental illness collected between 2007 and 2013 and analyzed in 2014. In SHAPE includes individual weekly meetings with a fitness trainer, a gym membership, and nutrition education. The primary outcome was weight loss. Secondary outcomes were fitness, blood pressure, lipids, and program adherence. Results Participants (N=192) were diagnosed with schizophrenia spectrum (53.1%) or mood (46.9%) disorders. At 12 months, the overall sample showed significant weight loss, but differences among BMI groups were not significant (severe obesity, 2.57% [7.98%]; class II, 2.26% [8.69%]; class I, 1.05% [6.86%]; overweight, 0.83% [7.62%]). One third of participants with severe obesity achieved â‰¥5% weight loss, which was comparable across groups. More participants with severe obesity achieved â‰¥10% weight loss (20%) than overweight (2.9%, p=0.001) and class I (5.9%, p&lt;0.001), but not class II (17.8%, p=0.974), obesity groups. Conclusions People with severe obesity and serious mental illness benefit similarly to those in lower BMI groups from lifestyle intervention participation.</t>
  </si>
  <si>
    <t>SCOPUS_ID:0030957690</t>
  </si>
  <si>
    <t>10.1097/00001648-199707000-00010</t>
  </si>
  <si>
    <t>Risk factors for work-related violent victimization</t>
  </si>
  <si>
    <t>['Case-control study', 'Ethnicity', 'Gender', 'Nonfatal', 'Occupational', 'Public health', 'Race', 'Violence', 'Work-related']</t>
  </si>
  <si>
    <t>This case-control study used the National Crime Victimization Survey database (a national sample of housing addresses) to examine sociodemographic risk factors for becoming a victim of work-related robbery and assault. Cases (N = 267) reported having been violently victimized in the previous 6 months. Controls (N = 1.783) were chosen from all nonvictims of violent crime at the end of the 6-month period. Risk factors varied by type of victimization, and differences were evident between men and women. Men less than 45 years of age had an increased risk for assault [odds ratio (OR) = 2.0-2.7], compared with those 55 years of age and older; and those with a family income of less than $40,000 had an increased risk for assault (OR = 1.7-1.9), compared with those having a family income of $50,000 or more. We found a decreased risk for those with a high school education (OR = 0.6), compared with those with some college education. For women, an increased risk was seen for ages 16-18 years (OR = 3.3) and 25-34 years (OR = 2.3), compared with those 55 years of age or older. Women who were divorced or separated (OR = 4.4) and never-married (OR = 2.1) were at higher risk than women who were married. We found a decreased risk for nonwhites (OR = 0.5), compared with whites.</t>
  </si>
  <si>
    <t>SCOPUS_ID:0030972541</t>
  </si>
  <si>
    <t>10.1093/oxfordjournals.aje.a009170</t>
  </si>
  <si>
    <t>Families and natural history of lipids in childhood: An 18-year follow- up study</t>
  </si>
  <si>
    <t>['adolescence', 'family', 'lipids', 'natural history']</t>
  </si>
  <si>
    <t>The natural history of total cholesterol and lipoprotein cholesterol in offspring was studied in relation to total cholesterol levels in their parents in the Epidemiological Prevention Study of Zoetermeer (EPOZ). All residents of 5 or more years who were living in two districts in the Dutch town of Zoetermeer were invited to participate in a study on indicators for chronic diseases between 1975 and 1978. In a random sample of 483 youngsters who were 5-19 years old, yearly measurements of cardiovascular risk factors were performed during a follow-up period of 18 years (average follow-up, 13.8 years). Total and subfraction cholesterol levels in offspring during follow- up were studied by tertiles of age-adjusted total cholesterol in their parents. Total and low density lipoprotein (LDL) cholesterol levels measured from childhood into young adulthood differed significantly between offspring whose fathers were in the highest total cholesterol tertile compared with those whose fathers were in the lowest tertile, amounting to 0.4 mmol/liter for total cholesterol and 0.5 mmol/liter for LDL cholesterol. Offspring differences by maternal tertiles amounted to 0.5 mmol/liter for total cholesterol and 0.6 mmol/liter for LDL cholesterol. Offspring (n = 53) with both parents in the upper cholesterol fertile had almost 1 mmol/liter higher cholesterol levels compared with offspring (n = 51) with both parents in the lowest tertile, whereas offspring (n = 48) with both parents in the middle tertile had intermediate levels. Differences remained after adjustment for sex, Quetelet index, systolic and diastolic blood pressure, and use of alcohol, cigarettes, and oral contraceptives. Offspring group differences in total and LDL cholesterol were already present in childhood and persisted into young adulthood. There was no clear relation between offspring change in cholesterol levels and parental total cholesterol levels. For high density lipoprotein cholesterol and its subfractions, no relations with parental total cholesterol levels were found. Based on the evidence of a strong positive relation between total cholesterol levels in parents and offspring levels of total and LDL cholesterol measured from childhood into young adulthood, the authors conclude that total and LDL cholesterol levels in offspring may already be characterized from young age and beyond through cholesterol levels in their parents.</t>
  </si>
  <si>
    <t>SCOPUS_ID:77951236082</t>
  </si>
  <si>
    <t>10.2105/AJPH.2009.176222</t>
  </si>
  <si>
    <t>Ke Ã€no Ola: Moloka Ì€i's community-based healthy lifestyle modification program</t>
  </si>
  <si>
    <t>We evaluated a community-based 12-week healthy lifestyle program in Moloka'Ì€i, HI, called Ke "Ã€no Ola, which was developed to decrease chronic disease risk through health education emphasizing weight loss, exercise, and risk factor reduction. Program leaders' strong commitment and positive role modeling, along with social and group support and community involvement, were key elements. A pre-post evaluation of weight, blood pressure, total cholesterol, and blood sugar showed significant improvements for weight (mean change [â–³] =-7.4 lbs; P&lt;.001), systolic blood pressure (â–³ = -3.8 mm Hg; P = .027), diastolic blood pressure (â–³ = -4.6 mm Hg; P&lt;.001), and total cholesterol (â–³ = -9.7 mg/dL; P&lt; .001). Attrition was low, with 89% of participants attending all 12 sessions. Our findings show that lifestyle improvements in a predominantly Native Hawaiian community are achievable in a support group setting.</t>
  </si>
  <si>
    <t>SCOPUS_ID:0033178882</t>
  </si>
  <si>
    <t>10.1093/oxfordjournals.aje.a009996</t>
  </si>
  <si>
    <t>Increased effects of smoking and obesity on asthma among female Canadians: The National Population Health Survey, 1994-1995</t>
  </si>
  <si>
    <t>['Allergy', 'Asthma', 'Body mass index', 'Income', 'Risk', 'Sex', 'Smoking']</t>
  </si>
  <si>
    <t>To assess smoking, obesity, and other risk factors for asthma, the authors examined 17,605 subjects aged 12 years or more who partcipated n the National Population Health Survey in 1994-1995. Asthma was considered present if an affirmative response was given to the question, 'Do you have asthma diagnosed by a health professional?' The authors used analytic weights incorporating a design effect to take the complex survey design into account. The prevalence of asthma was 10.4% for males and 11.2% for females aged 12- 24 years. Among the subjects aged 25 years or more, the prevalence varied from 4.1% to 5.8% for men and from 4.9% to 6.4% for women. Female smokers demonstrated a 1.7-fold increase in the prevalence of asthma compared with female nonsmokers, with the smoking effect more pronounced among female children and young adults. In contrast, there was no significant relation between smoking and asthma in males. The prevalence of asthma increased with increasing body mass index in females, but not n males. Immigrant status, history of allergy, and household income were significant predictors for both genders. Low household income was associated with a higher prevalence of asthma in men and women.</t>
  </si>
  <si>
    <t>SCOPUS_ID:84871996226</t>
  </si>
  <si>
    <t>10.1016/j.ypmed.2012.10.014</t>
  </si>
  <si>
    <t>Acceptability of standing workstations in elementary schools: A pilot study</t>
  </si>
  <si>
    <t>['Accelerometer', 'ActivPAL', 'Physical activity', 'Sedentary', 'Sitting', 'Standing desks']</t>
  </si>
  <si>
    <t>Objective: To examine the acceptability of introducing standing workstations in elementary-school classrooms; and to quantify changes in children's time spent sitting, standing, and walking; step counts; sit-to-stand transitions; and musculoskeletal discomfort. Methods: A controlled trial was conducted in two elementary schools in Auckland, New Zealand (March-May 2012). Participants were 30 third and fourth graders (n=23 intervention, n=7 control). Intervention classes received standing workstations; control class retained usual sitting desks. Children wore ActivPAL monitors over 7. days at baseline and during the fourth week of the intervention. Results: Children spoke enthusiastically of the standing workstations. School staffs were supportive of the standing workstations because they offered "flexibility in learning". Overall, children in the intervention group sat less (intervention: 8.27 (1.45), mean (SD); control: 9.00 (0.80). h/day), stood longer (3.75 (0.88); 2.85 (0.30). h/day), and engaged in fewer transitions from sitting to standing (93 (17); 98 (26) counts) compared to the control group. Effect size ranged from small-large (-0.49; 95% confidence limits (0.64)%, 0.71; (0.48), -0.96; (0.54)% respectively). Results for time spent stepping and step counts were unclear. Conclusion: Standing workstations can be successfully integrated in classroom environments and appear to decrease overall sedentariness. Â© 2012 Elsevier Inc.</t>
  </si>
  <si>
    <t>SCOPUS_ID:0032532135</t>
  </si>
  <si>
    <t>10.1093/oxfordjournals.aje.a009695</t>
  </si>
  <si>
    <t>Ethnic disparities in patient recall of physician recommendations of diagnostic and treatment procedures for coronary disease</t>
  </si>
  <si>
    <t>['Blacks', 'Coronary disease', 'Diagnosis', 'Ethnic groups', 'Physicians']</t>
  </si>
  <si>
    <t>Despite the proven benefits of many cardiac procedures, some are used less frequently for African American than for white patients with known or suspected coronary disease. This study explored differences between ethnic groups that may affect patient recall of physician recommendations of cardiac procedures. Also examined were patients' responses when asked about adhering to those recommendations. The data examined were collected from interviews with 1,333 African American and white hospital inpatients with known coronary disease admitted to the Birmingham-Black Health Seeking for Coronary Heart Disease Project (1989-1990) in Alabama. Respondents were asked to recall previous health care encounters, physician recommendations of cardiac procedures, and adherence to those recommendations. Compared with whites, fewer African American patients recalled physicians recommending some cardiac procedures. If procedure recommendations were recalled, no ethnic differences were found in patient recall of adhering to those recommendations. Predictors of recall of the recommended procedures were identified by multivariate logistic regression. Patients' knowledge of having coronary disease was the common factor that predicted their recall of all cardiac procedures. Other predictor variables included some cardiac risk factors and symptoms, socioeconomic status, and ethnicity. Although health care practice is influenced by many factors, it is important to examine variables that may lead to a reduction in ethnic disparities in coronary disease morbidity and mortality.</t>
  </si>
  <si>
    <t>SCOPUS_ID:0032780231</t>
  </si>
  <si>
    <t>10.1006/pmed.1998.0407</t>
  </si>
  <si>
    <t>Targeting smokers with low readiness to change with tailored and nontailored self-help materials</t>
  </si>
  <si>
    <t>['Computer-tailored interventions', 'Low readiness to change', 'Smoking cessation']</t>
  </si>
  <si>
    <t>Background. Few smoking cessation self-help materials are available for smokers who are not planning to quit. However, computer-tailored interventions can be designed specifically for these smokers. Methods. In a large randomized field trial (N = 843), two different tailored smoking cessation self-help interventions (multiple tailoring and single tailoring) and one standardized smoking cessation self-help guide were compared with a no-information control group and with each other. The contents of the tailored interventions were adapted to individuals' self-reported stage of change, outcome expectations, self-efficacy levels, and smoking behavior. Results. The primary outcome measure was forward stage transition. The standardized self-help guide had no effect. Among smokers who were not planning to quit within the next 5 years the multiple-tailored intervention was more effective than the single-tailored intervention. This pattern was supported by the cognitive changes caused by the interventions. Among smokers who were planning to quit within the next 5 years but not within the next 6 months, none of the self-help materials had any effect. Conclusion. The present results show that the self-help material currently available in the Netherlands, the standardized self-help guide, was not effective among smokers with low readiness to change. However, computer-generated tailored interventions seem a promising means of communicating information on smoking and smoking cessation to these smokers.</t>
  </si>
  <si>
    <t>SCOPUS_ID:84920926388</t>
  </si>
  <si>
    <t>10.1016/j.ypmed.2014.12.015</t>
  </si>
  <si>
    <t>Occurrence and duration of various operational definitions of sedentary bouts and cross-sectional associations with cardiometabolic health indicators: The ENERGY-project</t>
  </si>
  <si>
    <t>['Body composition', 'Fasting blood', 'Sedentary bout', 'Sedentary time', 'Youth']</t>
  </si>
  <si>
    <t>Objective: This study examined the occurrence and duration of sedentary bouts and explored the cross-sectional association with health indicators in children applying various operational definitions of sedentary bouts. Methods: Accelerometer data of 647 children (10-13 years old) were collected in five European countries. We analyzed sedentary time (&lt;. 100. cpm) accumulated in bouts of at least 5, 10, 20 or 30. min based on four operational definitions, allowing 0, 30 or 60. s &gt;. 100. cpm within bouts. Health indicators included anthropometrics (i.e. waist circumference and body mass index (BMI)) and in a subsample from two European countries (n. =. 112) fasting capillary blood levels of glucose, C-peptide, high-density- and low-density cholesterol, and triglycerides. Data collection took place from March to July 2010. Associations were adjusted for age, gender, moderate-to-vigorous physical activity, total wear time and country. Results: Occurrence of sedentary bouts varied largely between the various definitions. Children spent most of their sedentary time in bouts of &gt;. 5. min while bouts of &gt;. 20. min were rare. Linear regression analysis revealed few significant associations of sedentary time accumulated in bouts of &gt;. 5-30. min with health indicators. Moreover, we found that more associations became significant when allowing no tolerance time within sedentary bouts. Conclusion: Despite a few significant associations, we found no convincing evidence for an association between sedentary time accumulated in bouts and health indicators in 10-13 year old children.</t>
  </si>
  <si>
    <t>Belgium</t>
  </si>
  <si>
    <t>SCOPUS_ID:85049344365</t>
  </si>
  <si>
    <t>10.1016/S2468-2667(18)30109-9</t>
  </si>
  <si>
    <t>Effects of restrictions to Income Support on health of lone mothers in the UK: a natural experiment study</t>
  </si>
  <si>
    <t>Background: In the UK, lone parents must seek work as a condition of receiving welfare benefits once their youngest child reaches a certain age. Since 2008, the lower age limit at which these Lone Parent Obligations (LPO) apply has been reduced in steps. We used data from a nationally representative, longitudinal, household panel study to analyse the health effects of increased welfare conditionality under LPO. Methods: From the Understanding Society survey, we used data for lone mothers who were newly exposed to LPO when the age cutoff was reduced from 7 to 5 years in 2012 (intervention group 1) and from 10 to 7 years in 2010 (intervention group 2), as well as lone mothers who remained unexposed (control group 1) or continuously exposed (control group 2) at those times. We did difference-in-difference analyses that controlled for differences in the fixed characteristics of participants in the intervention and control groups to estimate the effect of exposure to conditionality on the health of lone mothers. Our primary outcome was the difference in change over time between the intervention and control groups in scores on the Mental Component Summary (MCS) of the 12-item Short-Form Health Survey (SF-12). Findings: The mental health of lone mothers declined in the intervention groups compared with the control groups. For intervention group 1, scores on the MCS decreased by 1Â·39 (95% CI âˆ’1Â·29 to 4Â·08) compared with control group 1 and by 2Â·29 (0Â·00 to 4Â·57) compared with control group 2. For intervention group 2, MCS scores decreased by 2Â·45 (âˆ’0Â·57 to 5Â·48) compared with control group 1 and by 1Â·28 (âˆ’1Â·45 to 4Â·00) compared with control group 2. When pooling the two intervention groups, scores on the MCS decreased by 2Â·13 (0Â·10 to 4Â·17) compared with control group 1 and 2Â·21 (0Â·30 to 4Â·13) compared with control group 2. Interpretation: Stringent conditions for receiving welfare benefits are increasingly common in high-income countries. Our results suggest that requiring lone parents with school-age children toseek work as a condition of receiving welfare benefits adversely affects their mental health. Funding: UK Medical Research Council, Scottish Government Chief Scientist Office, and National Health Service Research Scotland.</t>
  </si>
  <si>
    <t>SCOPUS_ID:0032838463</t>
  </si>
  <si>
    <t>10.1016/S0749-3797(99)00060-4</t>
  </si>
  <si>
    <t>Is cigarette smoking associated with impaired physical and mental functional status? An office-based survey of primary care patients</t>
  </si>
  <si>
    <t>Objective: To examine the relationship between cigarette smoking and self-reported physical and mental functional status.Design: Cross-sectional survey of 837 patients visiting 2 family practice centers. Patients completed a self-administered survey about functional status, tobacco use, and demographic characteristics while waiting to be called back for their appointments.Setting: An inner-city family practice clinic in Richmond, Virginia, and a more affluent suburban practice outside Washington, DC.Main Outcome Measures: Physical and mental functional status, as measured by the SF-36 (Medical Outcomes Trust, Boston, MA); current and former cigarette use; and demographic variables (age, gender, education, income).Results: Among current smokers, self-reported functional status scores were significantly lower than those of nonsmokers in all SF-36 domains (p â‰¤ 0.02), a pattern that was more dramatic for mental functional status domains (social function, vitality, emotional role limitations, mental health). In several SF-36 domains, a dose-response relationship between smoking and functional status was noted. After multivariate adjustment for demographic confounders and practice site, the statistical significance of these differences diminished considerably, but it remained significant for certain domains and for the overall difference across all domains (MANCOVA p = 0.017).Conclusions: Current smokers report lower functional status than nonsmokers, in physical and especially in mental domains. The meaning of this cross-sectional relationship is unclear without further longitudinal study. Smoking may be associated with other variables that have a causal role. Copyright (C) 1999 American Journal of Preventive Medicine.</t>
  </si>
  <si>
    <t>SCOPUS_ID:85056136590</t>
  </si>
  <si>
    <t>10.1136/jech-2018-211231</t>
  </si>
  <si>
    <t>Tuberculosis and diabetes: Bidirectional association in a UK primary care data set</t>
  </si>
  <si>
    <t>['co-morbidity', 'diabetes', 'epidemiology', 'public health', 'tuberculosis']</t>
  </si>
  <si>
    <t>Background Many studies have found an increased risk of pulmonary tuberculosis (PTB) among those with diabetes mellitus (DM). However, evidence on whether the association is bidirectional remains sparse. This study investigates DM rates among those with and without prior tuberculosis (TB) disease as well as the reverse. Methods Data on a UK general practice population, between 2003 and 2009, were obtained from The Health Improvement Network database. A series of retrospective cohort studies were completed. Individuals were successively classified as 'exposed' or 'unexposed' to TB, PTB, extrapulmonary TB (EPTB) or DM. Multivariate negative binomial regression was used to calculate incidence rate ratios (IRR) among each exposure group for outcomes of interest (TB, PTB, EPTB or DM in turn) adjusting for plausible confounding variables (age, sex, region, Townsend quintile and smoking status). Potential confounding due to ethnicity was adjusted for using McNamee's external method. Results DM risk was substantially raised among individuals with a history of TB disease (IRR 5.65 (95% CI 5.19 to 6.16)), PTB (IRR 5.74 (95% CI 5.08 to 6.50)) and EPTB (IRR 4.66 (95% CI 3.94 to 5.51)) compared with those without; results were attenuated after external adjustment for ethnicity (IRR 2.33 (95% CI 2.14 to 2.53)). TB risk was raised modestly among individuals with DM (IRR 1.50 (95% CI 1.27 to 1.76)) and was attenuated slightly after adjustment for ethnicity (IRR 1.26 (95% CI 1.07 to 1.48)). Conclusion DM risk was raised among those with previous TB disease; this finding has implications for follow-up and screening of patients with TB, who may be at high risk of developing DM or related complications.</t>
  </si>
  <si>
    <t>SCOPUS_ID:84996538929</t>
  </si>
  <si>
    <t>10.1016/j.amepre.2016.08.033</t>
  </si>
  <si>
    <t>Correlates of Helmet Use Among Recreation and Transportation Bicyclists</t>
  </si>
  <si>
    <t>Introduction Helmet use prevents injury and mortality if a bicyclist is in a collision while riding. This cross-sectional study sought to identify domain-specific (recreation versus transportation) correlates of helmet use among U.S. adult bicyclists, using nationally representative data from 2012. Methods This analysis, conducted in 2015â€“2016, utilized data from the 2012 National Survey of Bicyclist and Pedestrian Attitudes and Behaviors, administered for the National Highway Traffic Safety Administration. Bivariate logistic regressions identified sociodemographic, behavioral, and environmental correlates of helmet use among U.S. adult bicyclists. Backwards elimination procedures selected final multivariate models for bicyclistsâ€™ helmet use in both domains. Results Among recreation cyclists, helmet use was significantly associated with income ($30,000â€“$75,000, OR=1.79, 95% CI=1.04, 3.10; â‰¥$75,000, OR=2.34, 95% CI=1.38, 3.97), safety training (OR=2.94, 95% CI=1.46, 5.93), not riding at dark (OR=1.92, 95% CI=1.24, 2.98), feeling threatened while riding (OR=2.24, 95% CI=1.12, 4.45), and using bike lanes/paths (OR=2.04, 95% CI=1.42, 2.93). Helmet use among transportation riders was significantly associated with education (less than high school, OR=2.45, 95% CI=1.13, 5.32; post-high school, OR=3.55, 95% CI=1.96, 6.42), income ($30,000â€“$75,000, OR=2.11, 95% CI=1.17, 3.8; â‰¥$75,000, OR=2.33, 95% CI=1.26, 4.27), unemployment (OR=0.29, 95% CI=0.11, 0.76), not using electronics while riding (OR=2.3, 95% CI=1.41, 3.75), safety training (OR=3.19, 95% CI=1.44, 7.07), and injury while riding within the past 2 years (OR=2.81, 95% CI=1.14, 6.94). Conclusions Correlates of helmet use among bicyclists are domain specific. Although confirmatory longitudinal studies are needed, findings suggest that interventions to increase bicyclistsâ€™ helmet use consider riding domain.</t>
  </si>
  <si>
    <t>SCOPUS_ID:7944221330</t>
  </si>
  <si>
    <t>10.1016/j.ypmed.2004.04.019</t>
  </si>
  <si>
    <t>Television viewing and smoking volume in adolescent smokers: A cross-sectional study</t>
  </si>
  <si>
    <t>['Educational level', 'Gender', 'Parental smoking', 'Peer smoking', 'Smoking', 'Smoking volume', 'Television']</t>
  </si>
  <si>
    <t>Background. Previous research has shown a relationship between television viewing and smoking initiation. The relationship between television viewing and the amount of cigarettes consumed by adolescent smokers per time unit (day, week, month...) has not yet been studied. Methods. A cross-sectional sample of children by means of self-reports administered by research assistants in schools was obtained. Participants were 421 smokers in a random sample of 4th year students in 15 secondary schools in Flanders, Belgium. Main outcome measures were quantifiable, closed survey questions about smoking volume, whether or not parents and friends smoked, frequency of going out and average weekly TV viewing volume. Results. Television viewing was a significant predictor of smoking volume. Smokers who watch more TV smoke more. The relationship was curvilinear (quadratic). The relationship becomes stronger (curves upward) for higher levels of viewing. Those who watch 5 or more hours a day smoke between 60 and 147 cigarettes more per week than those who watch 1 h or less. Conclusions. Television viewing is significantly related to smoking volume. The content of television may glamorize smoking. Children may learn to associate smoking with viewing regardless of content. It is also possible that heavier smoking leads to more viewing or that a third variable influences both smoking volume and viewing. Regardless of the causal direction of the relationship television viewing appears to be an indicator or predictor of smoking volume. The curvilinear nature of the relationship deserves further attention. Â© 2004 The Institute For Cancer Prevention and Elsevier Inc. All rights reserved.</t>
  </si>
  <si>
    <t>SCOPUS_ID:85127852077</t>
  </si>
  <si>
    <t>10.1097/EDE.0000000000001470</t>
  </si>
  <si>
    <t>Estimands and Estimation of COVID-19 Vaccine Effectiveness Under the Test-Negative Design: Connections to Causal Inference</t>
  </si>
  <si>
    <t>['Causal inference', 'Directed acyclic graphs', 'SARS-CoV-2', 'Test-negative design', 'Vaccine effectiveness']</t>
  </si>
  <si>
    <t>The test-negative design is routinely used for the monitoring of seasonal flu vaccine effectiveness. More recently, it has become integral to the estimation of COVID-19 vaccine effectiveness, in particular for more severe disease outcomes. Because the design has many important advantages and is becoming a mainstay for monitoring postlicensure vaccine effectiveness, epidemiologists and biostatisticians may be interested in further understanding the effect measures being estimated in these studies and connections to causal effects. Logistic regression is typically applied to estimate the conditional risk ratio but relies on correct outcome model specification and may be biased in the presence of effect modification by a confounder. We give and justify an inverse probability of treatment weighting (IPTW) estimator for the marginal risk ratio, which is valid under effect modification. We use causal directed acyclic graphs, and counterfactual arguments under assumptions about no interference and partial interference to illustrate the connection between these statistical estimands and causal quantities. We conduct a simulation study to illustrate and confirm our derivations and to evaluate the performance of the estimators. We find that if the effectiveness of the vaccine varies across patient subgroups, the logistic regression can lead to misleading estimates, but the IPTW estimator can produce unbiased estimates. We also find that in the presence of partial interference both estimators can produce misleading estimates.</t>
  </si>
  <si>
    <t>SCOPUS_ID:0041383919</t>
  </si>
  <si>
    <t>10.1093/ije/dyg218</t>
  </si>
  <si>
    <t>Commentary: Assessing food insecurity in Trinidad and Tobago</t>
  </si>
  <si>
    <t>In summary, the US approach to develop an experience-based measure of food insecurity that can be readily implemented in surveys has proven to be highly successful. This success rests on the careful development and validation of the measure. The approach used in the US holds great promise for developing suitable experienced-based measures of food insecurity in other settings. Achieving this promise requires implementing the approach fully, rather than simply using uncritically a measure that was previously developed in another setting. Based on our research developing such measures, we have prepared a manual to guide researchers and programme staff who wish to undertake this approach. The manual outlines a series of steps to be completed in 3 months or less, and is available at web address &lt;www.fantaproject.org&gt;.</t>
  </si>
  <si>
    <t>SCOPUS_ID:0001433962</t>
  </si>
  <si>
    <t>10.1093/eurpub/6.3.166</t>
  </si>
  <si>
    <t>Socioeconomic inequalities in perinatal and infant mortality from 1854 to 1990 in Amsterdam, the Netherlands</t>
  </si>
  <si>
    <t>['Infant mortality', 'Perinatal mortality', 'Socioeconomic status', 'Trends']</t>
  </si>
  <si>
    <t>Trends in socioeconomic differences in infant and perinatal mortality in Amsterdam were studied for the period 1854-1990, using published and unpublished material, at the aggregate and at the individual level. Absolute and relative socioeconomic mortality differences (SEMD) per data-set were calculated using inequality indices developed by Pamuk. The results show a decrease of the absolute differences in both infant and perinatal mortality. For infant mortality, this is mainly due to the overall decline of the infant mortality rate. Relative differences in infant mortality did not decrease during the study period. This is the result of separate developments in 3 time periods. From approximately 1850 to approximately 1910 an increase in relative differences can be seen, a trend which is reversed from approximately 1910 to the end of World War II. After World War II relative differences seem to stabilize at the same level. For perinatal mortality, for which only data from the post-World War II period are available, the decrease in the absolute differences is due both to the overall decline of the perinatal mortality rate and to a decline of relative differences between socioeconomic groups. It is concluded that although SEMD in infant and perinatal mortality have declined in an absolute sense, they still exist and that the relative position of deprived groups concerning infant mortality was not ameliorated during the study period.</t>
  </si>
  <si>
    <t>SCOPUS_ID:0037114889</t>
  </si>
  <si>
    <t>10.1093/aje/kwf157</t>
  </si>
  <si>
    <t>Homocysteine and blood pressure in the Third National Health and Nutrition Examination Survey, 1988-1994</t>
  </si>
  <si>
    <t>['Biological markers', 'Blood pressure', 'Cardiovascular diseases', 'Folic acid', 'Homocysteine', 'Hypertension', 'Pyridoxine']</t>
  </si>
  <si>
    <t>Studies suggest that homocysteine may elevate blood pressure and increase the risk of hypertension. The association of homocysteine with blood pressure and with the risk of hypertension was investigated using crosssectional data from the Third National Health and Nutrition Examination Survey (1998-1994). Homocysteine had an independent positive association with blood pressure after adjusting for cardiovascular risk factors. A 1 standard deviation (âˆ¼5 Î¼mol/liter) increase in homocysteine was associated with increases in diastolic and systolic blood pressure of 0.5 and 0.7 mmHg, respectively, in men and of 0.7 and 1.2 mmHg in women. Similarly, higher levels of homocysteine were associated with an increased risk of hypertension. In a comparison of the highest and lowest quintiles of homocysteine, women had a threefold increase in the risk of hypertension (95% confidence interval (Cl): 1.7, 5.4), and men had a twofold increase (95% Cl: 0.7, 5.1). In light of the homocysteineblood pressure association, the association of homocysteine with prevalent cardiovascular disease was examined with and without adjusting for blood pressure. The results support a mediating role for blood pressure in women and suggest that the full effect of homocysteine on cardiovascular risk may be underestimated when blood pressure is adjusted.</t>
  </si>
  <si>
    <t>SCOPUS_ID:78651299926</t>
  </si>
  <si>
    <t>10.1136/jech.2009.098269</t>
  </si>
  <si>
    <t>Social disparities in periodontitis among US adults: The effect of allostatic load</t>
  </si>
  <si>
    <t>Background: Periodontitis has been shown to be associated with allostatic load, a measure of physiological instability across biological systems from cumulative or repeated adaptation to stressors. Minority racial/ethnic and low socioeconomic groups tend to have higher prevalence of periodontitis and are more likely to be exposed to stress. The association between periodontitis and allostatic load and whether this association differed by race/ethnicity, education, income and age among US adults were examined. Methods: Using data from the National Health and Nutrition Examination Survey 1999-2004, prevalence ratios were calculated using logistic regression to estimate the strength of the association between allostatic load and the prevalence of periodontitis before and after adjusting for selected characteristics. Results: After adjustment for selected characteristics, including race/ethnicity, income and education, US adults with a high allostatic load were 55% (95% CI 1.05 to 2.29) more likely to have periodontitis than their counterparts with low allostatic load. This association varied by race/ethnicity where Mexican Americans with a high allostatic load were almost five (PR 4.62; 95% CI 2.52 to 8.50) times more likely to have periodontitis than their counterparts with low allostatic load. Conclusions: These data suggest that stress may be associated with periodontitis in the USA, with Mexican Americans exhibiting the strongest association. Furthermore, this group may lack appropriate coping responses to process chronic stressors that other groups may have historically been conditioned to handle. More research is needed to understand allostatic load in Mexican Americans and its influence on periodontitis.</t>
  </si>
  <si>
    <t>SCOPUS_ID:85146336085</t>
  </si>
  <si>
    <t>10.1016/j.amepre.2022.12.010</t>
  </si>
  <si>
    <t>Air Quality Index and Childhood Asthma: A Pilot Randomized Clinical Trial Intervention</t>
  </si>
  <si>
    <t>Introduction: To reduce air pollution exposure, the U.S. asthma guidelines recommend that children check the Air Quality Index before outdoor activity. Whether adding the Air Quality Index and recommendations to asthma action plans reduces exacerbations and improves control and quality of life in children with asthma is unknown. Methods: A pilot, unblinded, randomized clinical trial of 40 children with persistent asthma, stratified by age and randomized 1:1, recruited from the University of Pittsburgh Medical Center Children's Hospital of Pittsburgh (Pittsburgh, PA) was conducted. All participants received asthma action plans and Air Quality Index education. The intervention group received printed Air Quality Index information and showed the ability to use AirNow. Asthma exacerbations were assessed through a questionnaire, asthma control was assessed with the Asthma Control Test and Childhood Asthma Control Test, and quality of life was assessed with the Pediatric Asthma Quality of Life Questionnaire. After randomization (Julyâ€“October 2020), participants were followed monthly for 6 months (exit Januaryâ€“March 2021). Outcome differences between groups were evaluated at the exit visit and over time (analysis was in 2021). Results: At randomization, there were no significant differences in age, sex, race, or asthma severity. At exit, more intervention participants checked the Air Quality Index (63% vs 15%) with no differences in the proportion of asthma exacerbations or mean Childhood Asthma Control Test or Pediatric Asthma Quality of Life Questionnaire scores. The mean change in Asthma Control Test score was higher in the intervention group (change in Asthma Control Test=2.00 vs 0.15 for the control), which was modified by time (Î²=1.85, CI=0.09, 3.61). Physical activity was decreased overall and showed modification by treatment and time. Conclusions: Addition of the Air Quality Index to asthma action plans led to improved asthma control by Asthma Control Test scores but may decrease outdoor activity.</t>
  </si>
  <si>
    <t>SCOPUS_ID:0030009244</t>
  </si>
  <si>
    <t>10.1093/ije/25.2.394</t>
  </si>
  <si>
    <t>Characteristics of non-insulin-dependent diabetes mellitus in elderly men: Effect modification by family history</t>
  </si>
  <si>
    <t>['Diabetes mellitus', 'Family history', 'Glucose tolerance', 'Insulin', 'Lipoproteins', 'Non-insulin-dependent', 'Obesity']</t>
  </si>
  <si>
    <t>Background. Heredity, obesity and fat distribution may interact with each other in their association with diabetes risk. Therefore we tried to elucidate the role of familial diabetes as effect modifier in the association of obesity, glucose metabolism and lipoproteins with non-insulin-dependent diabetes mellitus. Methods. A cross-sectional study was carried out among 468 elderly men. Within strata of family history, men with diabetes and normal glucose tolerance were compared with respect to anthropometry, characteristics of glucose metabolism and serum lipids. Results Of the participants, 14.5% were diabetic. In diabetic men a family history of diabetes occurred more often (22.1%) than in men with normal (6.8%, P &lt; 0.001) or impaired glucose tolerance (8.5%). In diabetic men with a family history, the ratio of fasting insulin to glucose and the ratio of areas under the insulin and glucose curves during oral glucose tolerance testing were lower compared to men with normal glucose tolerance. In men without a family history, these differences were smaller (interaction P = 0.06). In diabetic men without a family history, fasting insulin levels were markedly elevated (P &lt; 0.001), whereas in men with a family history there was only a slight elevation. The presence of a family history resulted in more severe deteriorations in lipids, especially in fasting triglycerides (interaction P = 0.075). No interaction between indices of obesity and a family history was observed. Conclusions Our findings suggest that elderly diabetic men with a family history of diabetes represent a different subgroup than elderly men without such a history, characterized by larger deteriorations in indices for beta-cell function and higher triglyceride levels.</t>
  </si>
  <si>
    <t>SCOPUS_ID:0036721712</t>
  </si>
  <si>
    <t>10.2105/AJPH.92.9.1523</t>
  </si>
  <si>
    <t>The social-environmental context of violent behavior in persons treated for severe mental illness</t>
  </si>
  <si>
    <t>Objectives. This study examined the prevalence and correlates of violent behavior by individuals with severe mental illness. Methods. Participants (N = 802) were adults with psychotic or major mood disorders receiving inpatient or outpatient services in public mental health systems in 4 states. Results. The 1-year prevalence of serious assaultive behavior was 13%. Three variables-past violent victimization, violence in the surrounding environment, and substance abuse-showed a cumulative association with risk of violent behavior. Conclusions. Violence among individuals with severe mental illness is related to multiple variables with compounded effects over the life span. Interventions to reduce the risk of violence need to be targeted to specific subgroups with different clusters of problems related to violent behavior.</t>
  </si>
  <si>
    <t>SCOPUS_ID:84884140205</t>
  </si>
  <si>
    <t>10.2105/AJPH.2013.301487</t>
  </si>
  <si>
    <t>An empirical evaluation of the US beer institute's self-regulation code governing the content of beer advertising</t>
  </si>
  <si>
    <t>Objectives. We evaluated advertising code violations using the US Beer Institute guidelines for responsible advertising. Methods. We applied the Delphi rating technique to all beer ads (n = 289) broadcast in national markets between 1999 and 2008 during the National Collegiate Athletic Association basketball tournament games. Fifteen public health professionals completed ratings using quantitative scales measuring the content of alcohol advertisements (e.g., perceived actor age, portrayal of excessive drinking) according to 1997 and 2006 versions of the Beer Institute Code. Results. Depending on the code version, exclusion criteria, and scoring method, expert raters found that between 35% and 74% of the ads had code violations. There were significant differences among producers in the frequency with which ads with violations were broadcast, but not in the proportions of unique ads with violations. Guidelines most likely to be violated included the association of beer drinking with social success and the use of content appealing to persons younger than 21 years. Conclusions. The alcohol industry's current self-regulatory framework is ineffective at preventing content violations but could be improved by the use of new rating procedures designed to better detect content code violations.</t>
  </si>
  <si>
    <t>SCOPUS_ID:85122909289</t>
  </si>
  <si>
    <t>10.2105/AJPH.2021.306565</t>
  </si>
  <si>
    <t>Adherence to Social-Distancing and Personal Hygiene Behavior Guidelines and Risk of COVID-19 Diagnosis: Evidence From the Understanding America Study</t>
  </si>
  <si>
    <t>Objectives. To assess the association between individual-level adherence to social-distancing and personal hygiene behaviors recommended by public health experts and subsequent risk of COVID-19 diagnosis in the United States. Methods. Data are from waves 7 through 26 (June 10, 2020-April 26, 2021) of the Understanding America Study COVID-19 survey. We used Cox models to assess the relationship between engaging in behaviors considered high risk and risk of COVID-19 diagnosis. Results. Individuals engaging in behaviors indicating lack of adherence to social-distancing guidelines, especially those related to large gatherings or public interactions, had a significantly higher risk of COVID-19 diagnosis than did those who did not engage in these behaviors. Each additional risk behavior was associated with a 9% higher risk of COVID-19 diagnosis (hazard ratio [HR]51.09; 95% confidence interval [CI]51.05, 1.13). Results were similar after adjustment for sociodemographic characteristics and local infection rates. Conclusions. Personal mitigation behaviors appear to influence the risk of COVID-19, even in the presence of social factors related to infection risk</t>
  </si>
  <si>
    <t>SCOPUS_ID:0035863903</t>
  </si>
  <si>
    <t>10.1093/aje/153.2.145</t>
  </si>
  <si>
    <t>Effect of body mass on the association between estrogen replacement therapy and mortality among elderly US women</t>
  </si>
  <si>
    <t>['Body mass index', 'Cardiovascular diseases', 'Estrogen replacement therapy', 'Mortality']</t>
  </si>
  <si>
    <t>In observational studies, estrogen replacement therapy is associated with decreased cardiovascular disease rates and increased breast cancer rates. Recent evidence suggests that the impact of estrogen use on disease outcomes may vary by body mass. In a prospective study of 290,827 postmenopausal US women with no history of cancer or cardiovascular disease at enrollment in 1982, the authors examined the association between postmenopausal estrogen use and all-cause, coronary heart disease, stroke, all-cancer, and breast cancer death rates and whether these associations differed by body mass. After 12 years of follow-up, results from Cox proportional hazards models showed that all-cause death rates were lower among baseline estrogen users than never users (rate ratio (RR) = 0.82, 95% confidence interval (Cl): 0.78, 0.87). The lowest relative risk was found for coronary heart disease (RR = 0.66, 95% Cl: 0.58, 0.77). The inverse association between estrogen use and coronary heart disease mortality was strongest for thin women (body mass index &lt;22 kg/m2) (RR = 0.49, p for interaction = 0.02). Breast cancer mortality did not increase with estrogen use overall, and no increased risk was observed for thin or heavy women. In this population, the reduction in coronary heart disease mortality among estrogen users was greatest for thinner women. Additional studies are needed to confirm or refute these results.</t>
  </si>
  <si>
    <t>SCOPUS_ID:85034761002</t>
  </si>
  <si>
    <t>10.1093/aje/kwx170</t>
  </si>
  <si>
    <t>Sex Differences in the Association between Pain and Injurious Falls in Older Adults: A Population-Based Longitudinal Study</t>
  </si>
  <si>
    <t>['aged', 'falls', 'injury', 'pain', 'sex factors']</t>
  </si>
  <si>
    <t>We investigated whether there are sex differences in the association between pain and incident injurious falls. A total of 2,934 people (ages â‰¥60 years) from the population-based Swedish National Study on Aging and Care in Kungsholmen (2001-2004) participated. Participants were followed up for 3 and 10 years for falls leading to hospitalization or outpatient care. Data were analyzed with flexible parametric survival models that adjusted for potential confounders. During the first 3 years of follow-up, 67 men and 194 women experienced an injurious fall, and over 10 years of follow up, 203 men and 548 women experienced such a fall. In men, the presence of pain, having pain that was at least mild, having pain that affected several daily activities, and having daily pain all significantly increased the likelihood of incurring an injurious fall during the 3-year follow-up period. The multivariate-adjusted hazard ratios ranged from 1.78 (95% confidence interval: 1.00, 3.15) for the presence of pain to 2.89 (95% confidence interval: 1.41, 5.93) for several daily activities' being affected by pain. Results for the 10-year follow-up period were similar. No significant associations were detected in women. Although pain is less prevalent in men than in women, its impact on risk of injurious falls seems to be greater in men.</t>
  </si>
  <si>
    <t>SCOPUS_ID:85060567577</t>
  </si>
  <si>
    <t>10.1093/eurpub/cky107</t>
  </si>
  <si>
    <t>Predictive risk model for the diagnosis of diabetes mellitus type 2 in a follow-up study 15 years on: PRODI2 Study</t>
  </si>
  <si>
    <t>The prevalence and mortality related to diabetes mellitus type 2 (DM2) have increased consistently for decades. Identifying adults at high risk of diabetes incidence is important for the execution of intervention. The participants in the PRODI2 study (n=273), who come from the southeast of Spain and did not have diabetes at the start of the study, were followed for 15 years (1999-2014), and their risk parameters were measured, from which a predictive model was obtained which indicates the level of influence of each factor in the development of DM2. The expected risk of diabetes was calculated by binary logistic regression. Those participants whose father has suffered an acute myocardial infarction are 3.9 times more likely to develop DM2 (confidence interval 95%: 1.498, 10.339); those with at least one parent who has a history of diabetes are 2.7 times more at risk (confidence interval 95%: 1.224, 6.101); the risk of being diabetic was 1.13 times higher for every extra unit on the waist-hip ratio (confidence interval 95%: 1.073, 1.195), and for the hip perimeter an OR of 0.93 was obtained (confidence interval 95%: 0.876, 0.982). Statistically significant differences were observed in all cases (P&lt;0.05). This study shows that the risk of being diabetic rises in patients whose father has suffered an acute myocardial infarction, in those whose mother or father is diabetic and in patients with a high waist perimeter.</t>
  </si>
  <si>
    <t>SCOPUS_ID:84928910829</t>
  </si>
  <si>
    <t>10.1093/aje/kwu331</t>
  </si>
  <si>
    <t>Overweight and obesity in midlife and brain structure and dementia 26 years later</t>
  </si>
  <si>
    <t>['brain vascular lesions', 'cohort study', 'dementia', 'epidemiology', 'mortality', 'obesity']</t>
  </si>
  <si>
    <t>High adiposity in midlife might increase risk for late-life brain pathology, including dementia. Using data from the prospective Age, Gene/Environment Susceptibility-Reykjavik Study of men and women (born 1907-1935), we studied the associations of overweight and obesity at midlife (mean age, 50 (standard deviation, 4.7) years) with 1.5-T brain magnetic resonance imaging measures of infarct-like brain lesions, cerebral microbleeds, total brain volume, and white matter lesions volume, as well as dementia, in late life (mean age, 76 (standard deviation, 5.2) years). We used linear and Poisson models to estimate associations in 3,864 persons after adjustment for sociodemographic, health, and lifestyle characteristics. In midlife, the prevalence of overweight was 39% and that of obesity was 8%. After a mean follow-up of 26.2 (standard deviation, 4.9) years, midlife overweight and obesity were not associated with infarct-like brain lesions (relative risk (RR) = 0.82, 95% confidence interval (CI): 0.61, 1.10), cerebral microbleeds (RR = 0.69, 95% CI: 0.37, 1.32), total brain volume (Î² = 0.05, 95% CI: -0.34, 0.45), white matter lesions volume (Î² = -0.10, 95% CI: -0.20, 0.01), or dementia (RR = 0.91, 95% CI: 0.49, 1.72) compared with normal weight. These findings do not support the hypothesis that high body mass index in midlife modulates the risk for dementia.</t>
  </si>
  <si>
    <t>SCOPUS_ID:26444557985</t>
  </si>
  <si>
    <t>10.1093/aje/kwi249</t>
  </si>
  <si>
    <t>Evaluation of offspring and maternal genetic effects on disease risk using a family-based approach: The "pent" design</t>
  </si>
  <si>
    <t>['Alleles', 'Epidemiologic methods', 'Genotype', 'Linkage (genetics)', 'Linkage disequilibrium', 'Models, genetic', 'Models, statistical']</t>
  </si>
  <si>
    <t>Diseases that develop during gestation may be influenced by the genotype of the mother and the inherited genotype of the embryo/fetus. However, given the correlation between maternal and offspring genotypes, differentiating between inherited and maternal genetic effects is not straightforward. The two-step transmission disequilibrium test was the first, family-based test proposed for the purpose of differentiating between maternal and offspring genetic effects. However, this approach, which requires data from "pents" comprising an affected child, mother, father, and maternal grandparents, provides biased tests for maternal genetic effects when the offspring genotype is associated with disease. An alternative approach based on transmissions from grandparents provides unbiased tests for maternal and offspring genetic effects but requires genotype information for paternal grandparents in addition to pents. The authors have developed two additional, pent-based approaches for the evaluation of maternal and offspring genetic effects. One approach requires the assumption of genetic mating type symmetry (pent-1), whereas the other does not (pent-2). Simulation studies demonstrate that both of these approaches provide valid estimation and testing for offspring and maternal genotypic effects. In addition, the power of the pent-1 approach is comparable with that of the approach based on data using all four grandparents. Copyright Â© 2005 by the Johns Hopkins Bloomberg School of Public Health. All rights reserved.</t>
  </si>
  <si>
    <t>SCOPUS_ID:0035863840</t>
  </si>
  <si>
    <t>10.1093/aje/153.2.153</t>
  </si>
  <si>
    <t>Factors associated with earthquake deaths in the great Hanshin-Awaji earthquake, 1995</t>
  </si>
  <si>
    <t>['Case-control studies', 'Mortality', 'Multivariate analysis', 'Natural disasters', 'Risk factors']</t>
  </si>
  <si>
    <t>The authors conducted descriptive and case-control studies to find factors associated with earthquake deaths due to the Great Hanshin-Awaji earthquake on January 17, 1995, in Nishinomiya, Japan. In the case-control study, cases included all 1,104 deaths. Controls were randomly selected from survivors. Earthquake mortality increased for people over age 50 years. Mortality among people who had lived in dwellings that were completely destroyed was much higher. One risk factor was physical disabilities (odds ratio = 1.9, 95% confidence interval (CI): 1.0, 3.4). When the analysis was limited to the people who had lived in intact or partially destroyed dwellings, the odds ratio rose to 5.6 (95% CI: 1.6, 19.8).</t>
  </si>
  <si>
    <t>SCOPUS_ID:84879015315</t>
  </si>
  <si>
    <t>10.2105/AJPH.2012.300783</t>
  </si>
  <si>
    <t>Associations between psychiatric inpatient bed supply and the prevalence of serious mental illness in veterans affairs nursing homes</t>
  </si>
  <si>
    <t>Objectives. We assessed whether reductions in inpatient psychiatric beds resulted in transinstitutionalization to nursing home care of patients with serious mental illness (SMI) within the Veterans Health Administration (VHA). Methods. We assessed trends in national and site-level inpatient psychiatric beds and nursing home patient demographics, service use, and functioning from the VHA National Patient Care Database, VHA Service Support Center Bed Control, and VHA Minimum Data Set. We estimated nursing home admission appropriateness using propensity score analyses based on Michigan Medicaid Nursing Facility Level of Care Determinations ratings. Results. From 1999 to 2007, the number of VHA inpatient psychiatric beds declined (43 894-40 928), the average inpatient length of stay decreased (33.1-19.0 days), and the prevalence of SMI in nursing homes rose (29.4%-43.8%). At site level, psychiatric inpatient bed availability was unrelated to SMI prevalence in nursing home admissions. However, nursing home residents with SMI were more likely to be inappropriately admitted than were residents without SMI (4.0% vs 3.2%). Conclusions. These results suggest the need for increased attention to the long-term care needs of individuals with SMI. Additional steps need to be taken to ensure that patients with SMI are offered appropriate alternatives to nursing home care and receive adequate screening before admission to nursing home treatment. Copyright Â© 2012 by the American Public Health AssociationÂ®.</t>
  </si>
  <si>
    <t>SCOPUS_ID:85163105729</t>
  </si>
  <si>
    <t>10.1016/j.ypmed.2023.107569</t>
  </si>
  <si>
    <t>The need for a personalized, core digital resource to facilitate health self-management</t>
  </si>
  <si>
    <t>['Digital technology', 'Health services', 'Preventive medicine', 'Public health', 'Risk assessment', 'Self-management', 'Social medicine', 'Telemedicine']</t>
  </si>
  <si>
    <t>High quality healthcare is becoming increasingly unaffordable and inaccessible. To reverse this trend, people need to self-manage as much of their health as possible. They need to take appropriate preventive actions and use health services in a timely and efficient manner. Yet health self-management is challenging in an increasingly complex environment that involves competing demands and sometimes contradictory advice as well as increasingly fragmented delivery of health services. Digital tools have added a new dimension to healthcare and hold the potential to help bridge these challenges. Unfortunately, much of the potential benefit of digital resources is not being realized, partly because of difficulties people face in identifying appropriate and effective resources in a haystack of mainly unevaluated and often poorly conceived resources. Underuse and failure to maintain use of resources found to be effective also retards progress. Furthermore, people need more help to understand their needs and establish priorities around their health self-management. 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</si>
  <si>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SCOPUS_ID:84939488498</t>
  </si>
  <si>
    <t>10.1093/eurpub/cku178</t>
  </si>
  <si>
    <t>Vaccination coverage for measles, mumps and rubella in anthroposophical schools in Gelderland, the Netherlands</t>
  </si>
  <si>
    <t>Background: Social clustering of unvaccinated children in anthroposophical schools occurs, as inferred from various measles outbreaks that can be traced to these schools. However, accurate vaccination coverage data of anthroposophical schools are not widely available. Methods: In 2012, we performed a survey to estimate the vaccination coverage in three different grades of 11 anthroposophical schools in Gelderland, The Netherlands. We also gauged the opinion on childhood vaccination of the parents and compared these with the results of a national survey. In 2014, we were also able to obtain the registered total vaccination coverage per school from the national vaccination register to compare this with our survey data. Results: The self-reported MMR vaccination coverage (2012) in the three grades of the schools in our study was 83% (range 45-100% per school). The registered total vaccination coverage (2014) was 78% (range 59-88% per school). The 95% confidence intervals of the two different vaccination coverages overlap for all schools. The parents in this study were less convinced about the beneficial effect of vaccinations and more worried about the possible side effects of vaccination compared with parents in general. Conclusion: Despite high overall vaccination coverage, the WHO goal to eliminate measles and rubella will not easily be achieved when social clustering of unvaccinated children in anthroposophical schools remains.</t>
  </si>
  <si>
    <t>SCOPUS_ID:77956579128</t>
  </si>
  <si>
    <t>10.1016/j.amepre.2010.05.023</t>
  </si>
  <si>
    <t>Weight concerns, mood, and postpartum smoking relapse</t>
  </si>
  <si>
    <t>Background The majority of women who quit smoking as a result of pregnancy will resume smoking during the first 6 months postpartum. Evidence suggests that changes in depressive symptoms, perceived stress, and concerns about weight may relate to postpartum smoking relapse. Purpose This study was designed to prospectively evaluate the relationship of mood and weight concerns to postpartum smoking among women who quit smoking during pregnancy. Methods Pregnant women who had quit smoking (N=183) were recruited between February 2003 and November 2006. Women completed assessments of mood (depressive symptoms, perceived stress, positive and negative affect) and weight concerns during the third trimester of pregnancy and at 6, 12, and 24 weeks postpartum. Self-reported smoking status was verified by expired-air carbon monoxide and salivary cotinine at each assessment. Cox regression analyses in which mood and weight concerns were treated as time-dependent covariates were conducted in 2007 and 2009. Results By 24 weeks postpartum, 65% of women had resumed smoking. Smoking-related weight concerns increased risk of relapse, and positive affect and self-efficacy for weight management without smoking decreased risk of relapse postpartum. Moreover, after controlling for variables previously related to postpartum relapse, weight concerns remained significantly related to smoking relapse. Conclusions Smoking-related weight concerns and positive affect increase the likelihood that a woman will resume smoking postpartum. Moreover, weight concerns appear to be salient even in the context of other factors shown to affect postpartum smoking. This study suggests that interventions may need to address women's weight concerns and mood to help sustain smoking abstinence after childbirth. Â© 2010 American Journal of Preventive Medicine.</t>
  </si>
  <si>
    <t>SCOPUS_ID:85006078355</t>
  </si>
  <si>
    <t>10.2105/AJPH.2016.303450</t>
  </si>
  <si>
    <t>A public-private partnership to mitigate food insecurity and food waste in Orange County, California</t>
  </si>
  <si>
    <t>Food insecurity is a global issue that arises owing to systemic socioeconomic inequities and environmental constraints. To highlight the existence and the extent of food insecurity and food waste, the Orange County Health Department in Orange County, California, created a coalition called "Waste Not Orange County." Orange County is the sixth most populous county in California and has the highest median income, yet 11.4% of those residing in Orange County are food insecure, and 24.0% live in poverty. The overall vision of the coalition is to mitigate hunger in Orange County by educating the community about food donations, identifying food-insecure individuals, and connecting those individuals to sources of food. We examine the coalition's impacts between 2014 and 2016.</t>
  </si>
  <si>
    <t>SCOPUS_ID:85102907333</t>
  </si>
  <si>
    <t>10.2105/AJPH.2020.306097</t>
  </si>
  <si>
    <t>Establishing a SARS-CoV-2 (COVID-19) Drive-Through Collection Site: A Community-Based Participatory Research Partnership With a Federally Qualified Health Center</t>
  </si>
  <si>
    <t>The COVID-19 pandemic has disproportionately affected underserved and minority populations in the United States. This is partially attributable to limited access to diagnostic testing from deeply rooted structural inequities precipitating higher infection and mortality rates. We describe the process of establishing a drive-through collection site by leveraging an academic-community partnership between a medical institution and a federally qualified health center in Minnesota. Over 10 weeks, 2006 COVID-19 tests were provided to a socioeconomically disadvantaged population of racial/ethnic minorities and low-income essential workers.</t>
  </si>
  <si>
    <t>SCOPUS_ID:85044271034</t>
  </si>
  <si>
    <t>10.1097/EDE.0000000000000753</t>
  </si>
  <si>
    <t>The Relationship between 2009 Pandemic H1N1 Influenza during Pregnancy and Preterm Birth: A Population-based Cohort Study</t>
  </si>
  <si>
    <t>Background: Previous studies of maternal influenza illness and preterm birth have yielded inconsistent results. Our objective was to assess the association between 2009 pandemic H1N1 (pH1N1) influenza during pregnancy and preterm birth in a large obstetrical population. Methods: We linked a province-wide birth registry with health administrative databases to identify influenza-coded hospitalizations, emergency department visits, or physician visits among pregnant women during the 2009 H1N1 pandemic (our proxy for clinical pH1N1 influenza illness). Using Cox regression, we estimated adjusted hazard ratios (aHR) for preterm birth and spontaneous preterm birth treating influenza as a time-varying exposure. Results: Among 192,082 women with a singleton live birth, 2,925 (1.5%) had an influenza-coded health care encounter during the 2009 H1N1 pandemic. Compared with unexposed pregnancy time, there was no association between exposure to the pandemic, with or without clinical influenza illness, and preterm birth (no pH1N1 diagnosis: aHR = 1.0; 95% confidence interval [CI] = 0.98, 1.1; pH1N1 diagnosis: aHR = 1.0; 95% CI = 0.88, 1.2). Among women with preexisting medical conditions, influenza was associated with increased preterm birth (aHR = 1.5; 95% CI = 1.1, 2.2) and spontaneous preterm birth (aHR = 1.7; 95% CI = 1.1, 2.6), and these associations were strongest in the third trimester and when data were analyzed to allow for a transient acute effect of influenza. Conclusions: In the general obstetrical population, there was no association between pH1N1 influenza illness and preterm birth, but women with preexisting medical conditions known to increase the risk of influenza-associated morbidity were at elevated risk.</t>
  </si>
  <si>
    <t>SCOPUS_ID:85067089244</t>
  </si>
  <si>
    <t>10.1093/aje/kwz056</t>
  </si>
  <si>
    <t>Optimism and Healthy Aging in Women and Men</t>
  </si>
  <si>
    <t>['Chronic Disease', 'Cognitive Function', 'Health Psychology', 'Healthy Aging', 'Optimism', 'Physical Function', 'Psychological Well-Being', 'Resilience']</t>
  </si>
  <si>
    <t>Mounting evidence indicates that there are specific associations between higher levels of optimism and healthier behaviors, reduced risk of chronic diseases, and lower mortality. Yet, for public health purposes, it is critical to consider how optimismmight be related to a full scope of health conditions in aging-from cognitive to physical health. Using prospective data from the Health and Retirement Study (n = 5,698), we examined whether higher baseline optimism was associated with subsequent increased likelihood of maintaining healthy aging over 6-8 years of follow-up. Optimism was assessed at study baseline (2006 or 2008), and components of healthy aging were assessed every 2 years, defined as: 1) remaining free of major chronic diseases; 2) having no cognitive impairment; and 3) good physical functioning. Hazard ratios were obtained using Cox proportional hazards models, and a range of relevant covariates were considered (sociodemographic factors, depressive symptoms, and health behaviors). After adjusting for sociodemographic factors and depression, the most (top quartile) versus least (bottom quartile) optimistic participants had a 24% increased likelihood of maintaining healthy aging (95% CI: 1.11, 1.38). Further adjustment for health behaviors did not meaningfully change the findings. Optimism, a potentially modifiable health asset, merits further research for its potential to improve likelihood of health in aging.</t>
  </si>
  <si>
    <t>SCOPUS_ID:0030991841</t>
  </si>
  <si>
    <t>10.1093/eurpub/7.2.153</t>
  </si>
  <si>
    <t>Cost-effectiveness of vaccination against pneumococcal pneumonia in The Netherlands</t>
  </si>
  <si>
    <t>['Cost-effectiveness', 'Decision tree', 'Economic evaluation', 'Pneumococcal pneumonia', 'Vaccine']</t>
  </si>
  <si>
    <t>Because of the prevalence of pneumococcal pneumonia and the substantial morbidity and mortality associated with many pneumococcal infections, considerable efforts have been made in disease prevention, using a polyvalent polysaccharide pneumococcal vaccine. Although the WHO has endorsed a policy of universal vaccination of all elderly people, the economic aspects of such a policy have not been determined. Using a decision tree framework, this paper examines the cost-effectiveness of various strategies of pneumococcal vaccination for the elderly in The Netherlands. For various age categories, the economic attractiveness of the vaccination of all individuals as well as the vaccination of only those individuals with a specific disease has been calculated. We conclude that, allowing for some uncertainty regarding key variables such as the vaccine efficacy and the hospital admission rate, the vaccination of all individuals above the age of 65 years is comparable in terms of cost-effectiveness to many existing health care interventions. The vaccination of individuals above the age of 55 years with chronic lung disease or chronic heart disease is similarly attractive from an economic point of view, as is the vaccination of individuals above the age of 65 years with diabetes mellitus.</t>
  </si>
  <si>
    <t>SCOPUS_ID:84939523052</t>
  </si>
  <si>
    <t>10.1093/eurpub/cku191</t>
  </si>
  <si>
    <t>Cybervictimization and somatic and psychological symptoms among Italian middle school students</t>
  </si>
  <si>
    <t>Background: Existing literature clearly documents the association between cybervictimization and psychological symptoms; less clear is the association between cybervictimization and somatic symptoms. This study aims to verify the association between cybervictimization and both psychological and somatic symptoms on a representative sample of Italian early adolescents. Methods: This study used data from 24 099 students aged 13 years participating in the 2009/2010 Health Behaviour in School-aged Children Survey. Self-completed questionnaires, devised by the HBSC international group, were administered in classrooms. Multilevel models of logistic regression (controlling for traditional bullying victimization, computer use and demographics) were used to investigate the association between cybervictimization and psychological and somatic symptoms. Results: Overall, 3.1% of the students reported having been bullied frequently electronically and 8.7% occasionally (compared, respectively, to 4.0 and 9.2% victims of traditional forms of bullying). Overall, prevalence of students reporting psychological and somatic symptoms was 32.5 and 12.0%, respectively. Being victims of cyberbullying was positively associated to students' psychological and somatic symptoms, after controlling for traditional bullying victimization and computer use. Conclusion: Cybervictimization has similar psychological and somatic consequences for boys and girls, thus suggesting that intervention and prevention efforts should focus on both gender groups.</t>
  </si>
  <si>
    <t>SCOPUS_ID:85040537803</t>
  </si>
  <si>
    <t>10.2105/AJPH.2017.304179</t>
  </si>
  <si>
    <t>Various Types of Arthritis in the United States: Prevalence and Age-Related Trends From 1999 to 2014</t>
  </si>
  <si>
    <t>Objectives. To determine the prevalence trends of osteoarthritis (OA), rheumatoid arthritis (RA), and other types of arthritis in the United States from 1999 to 2014. Methods. We analyzed data on 43 706 community-dwelling adults aged 20 years and older who participated in the 1999â€“2014 National Health and Nutrition Examination Surveys. We accounted for survey design and sampling weights so that estimates were nationally representative. We assessed temporal trends in age-standardized arthritis prevalence by using joinpoint regression. Results. Age-adjusted prevalence of arthritis was 24.7% (OA = 9.7%; RA = 4.2%; other arthritis = 2.8%; â€œdonâ€™t knowâ€ type = 8.0%). Prevalence of OA increased from 6.6% to 14.3%, whereas RA prevalence decreased from 5.9% to 3.8%. Increase in OA prevalence was significant in both genders; in non-Hispanic Whites, non-Hispanic Blacks, and Hispanics; and in people with high socioeconomic status. Decrease in RA prevalence was more pronounced in men, non-Hispanic Blacks, and participants with low income or obesity. Conclusions. Between 1999 and 2014, nearly one quarter of American adults reported arthritis. The prevalence of OA has more than doubled over time whereas RA prevalence has declined.</t>
  </si>
  <si>
    <t>SCOPUS_ID:7244239176</t>
  </si>
  <si>
    <t>10.1136/jech.2003.015370</t>
  </si>
  <si>
    <t>History of addictions.</t>
  </si>
  <si>
    <t>This glossary arises out of research interests in the 19th and 20th century in the history of drugs, including the contemporary history of drug policy. It is necessarily brief, and British and American focused; it is also concentrated on narcotic drugs rather than alcohol and tobacco. However, the comments take on board the recent discussions of convergence across the substances, and also the spread of the concept of addiction to tobacco in recent years. The bibliography is also limited to specific interests.</t>
  </si>
  <si>
    <t>SCOPUS_ID:84876228206</t>
  </si>
  <si>
    <t>10.1093/aje/kwt024</t>
  </si>
  <si>
    <t>Invited commentary: Is prenatal fasting during ramadan related to adult health outcomes? A novel and important question for epidemiology</t>
  </si>
  <si>
    <t>['acute starvation', 'anthropometry', 'prenatal nutrition', 'Ramadan fasting']</t>
  </si>
  <si>
    <t>In this issue of the Journal, Van Ewijk et al. (Am J Epidemiol. 2013;177(8):729-736) report intriguing associations between prenatal exposure to the religious month of Ramadan and body anthropometry among adult Muslims in Indonesia. They categorized prenatal exposure according to the relative timing of Ramadan and the individual's birth date. Because the data were derived from a study of adults, they could not determine whether an individual's mother had fasted during Ramadan or not. Therefore, they used an intention-to-treat analysis to compare the outcomes for groups categorized as unexposed with the outcomes for groups categorized as exposed during specified periods of gestation. Periconceptional exposure to Ramadan was associated with a 0.8-cm reduction in average adult height. Exposure in mid- or late gestation was associated with slightly lower adult weight. We address 5 questions raised by this study: 1) Can Ramadan fasting be considered a mild form of acute starvation?; 2) Are the findings consistent with other knowledge about prenatal nutrition and offspring outcomes?; 3) Are there other explanations for the associations that were found?; 4) Are the results internally coherent and robust enough to support the 2 main findings?; and 5) What strategies could be used to further advance this important field of research? Â© 2013 The Author.</t>
  </si>
  <si>
    <t>SCOPUS_ID:10744220752</t>
  </si>
  <si>
    <t>10.1016/j.ypmed.2003.08.009</t>
  </si>
  <si>
    <t>Changes in the nutrient content of school lunches: Results from the Pathways study</t>
  </si>
  <si>
    <t>['American-Indian children', 'Native American', 'Obesity prevention', 'School food service', 'School lunch']</t>
  </si>
  <si>
    <t>Background. Pathways, a randomized trial, evaluated the effectiveness of a school-based multicomponent intervention to reduce fatness in American-Indian schoolchildren. The goal of the Pathways food service intervention component was to reduce the fat in school lunches to no more than 30% of energy from fat while maintaining recommended levels of calories and key nutrients. Methods. The intervention was implemented by school food service staff in intervention schools over a 3-year period. Five consecutive days of school lunch menu items were collected from 20 control and 21 intervention schools at four time periods, and nutrient content was analyzed. Results. There was a significantly greater mean reduction in percent energy from fat and saturated fat in the intervention schools compared to the control schools. Mean percentages of energy from fat decreased from 33.1% at baseline to 28.3% at the end of the study in intervention schools compared to 33.2% at baseline and 32.2% at follow-up in the control schools (P &lt; 0.003). There were no statistically significant differences for calories or nutrients between intervention and control schools. Conclusions. The Pathways school food lunch intervention documented the feasibility of successfully lowering the percent of energy from fat, as part of a coordinated obesity prevention program for American-Indian children. Â© 2003 American Health Foundation and Elsevier Science (USA). All rights reserved.</t>
  </si>
  <si>
    <t>SCOPUS_ID:18444365008</t>
  </si>
  <si>
    <t>10.1093/ije/dyh377</t>
  </si>
  <si>
    <t>Pre-hospital coronary care and coronary fatality in the Belfast and Glasgow MONICA populations</t>
  </si>
  <si>
    <t>['Coronary event register', 'Coronary heart disease', 'MONICA', 'Mortality', 'Myocardial infarction', 'Pre-hospital care']</t>
  </si>
  <si>
    <t>Background: The aim of this study was to describe and compare coronary event case fatality and care pathways in two defined populations with access to different models of pre-hospital care provision. Methods: Secondary analysis of MONItoring of Trends and Determinants in CArdiovascular Disease (MONICA) population coronary event registers (1988, 1989, 1990, 1992 and 1993). Results: Case fatality at 28 days following an acute coronary event was 6.5% greater in the Glasgow MONICA Project (GMP) population (46.7%) than in the Belfast MONICA Project (BMP) population (40.2%). Pre-hospital case fatality was 33.9% in the GMP population and 28.3% in the BMP population. These differences could not be fully explained by mobile coronary care unit (MCCU) responses in the BMP area. Initial care was provided in hospital for 28.3% of the BMP events and only 7.7% of the GMP events. Additional data collected by the Belfast and Glasgow MONICA investigators support a large difference between the median delay to main medical care in the BMP events (120 min) and the median delay to ward admission in the GMP area (220 min) at this time. Conclusions: Our findings suggest that the delay between coronary event onset and access to specialist coronary care was the most likely critical difference, irrespective of hospital-based MCCU provision in the BMP area. An established 'culture of early intervention' in Belfast may have been an important factor. As a large proportion of coronary event fatalities continue to occur outside hospital, there is a need to strengthen the evidence base underpinning the provision of appropriate skilled care and treatment at the earliest possible opportunity. Â© The Author 2005; all rights reserved.</t>
  </si>
  <si>
    <t>SCOPUS_ID:85131904117</t>
  </si>
  <si>
    <t>10.1093/ije/dyac049</t>
  </si>
  <si>
    <t>Decline in attention-deficit hyperactivity disorder traits over the life course in the general population: Trajectories across five population birth cohorts spanning ages 3 to 45 years</t>
  </si>
  <si>
    <t>['ADHD', 'ALSPAC', 'Attention-deficit hyperactivity disorder', 'Dunedin', 'E-Risk', 'neurodevelopment', 'Pelotas', 'TEDS', 'trajectories']</t>
  </si>
  <si>
    <t>Background: Trajectories of attention-deficit hyperactivity disorder (ADHD) traits spanning early childhood to mid-life have not been described in general populations across different geographical contexts. Population trajectories are crucial to better understanding typical developmental patterns. Methods: We combined repeated assessments of ADHD traits from five population-based cohorts, spanning ages 3 to 45 years. We used two measures: (i) the Strengths and Difficulties Questionnaire (SDQ) hyperactive-inattentive subscale (175831 observations, 29519 individuals); and (ii) scores from DSM-referenced scales (118144 observations, 28685 individuals). Multilevel linear spline models allowed for non-linear change over time and differences between cohorts and raters (parent/teacher/self). Results: Patterns of age-related change differed by measure, cohort and country: overall, SDQ scores decreased with age, most rapidly declining before age 8 years (-0.157, 95% CI:-0.170,-0.144 per year). The pattern was generally consistent using DSM scores, although with greater between-cohort variation. DSM scores decreased most rapidly between ages 14 and 17 years (-1.32%, 95% CI:-1.471,-1.170 per year). Average scores were consistently lower for females than males (SDQ:-0.818, 95% CI:-0.856,-0.780; DSM:-4.934%, 95% CI:-5.378,-4.489). This sex difference decreased over age for both measures, due to an overall steeper decrease for males. Conclusions: ADHD trait scores declined from childhood to mid-life, with marked variation between cohorts. Our results highlight the importance of taking a developmental perspective when considering typical population traits. When interpreting changes in clinical cohorts, it is important to consider the pattern of expected change within the general population, which is influenced by cultural context and measurement.</t>
  </si>
  <si>
    <t>SCOPUS_ID:85163144598</t>
  </si>
  <si>
    <t>10.1016/j.ypmed.2023.107582</t>
  </si>
  <si>
    <t>Action recognition for sports combined training based on wearable sensor technology and SVM prediction</t>
  </si>
  <si>
    <t>['Action recognition', 'Injury prevention', 'Sports combined training', 'SVM algorithm', 'Wearable sensor']</t>
  </si>
  <si>
    <t>In the field of sports, coaches have mainly relied on observing the performance of athletes on the spot to formulate suitable training plans for athletes, which has extremely high requirements for the professionalism of coaches. Based on the above requirements, this paper designs a sports action recognition system for sports enthusiasts based on the SVM algorithm optimization model, and for the purpose of verifying the applicability of the system to different sports fields, experiments are carried out on basketball actions and race walking actions. The system uses wearable sensors to capture the motion data of the user, and then analyzes and identifies the user's actions through the SVM algorithm optimization model. By standardizing the user's sports combination training under the system algorithm, the user can improve their training efficiency and reduce the risk of injury. To establish the human body motion model, this paper divides the human skeleton model into five motion branches. The rotation freedom constraints and joint rotation angle range limits are added to the model to ensure the accuracy of the motion analysis. Combining the forward kinematics of the robot and the homogeneous coordinate transformation, the human body joint rotation motion model and the human bone position and posture model are established. In the end, the user can standardize the sports combination training under the system algorithm. In this paper, through the research of wearable sensor technology and sports combined training action recognition, and apply it to practical life, it aims to promote its development and application.</t>
  </si>
  <si>
    <t>SCOPUS_ID:85053424873</t>
  </si>
  <si>
    <t>10.1016/S2468-2667(18)30097-5</t>
  </si>
  <si>
    <t>The effect of public health-oriented drug law reform on HIV incidence in people who inject drugs in Tijuana, Mexico: an epidemic modelling study</t>
  </si>
  <si>
    <t>Background: As countries embark on public health-oriented drug law reform, health impact evaluations are needed. In 2012, Mexico mandated the narcomenudeo reform, which depenalised the possession of small amounts of drugs and instituted drug treatment instead of incarceration. We investigated the past and future effect of this drug law reform on HIV incidence in people who inject drugs in Tijuana, Mexico. Methods: In this epidemic modelling study, we used data from the El Cuete IV cohort study to develop a deterministic model of injecting and sexual HIV transmission in people who inject drugs in Tijuana between 2012 and 2030. The population was stratified by sex, incarceration status, syringe confiscation by the police, HIV stage, and exposure to drug treatment or rehabilitation (either opioid agonist treatment or compulsory drug abstinence programmes). We modelled the effect of these exposures on HIV risk in people who inject drugs, estimating the effect of observed and potential future reform enforcement levels. Findings: In 2011, prior to the narcomenudeo reform, 547 (75%) of 733 people who inject drugs in the El Cuete cohort reported having ever been incarcerated, on average five times since starting injecting. Modelling estimated the limited reform implementation averted 2% (95% CI 0Â·2â€“3Â·0) of new HIV infections in people who inject drugs between 2012 and 2017. If implementation reduced incarceration in people who inject drugs by 80% from 2018 onward, 9% (95% CI 4â€“16) of new HIV infections between 2018 and 2030 could be averted, with 21% (10â€“33) averted if people who inject drugs were referred to opioid agonist treatment instead of being incarcerated. Referral to compulsory drug abstinence programmes instead of prison could have a lower or potentially negative impact with âˆ’2% (95% CI âˆ’23 to 9) infections averted. Interpretation: Mexican drug law reform has had a negligible effect on the HIV epidemic among people who inject drugs in Tijuana. However, appropriate implementation could markedly reduce HIV incidence if linked to opioid agonist treatment. Unfortunately, compulsory drug abstinence programmes are the main type of drug rehabilitation available and their expansion could potentially increase HIV transmission. Funding: National Institute on Drug Abuse, UC San Diego Center for AIDS Research.</t>
  </si>
  <si>
    <t>SCOPUS_ID:0036392038</t>
  </si>
  <si>
    <t>10.1006/pmed.2002.1064</t>
  </si>
  <si>
    <t>Clustering of lifestyle risk factors in a general adult population</t>
  </si>
  <si>
    <t>['Adults', 'Clustering', 'Lifestyle']</t>
  </si>
  <si>
    <t>Background. The objective of the study was to evaluate the degree of clustering of common lifestyle risk factors in a general adult population and to define subgroups with elevated clustering. Methods. Data on lifestyle risk factors (smoking, low vegetable and fruit consumption, excessive alcohol intake, and low physical activity), sociodemographics, and health perception were collected by questionnaire from 16,789 men and women aged 20 to 59. Results. About 20% of the subjects had at least three lifestyle risk factors. Prevalence of risk factors was higher among unemployed, low-educated subjects and those who had experienced health deterioration. All lifestyle risk factors showed significant clustering, except for low physical activity and excessive alcohol consumption. The strongest association was observed for alcohol and smoking (prevalence odds ratio (POR): 2.38; 95% confidence interval: 2.18-2.61). Clustering of smoking and alcohol consumption was strongest among the young subjects (POR: 3.78) and, although moderately, clustering of lifestyle risk factors was elevated in subjects who had experienced a deterioration in health. Conclusions. These findings suggest that common lifestyle risk factors cluster among adult subjects. The tendency for risk factors to aggregate has important implications for health promotion. Information on high-risk groups will help in planning future preventive strategies. Â© 2002 American Health Foundation and Elsevier Science (USA).</t>
  </si>
  <si>
    <t>SCOPUS_ID:0031925067</t>
  </si>
  <si>
    <t>10.1093/ije/27.2.222</t>
  </si>
  <si>
    <t>Morbidity differences by occupational class among men in seven European countries: An application of the Erikson-Goldthorpe social class scheme</t>
  </si>
  <si>
    <t>['Health surveys', 'International comparison', 'Occupational class', 'Self-reported morbidity', 'Socioeconomic status']</t>
  </si>
  <si>
    <t>Background: This paper describes morbidity differences according to occupational class among men from France, Switzerland, (West) Germany, Great Britain, the Netherlands, Denmark, and Sweden. Methods: Data were obtained from national health interview surveys or similar surveys between 1986 and 1992. Four morbidity indicators were included. For each country, individual-level data on occupation were recoded according to one standard occupational class scheme: the Erikson-Goldthorpe social class scheme. To describe the pattern of morbidity by occupational class, odds ratios (OR) were calculated for each class using the average of the population as a reference. The size of morbidity differences was summarized by the OR of two broad hierarchical classes. All OR were age-adjusted. Results: For all countries, a lower than average prevalence of morbidity was found for higher and lower administrators and professionals as well as for routine non-manual workers, whereas a higher than average prevalence was found for skilled and unskilled manual workers and agricultural workers. Self-employed men were in general healthier than the average population. The relative health of farmers differed between countries. The morbidity difference between manual workers and the class of administrators and professionals was approximately equally large in all countries. Consistently larger inequality estimates, with no or slightly overlapping confidence intervals, were only found for Sweden in comparison with Germany. Conclusions: Thanks to the use of a common social class scheme in each country, a high degree of comparability was achieved. The results suggest that morbidity differences according to occupational class among men are very similar between different European countries.</t>
  </si>
  <si>
    <t>SCOPUS_ID:0027287546</t>
  </si>
  <si>
    <t>10.1093/oxfordjournals.aje.a116744</t>
  </si>
  <si>
    <t>Breast cancer risk associated with abnormal cytology in nipple aspirates of breast fluid and prior history of breast biopsy</t>
  </si>
  <si>
    <t>['Biopsy', 'Breast', 'Breast neoplasms', 'Cohort studies', 'Cytology', 'Risk factors']</t>
  </si>
  <si>
    <t>The authors previously reported an increased risk of breast cancer in women from the San Francisco Bay Area first enrolled between 1973 and 1980 with proliferative cytologic findings (hyperplasia, moderate hyperplasia, and atypia) compared with women with normal cytologic findings in breast fluids obtained by nipple aspiration and with women from whom breast fluid could not be obtained. To look for factors which might modify the risks associated with cytology, the authors examined several standard breast cancer risk factors: parity, age at first pregnancy, age at menarche, family history of breast cancer, and prior history of breast biopsy. Among women aged 30 years or over, only prior biopsy modified the effect of proliferative cytologic findings on the risk of breast cancer (p&lt;0.10). For those women with no prior biopsy, breast cancer incidence was 5% (47 of 985) among women with normal cytology and 5% (13 of 277) among women with proliferative findings, whereas among those women with prior biopsy, breast cancer incidence was 4% (eight of 185) among women with normal cytology and 18% (11 of 62) among women with proliferative cytology. Age-adjusted as well as multivariate-adjusted relative risks indicated that the increased risk of breast cancer associated with proliferative cytologic findings was largely confined to women who had a prior history of breast biopsy. Â© 1993 by The Johns Hopkins University School of Hygene and Public Health.</t>
  </si>
  <si>
    <t>SCOPUS_ID:0033230487</t>
  </si>
  <si>
    <t>10.1016/S0749-3797(99)00087-2</t>
  </si>
  <si>
    <t>Policy tools for building health education and preventive counseling into managed care</t>
  </si>
  <si>
    <t>['Counseling', 'Health education', 'Health policy', 'Managed care programs', 'Primary prevention']</t>
  </si>
  <si>
    <t>Content: Six policy tools for building health education and preventive counseling into managed care are presented, and the opportunities and barriers to implementing each are described based largely on managed care plans operating in California in 1998. The six policy tools include (1) covering health education and preventive counseling as defined benefits, (2) increasing access to and use of health promotion programs, (3) incorporating health education into disease-management programs, (4) defining quality performance measures for health education and preventive counseling, (5) defining performance targets and guarantees for health education and preventive counseling to hold health plans accountable for providing these services, and (6) building collaboration between public health agencies and managed care on public health education and health promotion. For each of these, the policy option is described, examples of current practice are provided, and the problems and limitations associated with each are discussed.</t>
  </si>
  <si>
    <t>SCOPUS_ID:84987962219</t>
  </si>
  <si>
    <t>10.2105/AJPH.2016.303362</t>
  </si>
  <si>
    <t>Impact of the Berkeley excise tax on sugar-sweetened beverage consumption</t>
  </si>
  <si>
    <t>Objectives. To evaluate the impact of the excise tax on sugar-sweetened beverage (SSB) consumption in Berkeley, California, which became the first US jurisdiction to implement such a tax ($0.01/oz) in March 2015. Methods. We used a repeated cross-sectional design to examine changes in pre- to post tax beverage consumption in low-income neighborhoods in Berkeley versus in the comparison cities of Oakland and San Francisco, California. A beverage frequency questionnaire was interviewer administered to 990 participants before the tax and 1689 after the tax (approximately 8 months after the vote and 4 months after implementation) to examine relative changes in consumption. Results. Consumption of SSBs decreased 21% in Berkeley and increased 4% in comparison cities (P = .046). Water consumption increased more in Berkeley (+63%) than in comparison cities (+19%; P &lt; .01). Conclusions. Berkeley's excise tax reduced SSB consumption in low-income neighborhoods. Evaluating SSB taxes in other cities will improve understanding of their public health benefit and their generalizability.</t>
  </si>
  <si>
    <t>SCOPUS_ID:0028139166</t>
  </si>
  <si>
    <t>10.1006/pmed.1994.1134</t>
  </si>
  <si>
    <t>Correlates of healthy eating habits in low-income Black women and Latinas</t>
  </si>
  <si>
    <t>Background. Few factors related to healthy or unhealthy eating habits in low-income, ethnic minority groups have been identified. In this study, factors associated with healthy and unhealthy eating habits and intent to change eating habits were examined in a sample of low-income Black and Latino women. Methods. Survey questionnaires designed to identify correlates of healthy eating habits were administered to 243 Black and Latino women whose children were enrolled in Head Start programs in South Central Los Angeles. Results. Having health insurance, lower perceived susceptibility to cancer, and higher levels of social support were significantly related to healthy eating habits. Exposure to domestic violence, lower income and knowledge of risk factors, and lower perceived efficacy in changing health outcome were associated with lower levels of intent to change eating habits. Conclusions. Economic factors such as insurance coverage and level of social support should be considered in evaluating and addressing eating habits in low- income, ethnic minority women. Exposure to domestic violence and self- efficacy may also be related to intent to change eating habits in these groups. Â© 1994 by Academic Press, Inc.</t>
  </si>
  <si>
    <t>SCOPUS_ID:71449114462</t>
  </si>
  <si>
    <t>10.1093/eurpub/ckp065</t>
  </si>
  <si>
    <t>Prevalence of family violence in adults and children: Estimates using the capture-recapture method</t>
  </si>
  <si>
    <t>['Capture-recapture method', 'Child abuse', 'Family violence', 'Health-care coverage', 'Prevalence']</t>
  </si>
  <si>
    <t>Background: Reliable prevalence estimates of family violence in adults and children are difficult to obtain. Most are based on surveys or registration counts, whose research designs and methods are often questionable, making the results difficult to compare. This article presents an alternative approach. Methods: The capture-recapture method (CRC), which makes it possible to estimate unknown numbers in a partly hidden population, was applied to data from eight collaborating organizations in Haarlem, The Netherlands. Results: Uniform data registration took place over a 7-month period. The 1-year prevalence rate for adult victims of family violence was estimated to be 2.0 of the adult population (95 CI: 1.3-3.1). For victims of child abuse, it was 1.5-2.5, and for child witnesses of spouse-abuse, it was 1.2-2.1, though small numbers made these results more uncertain. Only âˆ¼20 of all victims in the study were known to one or more of the participating organizations. Our results accorded quite well with results obtained by general health surveys in the Netherlands. Conclusions: CRC appears to be a valid and feasible research method for estimating the prevalence of family violence and child abuse. It can be used to complement other methods, especially in young children, in whom valid results are otherwise difficult to obtain.</t>
  </si>
  <si>
    <t>SCOPUS_ID:85051131275</t>
  </si>
  <si>
    <t>10.1016/j.ypmed.2018.08.001</t>
  </si>
  <si>
    <t>Associations of volumes and patterns of physical activity with metabolic health in children: A multivariate pattern analysis approach</t>
  </si>
  <si>
    <t>['Accelerometer', 'Bouts', 'Breaks', 'Childhood', 'Metabolic risk factors', 'Multivariate pattern analysis', 'Pediatric', 'Pre-pubertal']</t>
  </si>
  <si>
    <t>Physical activity (PA) favorably affects metabolic health in children, but it is unclear how total volumes versus patterns (bouts and breaks) of PA relate to health. By means of multivariate pattern analysis that can handle collinear variables, we determined the associations of PA volumes and patterns with children's metabolic health using different epoch settings. A sample of 841 Norwegian children (age 10.2 Â± 0.3 years) provided in 2014 data on accelerometry (ActiGraph GT3X+), using epoch settings of 1, 10, and 60 s and several indices of metabolic health used to create a composite metabolic health score. We created 355 PA indices covering the whole intensity and bout duration spectrum, and used multivariate pattern analysis to analyze the data. Findings showed that bouts of PA added information about childhood health beyond total volumes of PA for all epoch settings. Yet, associations of PA patterns with metabolic health were completely dependent on the epoch settings used. Vigorous PA was strongly associated with metabolic health, while associations of light and moderate PA were weak to moderate, and associations of sedentary time with metabolic health was non-existing. Short intermittent bursts of PA were favorably associated with children's metabolic health, whereas associations of prolonged bouts were weak. This study is the first to determine the multivariate physical activity association pattern related to metabolic health in children across the whole PA intensity and bout duration spectrum. The findings challenge our understanding of PA patterns, and are of major importance for the analysis of accelerometry data.</t>
  </si>
  <si>
    <t>SCOPUS_ID:17844400812</t>
  </si>
  <si>
    <t>10.1016/j.ypmed.2004.09.018</t>
  </si>
  <si>
    <t>Pap smear use in California: Are we closing the racial/ethnic gap?</t>
  </si>
  <si>
    <t>['Cervical cancer', 'Pap smear', 'Race/ethnicity', 'Screening']</t>
  </si>
  <si>
    <t>Background. Minority women continue to be disproportionately affected by cervical cancer. Minority population groups at high risk for cervical cancer may be failing to fully comply with screening recommendations. The use of Pap smears among women in California was evaluated to identify ethnic groups at higher risk for noncompliance with cervical cancer screening. Methods. Cross-sectional analysis of 2001 California Health Interview Survey data. Logistic regression was used to assess the independent contribution of race/ethnicity to the use of Pap smears. Results. Hispanic (aPR = 1.03, 95%CI 1.02-1.05) and Black (aPR = 1.03, 95% CI 1.001-1.06) women are more likely to report a Pap smear in the past 3 years as compared to White women. Asians were the least likely to report cervical cancer screening despite a more favorable sociodemographic profile. Screening rates varied among Hispanic or Asian subgroups; Mexicans, Vietnamese, Chinese, and South Asians are particularly underserved. Conclusions. In contrast to the country as a whole, Hispanic women in California are more likely to report a recent Pap smear as compared to White women. However, racial/ethnic disparities in Pap smear use persist; Asian women are the least likely to report cervical cancer screening as compared to any other group. Â© 2004 Elsevier Inc. All rights reserved.</t>
  </si>
  <si>
    <t>SCOPUS_ID:85006166037</t>
  </si>
  <si>
    <t>10.1016/j.amepre.2016.09.018</t>
  </si>
  <si>
    <t>Factors Perceived as Influencing Local Health Department Involvement in Mental Health</t>
  </si>
  <si>
    <t>Introduction Local health departments (LHDs) are potentially well positioned to implement population-based approaches to mental health promotion, but research indicates that most LHDs are not substantively engaged in activities to address mental health. Little is known about factors that influence if and how LHDs address population mental health. The objectives of this qualitative study were to (1) understand how LHD officials perceive population mental health; (2) identify factors that influence these perceptions and LHD activities to address population mental health; and (3) develop an empirically derived conceptual framework of LHD engagement in population mental health. Methods Twenty-one semi-structured interviews were conducted with a purposive sample of LHD officials and analyzed using thematic content analysis in 2014â€“2015. Transcripts were double coded, inter-rater reliability statistics were calculated, and categories with Îº â‰¥0.60 were retained. Results Respondents perceived mental health as a public health issue and expressed that it has emerged as a priority through community health needs assessment processes, such as those conducted for health department accreditation. However, most LHDs were not substantively engaged in population mental health activities because of limited resources, knowledge, data, and hesitancy to infringe upon the territory of local behavioral health agencies. LHDs and local behavioral health agencies had difficulty communicating and collaborating because of divergent perspectives and financing arrangements. Conclusions LHD officials are eager to embrace population mental health, but resources, training and education, and systems-level changes are needed. Contemporary reforms to the structure and financing of the U.S. health system offer opportunities to address these challenges.</t>
  </si>
  <si>
    <t>SCOPUS_ID:85121236733</t>
  </si>
  <si>
    <t>10.1093/eurpub/ckab152</t>
  </si>
  <si>
    <t>Health workforce protection and preparedness during the covid-19 pandemic: A tool for the rapid assessment of EU health systems</t>
  </si>
  <si>
    <t>This article is dedicated to the WHO International Year of Health and Care Workers in 2021 in recognition of their commitment during the COVID-19 pandemic. The study aims to strengthen health workforce preparedness, protection and ultimately resilience during a pandemic. We argue for a health system approach and introduce a tool for rapid comparative assessment based on integrated multi-level governance. We draw on secondary sources and expert information, including material from Denmark, Germany, Portugal and Romania. The results reveal similar developments across countries: Action has been taken to improve physical protection, digitalization and prioritization of healthcare worker vaccination, whereas social and mental health support programmes were weak or missing. Developments were more diverse in relation to occupational and organizational preparedness: some adhoc transformations of work routines and tasks were observed in all countries, yet skill-mix innovation and collaboration were strongest in Demark and weak in Portugal and Romania. Major governance gaps exist in relation to education and health integration, surveillance, social and mental health support programmes, gendered issues of health workforce capacity and integration of migrant healthcare workers (HCW). There is a need to step up efforts and make health systems more accountable to the needs of HCW during global public health emergencies.</t>
  </si>
  <si>
    <t>SCOPUS_ID:85131903072</t>
  </si>
  <si>
    <t>10.1093/ije/dyab204</t>
  </si>
  <si>
    <t>Pre-eclampsia and risk of early-childhood asthma: A register study with sibling comparison and an exploration of intermediate variables</t>
  </si>
  <si>
    <t>['Asthma', 'caesarean section', 'child', 'epidemiology', 'intermediate', 'pre-eclampsia', 'prematurity', 'registers', 'sibling', 'small for gestational age']</t>
  </si>
  <si>
    <t>Background: We aimed to study whether pre-eclampsia is associated with childhood asthma, allergic and non-Allergic asthma, accounting for family factors and intermediate variables. Methods: The study population comprised 779 711 children born in 2005-2012, identified from Swedish national health registers (n = 14 823/7410 exposed to mild/moderate and severe pre-eclampsia, respectively). We used Cox regression to estimate the associations of mild/moderate and severe pre-eclampsia with incident asthma, before and after age 2 years. Cox regressions were controlled for familial factors using sibling comparisons, then stratified on high and low risk for intermediate variables: caesarean section, prematurity and small for gestational age. We used logistic regression for allergic and non-Allergic prevalent asthma at 6 years as a measure of more established asthma. Results: The incidence of asthma in children was 7.7% (n = 60 239). The associations varied from adjusted hazard ratio (adjHR) 1.11, 95% confidence interval (CI): 1.00, 1.24 for mild/moderate pre-eclampsia and asthma at &gt;2 years age, to adjHR 1.78, 95% CI: 1.64, 1.95 for severe pre-eclampsia and asthma at &lt;2 years age. Sibling comparisons attenuated most estimates except for the association between severe pre-eclampsia and asthma at &lt;2 years age (adjHR 1.45, 95% CI: 1.10, 1.90), which also remained when stratifying for the risk of intermediates. Mild/moderate and severe pre-eclampsia were associated with prevalent non-Allergic (but not allergic) asthma at 6 years, with adjusted odds ratio (adjOR) 1.17, 95% CI: 1.00, 1.36 and adjOR 1.51, 95% CI: 1.23, 1.84, respectively. Conclusions: We found evidence that severe, but not mild/moderate, pre-eclampsia is associated with asthma regardless of familial factors and confounders.</t>
  </si>
  <si>
    <t>SCOPUS_ID:0033568791</t>
  </si>
  <si>
    <t>10.1093/oxfordjournals.aje.a010053</t>
  </si>
  <si>
    <t>Breast cancer and oral contraceptive use in Asian-American women</t>
  </si>
  <si>
    <t>['Asian Americans', 'Breast neoplasms', 'Contraceptives, oral', 'Transients and migrants']</t>
  </si>
  <si>
    <t>Breast cancer incidence has historically been 4-7 times higher in the United States than in Asia. A previous study by the authors in Asian-American women demonstrated a substantial increase in breast cancer risk in women who migrated from Asia to the United States, with the risk almost doubling during the first decade after migration. Increased use of oral contraceptives soon after migration to the United States could possibly explain this rapid rise in risk. In a population-based case-control study of Chinese, Filipino, and Japanese-American women, aged 20-55 years, who lived in San Francisco- Oakland, California; Los Angeles, California; and Oahu, Hawaii during 1983- 1987, 597 cases (70% of those eligible) and 966 controls (75%) were interviewed. Controls were matched to cases on age, ethnicity, and area of residence. Oral contraceptive (OC) use increased with time since migration; 15.0% of Asian-born women who had been in the West &lt;8 years, 33.4% of Asian- born women who had been in the West â‰¥8 years, and 49.6% of Asian women born in the West had ever used OCs. However, duration of OC use (adjusted for age, ethnicity, study area, years since migration, education, family history of breast cancer and age at first full-term birth) was not associated with increased risk of breast cancer. Moreover, neither OC use before age 25 years nor before first full-term birth was associated with increased risk. Results were unchanged when restricted to women under age 45 years or under age 40 years. After adjustment for duration of OC use, women who had been in the United States â‰¥8 years were still at almost twice the risk of breast cancer compared with women who had been in the United States 2-7 years. This study suggests that OC use cannot explain the elevated risk observed in Asian women who migrated to the United States â‰¥7 years ago.</t>
  </si>
  <si>
    <t>SCOPUS_ID:0029004262</t>
  </si>
  <si>
    <t>10.1093/ije/24.supplement_1.s113</t>
  </si>
  <si>
    <t>The Multifund and outcome research</t>
  </si>
  <si>
    <t>The UK health reforms, among other things, have allowed some family practitioners (â€˜fundholdersâ€™)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â€˜Multifundâ€™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Â£32.6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doctorsâ€™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Multifundâ€™s scope will be extended, to administer the majority of the funds available for health care, by involving all local primary health providers and becoming a â€˜careholdingâ€™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Â© 1995 International Epidemlological Association.</t>
  </si>
  <si>
    <t>SCOPUS_ID:0025573024</t>
  </si>
  <si>
    <t>10.1093/ije/19.4.953</t>
  </si>
  <si>
    <t>Habitual dietary intake and glucose tolerance in euglycaemic men: The zutphen study</t>
  </si>
  <si>
    <t>Relationships between specific dietary factors and aspects of glucose tolerance were examined using data from the Zutphen Study. In 1970, an oral glucose tolerance test was carried out in 394 non-diabetic men aged 50-70. Habitual dietary intake was assessed using the cross-check dietary history method. In univariate analyses, positive associations were observed between fasting glucose and the intake of saturated fat (correlation coefficient (r)=0.13, p&lt;0.01) and dietary cholesterol (r=0.16, p&lt;0.01), and also reflected by an association with egg consumption. These results were confiremed in multivariate analyses, taking into account total energy intake, subscapular skinfold thickness and age. In univariate analyses, significant inverse associations were found between the incremental area under the curve (IAUC) and the intake of mono- and disaccharides (r=-0.22, p&lt;0.001) and pectin (r=-0.15, p&lt;0.01), as well as the consumption of sugar products. Similar results were obtained in multivariate analyses. The change in saturated fat intake in the period 1960-1970 was positively associated with IAUC, independent of concurrent intake in 1970, age, subscapular skinfold and change in energy intake. In a similar model the change in pectin intake was inversely associated with IAUC. These findings suggest that the intake of saturated fat and dietary cholesterol may be detrimental to glucose tolerance, in contrast to the intake of pectin and mono- and disaccharides. Â© 1990 International Epidemiological Association.</t>
  </si>
  <si>
    <t>SCOPUS_ID:85038614533</t>
  </si>
  <si>
    <t>10.1016/S2468-2667(17)30222-0</t>
  </si>
  <si>
    <t>Prediction of cervical cancer incidence in England, UK, up to 2040, under four scenarios: a modelling study</t>
  </si>
  <si>
    <t>Background In the next 25 years, the epidemiology of cervical cancer in England, UK, will change: human papillomavirus (HPV) screening will be the primary test for cervical cancer. Additionally, the proportion of women screened regularly is decreasing and women who received the HPV vaccine are due to attend screening for the first time. Therefore, we aimed to estimate how vaccination against HPV, changes to the screening test, and falling screening coverage will affect cervical cancer incidence in England up to 2040. Methods We did a data modelling study that combined results from population modelling of incidence trends, observable data from the individual level with use of a generalised linear model, and microsimulation of unobservable disease states. We estimated age-specific absolute risks of cervical cancer in the absence of screening (derived from individual level data). We used an age period cohort model to estimate birth cohort effects. We multiplied the absolute risks by the age cohort effects to provide absolute risks of cervical cancer for unscreened women in different birth cohorts. We obtained relative risks (RRs) of cervical cancer by screening history (never screened, regularly screened, or lapsed attender) using data from a population-based case-control study for unvaccinated women, and using a microsimulation model for vaccinated women. RRs of primary HPV screening were relative to cytology. We used the proportion of women in each 5-year age group (25â€“29 years to 75â€“79 years) and 5-year period (2016â€“20 to 2036â€“40) who have a combination of screening and vaccination history, and weighted to estimate the population incidence. The primary outcome was the number of cases and rates per 100 000 women under four scenarios: no changes to current screening coverage or vaccine uptake and HPV primary testing from 2019 (status quo), changing the year in which HPV primary testing is introduced, introduction of the nine-valent vaccine, and changes to cervical screening coverage. Findings The status quo scenario estimated that the peak age of cancer diagnosis will shift from the ages of 25â€“29 years in 2011â€“15 to 55â€“59 years in 2036â€“40. Unvaccinated women born between 1975 and 1990 were predicted to have a relatively high risk of cervical cancer throughout their lives. Introduction of primary HPV screening from 2019 could reduce age-standardised rates of cervical cancer at ages 25â€“64 years by 19%, from 15Â·1 in 2016 to 12Â·2 per 100 000 women as soon as 2028. Vaccination against HPV types 16 and 18 (HPV 16/18) could see cervical cancer rates in women aged 25â€“29 years decrease by 55% (from 20Â·9 in 2011â€“15 to 9Â·5 per 100 000 women by 2036â€“40), and introduction of nine-valent vaccination from 2019 compared with continuing vaccination against HPV 16/18 will reduce rates by a further 36% (from 9Â·5 to 6Â·1 per 100 000 women) by 2036â€“40. Women born before 1991 will not benefit directly from vaccination; therefore, despite vaccination and primary HPV screening with current screening coverage, European age-standardised rates of cervical cancer at ages 25â€“79 years will decrease by only 10% (from 12Â·8 in 2011â€“15 to 11Â·5 per 100 000 women in 2036â€“40). If screening coverage fell to 50%, European age-standardised rates could increase by 27% (from 12Â·8 to 16Â·3 per 100 000 by 2036â€“40). Interpretation Going forward, focus should be placed on scenarios that offer less intensive screening for vaccinated women and more on increasing coverage and incorporation of new technologies to enhance current cervical screening among unvaccinated women. Funding Jo's Cervical Cancer Trust and Cancer Research UK.</t>
  </si>
  <si>
    <t>SCOPUS_ID:0025894073</t>
  </si>
  <si>
    <t>10.1093/oxfordjournals.aje.a115913</t>
  </si>
  <si>
    <t>Environmental contamination in child day-care centers</t>
  </si>
  <si>
    <t>['Day care', 'Diarrhea']</t>
  </si>
  <si>
    <t>Enteropathogens associated with outbreaks of diarrhea in day-care centers are spread by the fecal-oral route through contaminated hands or environmental objects. This prospective study was undertaken to determine the prevalence of fecal coliform contamination in day care. Ten rooms in six centers housing 121 children &lt;2 years of age were studied for 13 weeks (February to May 1988). Inanimate objects (n = 1,275), toy balls (n = 724), and hands (n = 954) were cultured 1-3 times per week. Fecal coliform contamination was common and was greater (p &lt; 0.05) for objects, toy balls, and hands of children in toddler compared with infant rooms. In five rooms in which clothes were worn over diapers, there was a significantly lower prevalence of fecal coliform contamination of toy balls (p &lt; 0.005), inanimate objects (p &lt; 0.05), and hands (p &lt; 0.001) when compared with rooms in which overclothes were not worn. Occurrence of diarrhea was significantly associated with increased contamination of hands (p = 0.001). Stool and environmental isolates from individual rooms had the same plasmid patterns, which were unique to each center. In summary, fecal coliform contamination of environmental objects and hands of children and caregivers in day-care centers is common; toy balls can serve as sentinels of contamination; fecal coliform contamination can be significantly decreased by use of overclothes; and Escherichia coli strains from stool showed the same plasmid patterns. Â© 1991 by The Johns Hopkins University School of Hygiene and Public Health.</t>
  </si>
  <si>
    <t>SCOPUS_ID:13244252207</t>
  </si>
  <si>
    <t>10.1093/eurpub/14.4.390</t>
  </si>
  <si>
    <t>Sociodemographic and health behaviour factors associated with obesity in adult populations in Estonia, Finland and Lithuania</t>
  </si>
  <si>
    <t>['Health behaviour', 'Obesity', 'Sociodemographic factors']</t>
  </si>
  <si>
    <t>Background: The aim of this study was to analyse the pattern of sociodemographic variations in the prevalence of obesity in Estonia, Finland and Lithuania. In addition, the association between obesity and selected health behaviours was examined. Methods: Cross-sectional surveys were conducted among representative national samples of adult populations in 1994, 1996 and 1998. The number of participants aged 20-64 was 3759 in Estonia, 9488 in Finland and 5635 in Lithuania. The data were obtained from mailed questionnaires (covering sociodemographic characteristics, health behaviour indicators, and self-reported height and weight). Obesity was defined as BMI â‰¥30 kg/m2. Results: The prevalence of obesity among men and women was 10% and 15% in Estonia, 11% and 10% in Finland, and 10% and 18% in Lithuania respectively. The prevalence of obesity increased only among Estonian men. Obesity was more prevalent among those aged over 50 in all three countries. It was also more prevalent among the less educated women in all countries and among the less educated men in Finland. Obesity was less prevalent among daily smokers among Estonian men and women and Lithuanian men. Physically inactive Estonian women and Finnish men and women were more likely to be obese. Conclusions: A significant association was found between low educational level and obesity in women in all the countries, but this association was found for men only in Finland. In Finland obesity was also more consistently associated with indicators of unhealthy behaviour than in Estonia and Lithuania. Thus, even though the social gradient of obesity was broadly similar in all the countries studied, differences emerged with regard to the behavioural correlates of obesity.</t>
  </si>
  <si>
    <t>SCOPUS_ID:0037564783</t>
  </si>
  <si>
    <t>10.2105/AJPH.93.6.963</t>
  </si>
  <si>
    <t>The Efficacy of a Relationship-Based HIV/STD Prevention Program for Heterosexual Couples</t>
  </si>
  <si>
    <t>Objectives. This study examined the efficacy of a relationship-based HIV/sexually transmitted disease prevention program for heterosexual couples and whether it is more effective when delivered to the couple or to the woman alone. Methods. Couples (n=217) were recruited and randomized to (1) 6 sessions provided to couples together (n=81), (2) the same intervention provided to the woman alone (n=73), or (3) a 1-session control condition provided to the woman alone (n=63). Results. The intervention was effective in reducing the proportion of unprotected and increasing the proportion of protected sexual acts. No significant differences in effects were observed between couples receiving the intervention together and those in which the woman received it alone. Conclusions. This study demonstrates the efficacy of a relationship-based prevention program for couples at risk for HIV infection.</t>
  </si>
  <si>
    <t>SCOPUS_ID:0030770295</t>
  </si>
  <si>
    <t>10.1097/00001648-199710000-00006</t>
  </si>
  <si>
    <t>Dioxin exposure and cancer risk: A 15-year mortality study after the 'Seveso accident'</t>
  </si>
  <si>
    <t>['Digestive cancer', 'Dioxins', 'Environmental health', 'Industrial disasters', 'Leukemia', 'Lymphoma', 'Mortality', 'Neoplasms']</t>
  </si>
  <si>
    <t>Dioxin (2,3,7,8-tetrachlorodibenzo-para-dioxin, or TCDD) is a powerful carcinogen in experimental animals, whereas the evidence in humans is limited. We examined Cancer mortality from 1976 to 1991 among residents of Seveso, Italy, which was highly contaminated after an industrial accident. The area was divided into zones with decreasing exposure to dioxin (A = highest, B = lower R = lowest). The population of a surrounding noncontaminated area was used as a reference group. Zone A was small (11,516 person-years); in that zone, we saw a moderate increase in mortality from digestive cancer among women [relative risk (RR) = 1.5; 95% confidence interval (CI) = 0.5-3.5]. In zone B, we also saw excesses at digestive sites (83,610 person-years), 10 years after the accident. Women had an increased mortality from stomach cancer (RR = 2.4; 95% CI = 0.8-5.7), and men had increased mortality from rectal cancer (RR = 6.2; 95% CI = 1.7-15.9). Hematologic neoplasms were increased. The highest risks were seen in zone B for leukemia in men (RR = 3.1; 95% CI = 1.3-6.4), multiple myeloma in women (RR = 6.6; 95% CI = 1.8-16.8), and Hodgkin's disease in both genders (RR = 3.3; 95% CI = 0.4-11.9 m men; and RR = 6.5; 95% CI = 0.7-23.5 in women). Soft tissue sarcoma was elevated only among zone R males (256,408 person-years; RR = 2.1; 95% CI = 0.6-5.4). We found no increase for all-cancer mortality or major specific sites (for example, respiratory among males, breast among females). The specific excesses that we observed were not explained by bias or confounding, and their association with dioxin exposure is plausible. The follow-up is continuing.</t>
  </si>
  <si>
    <t>SCOPUS_ID:84875595220</t>
  </si>
  <si>
    <t>10.1093/ije/dys222</t>
  </si>
  <si>
    <t>Evaluation of inconsistency in networks of interventions</t>
  </si>
  <si>
    <t>['Coherence', 'Heterogeneity', 'Loops', 'Mixed-treatment comparison', 'Multiple treatments meta-analysis', 'Odds ratio']</t>
  </si>
  <si>
    <t>Background The assumption of consistency, defined as agreement between direct and indirect sources of evidence, underlies the increasingly popular method of network meta-analysis. No evidence exists so far regarding the extent of inconsistency in full networks of interventions or the factors that control its statistical detection. Methods In this paper we assess the prevalence of inconsistency from data of published networks of interventions involving 303 loops of evidence. Inconsistency is evaluated in each loop by contrasting direct and indirect estimates and by employing an omnibus test of consistency for the entire network. We explore whether different effect measures for dichotomous outcomes are associated with differences in inconsistency, and evaluate whether different ways to estimate heterogeneity affect the magnitude and detection of inconsistency. Results Inconsistency was detected in from 2% to 9% of the tested loops, depending on the effect measure and heterogeneity estimation method. Loops that included comparisons informed by a single study were more likely to show inconsistency. About one-eighth of the networks were found to be inconsistent. The proportions of inconsistent loops do not materially change when different effect measures are used. Important heterogeneity or the overestimation of heterogeneity was associated with a small decrease in the prevalence of statistical inconsistency. Conclusions The study suggests that changing the effect measure might improve statistical consistency, and that an analysis of sensitivity to the assumptions and an estimator of heterogeneity might be needed before reaching a conclusion about the absence of statistical inconsistency, particularly in networks with few studies.Â© The Author 2013; all rights reserved.</t>
  </si>
  <si>
    <t>Greece</t>
  </si>
  <si>
    <t>SCOPUS_ID:0036311484</t>
  </si>
  <si>
    <t>10.2105/AJPH.92.8.1305</t>
  </si>
  <si>
    <t>Reverberations of family illness: A longitudinal assessment of informal caregiving and mental health status in the nurses' health study</t>
  </si>
  <si>
    <t>Objectives. This study examined the association between caregiving for disabled or ill family members, estimated to occur in more than 22 million US households, and change in mental health. Methods. We assessed 4-year change in mental health among 37 742 Nurses' Health Study participants with the Medical Outcomes Study Short-Form 36. Results. Women who provided 36 or more weekly hours of care to a disabled spouse were almost 6 times more likely than noncaregivers to experience depressive or anxious symptoms (multivariate odds ratio [OR] = 5.6; 95% confidence interval [Cl] = 3.8, 8.3). Caring for a disabled or ill parent (â‰³36 weekly hours) was associated with a less dramatic elevation in depressive or anxious symptoms (multivariate OR=2.0; 95% Cl = 0.9, 4.3). Conclusions. In this population, caregiving was associated with increased risk of depressive or anxious symptoms.</t>
  </si>
  <si>
    <t>SCOPUS_ID:77955943594</t>
  </si>
  <si>
    <t>10.1136/jech.2008.085936</t>
  </si>
  <si>
    <t>Estimates of sexual partnership dynamics: Extending negative and positive gaps to status lengths</t>
  </si>
  <si>
    <t>Background The aims of this study are to generalise the concept of gap length between partners and to estimate the duration of four types of measures for heterosexual partnerships, called status lengths: (1) time spent as single before becoming monogamous (S-M, positive gap), (2) duration of concurrency before monogamy (C-M, negative gap), (3) duration of monogamy before concurrency (M-C) and (4) time spent in monogamy before becoming single (M-S). Methods Medians and CIs were obtained using the US National Survey of Family Growth Cycle 6 conducted in 2002. Results A significant gender difference was found In the monogamous to single status length (medians 38 months for women, and 19.3 months for men). Other status lengths were similar between genders (S-M: 20 women, 18 men; M-C: 16 women, 13 men; and C-M: 5 for women and men). Respondents younger than the median age at first marriage showed shorter status lengths compared to older ones. Median status lengths were comparable between heterosexuals and bisexuals. Percentage of concurrency In 1 year was 3.3% for women and 3.8% for men. Conclusions One of the new status lengths (M-C) qualitatively indicates the transmission risk to an upcoming concurrent partner. The set of four status lengths may be useful in the context of epidemiological models with partnership dynamics.</t>
  </si>
  <si>
    <t>SCOPUS_ID:0035709540</t>
  </si>
  <si>
    <t>10.1093/ije/30.6.1233</t>
  </si>
  <si>
    <t>On the importance-and the unimportance-of birthweight</t>
  </si>
  <si>
    <t>['Analytical methods', 'Birthweight', 'Fetal growth', 'Gestational age', 'Infant mortality', 'Intrauterine growth retardation', 'Low birthweight', 'Small for gestational age']</t>
  </si>
  <si>
    <t>Birthweight is one of the most accessible and most misunderstood variables in epidemiology. A baby's weight at birth is strongly associated with mortality risk during the first year and, to a lesser degree, with developmental problems in childhood and the risk of various diseases in adulthood. Epidemiological analyses often regard birthweight as on the causal pathway to these health outcomes. Under this assumption of causality, birthweight is used to explain variations in infant mortality and later morbidity, and is also used as an intermediate health endpoint in itself. Evidence presented here suggests the link between birthweight and health outcomes may not be causal. Methods of analysis that assume causality are unreliable at best, and biased at worst. The category of 'low birthweight' in particular is uninformative and seldom justified. The main utility of the birthweight distribution is to provide an estimate of the proportion of small preterm births in a population (although even this requires special analytical methods). While the ordinary approaches to birthweight are not well grounded, the links between birthweight and a range of health outcomes may nonetheless reflect the workings of biological mechanisms with implications for human health.</t>
  </si>
  <si>
    <t>SCOPUS_ID:85189664543</t>
  </si>
  <si>
    <t>10.1093/eurpub/ckae012</t>
  </si>
  <si>
    <t>Work-family conflicts and sickness absence - a register-linked cohort study among young and early midlife employees</t>
  </si>
  <si>
    <t>Background: Work-family conflicts (WFC) have been associated with poor mental health, poor self-rated health and sickness absence. However, studies on short sickness absence are lacking and more information is needed also about long sickness absence regarding the direction of WFC, and potential explaining factors particularly among young and early middle-aged employees. Methods: The Helsinki Health Study baseline survey (2017) among 19- to 39-year-old municipal employees (N = 3683, 80% women, response rate 51.5%) was linked to employer's sickness absence data. The associations of work-to-family conflicts (WTFC) and family-to-work conflicts (FTWC) with short (1-7 days) and long (over 7 days) sickness absence were analyzed using negative binomial regression analysis. Covariates were age, gender, family-related factors and work-related factors. Stratified analyses by occupational class were performed. The results are presented as rate ratios and their 95% confidence intervals. Results: High WTFC were associated with short (1.25, 1.12-1.40) and long (1.37, 1.11-1.70) sickness absence. High FTWC were also associated with short (1.12, 1.03-1.22) and long (1.24, 1.06-1.45) sickness absence. Adjustment for family-related factors strengthened the associations, whereas adjustment for work-related factors abolished the associations between WTFC and sickness absence. Associations between WFC and sickness absence were observed among two lowest occupational classes only. Conclusion: WFC are associated with both short and long sickness absence. Work-related factors including the quality of supervisory work and shift work play a role in the association. Intervention studies could determine if improvements in combining work and family life lead to a reduction in sickness absence.</t>
  </si>
  <si>
    <t>SCOPUS_ID:85102865519</t>
  </si>
  <si>
    <t>10.1016/j.amepre.2021.01.006</t>
  </si>
  <si>
    <t>New NIH Primary and Secondary Prevention Research During 2012â€“2019</t>
  </si>
  <si>
    <t>Introduction: This manuscript characterizes primary and secondary prevention research in humans and related methods research funded by NIH in 2012â€’2019. Methods: The NIH Office of Disease Prevention updated its prevention research taxonomy in 2019â€’2020 and applied it to a sample of 14,523 new extramural projects awarded in 2012â€“2019. All projects were coded manually for rationale, exposures, outcomes, population focus, study design, and type of prevention research. All results are based on that manual coding. Results: Taxonomy updates resulted in a slight increase, from an average of 16.7% to 17.6%, in the proportion of prevention research awards for 2012â€’2017; there was a further increase to 20.7% in 2019. Most of the leading risk factors for death and disability in the U.S. were observed as an exposure or outcome in &lt;5% of prevention research projects in 2019 (e.g., diet, 3.7%; tobacco, 3.9%; blood pressure, 2.8%; obesity, 4.4%). Analysis of existing data became more common (from 36% to 46.5%), whereas randomized interventions became less common (from 20.5% to 12.3%). Randomized interventions addressing a leading risk factor in a minority health or health disparities population were uncommon. Conclusions: The number of new NIH awards classified as prevention research increased to 20.7% in 2019. New projects continued to focus on observational studies and secondary data analysis in 2018 and 2019. Additional research is needed to develop and test new interventions or develop methods for the dissemination of existing interventions, which address the leading risk factors, particularly in minority health and health disparities populations.</t>
  </si>
  <si>
    <t>SCOPUS_ID:80955154972</t>
  </si>
  <si>
    <t>10.1136/jech.2010.117903</t>
  </si>
  <si>
    <t>The impact of media reporting of suicide on actual suicides in Taiwan, 2002-05</t>
  </si>
  <si>
    <t>Objectives: To assess changes in the intensity of suicide news reporting in Taiwan's local newspapers after the arrival of a daily tabloid-type newspaper, Apple Daily (AD), and evaluate the impact of suicide news reporting on actual suicides and possible mutual causation. Methods: A counting process was used to estimate the intensity of daily suicide news items reported in the China Times (CT) and United Daily (UD) before and after the arrival of AD (2002-05). Poisson regression models were used to assess the impact of the intensity of suicide news reporting on the actual number of next day suicides. Granger's causation model was used to assess mutual causation between suicide news reporting and actual suicides. Results: There was a significant increase in reporting intensity of suicide news in the UD soon after the entry of the AD into Taiwan's media market, while a delayed increase of approximately 1 year was observed in the CT. After the arrival of the AD, the reporting intensity in the UD was significantly related to the occurrence of actual suicides (p&lt;0.05), even after controlling for social variables, whereas no significant correlation was previously observed. Mutual causation between suicide news reporting and actual suicides was also observed. Conclusions: The presence of the AD in Taiwan has fuelled competitive reporting of suicide news among traditional newspapers. This increase in the intensity of suicide news reporting has consequently had an impact on the actual number of suicides. This provides further empirical support for improving media reporting as a key element in suicide prevention.</t>
  </si>
  <si>
    <t>SCOPUS_ID:0025919656</t>
  </si>
  <si>
    <t>10.1093/ije/20.3.770</t>
  </si>
  <si>
    <t>Response to hepatitis B vaccine in relation to the hepatitis b status of family members</t>
  </si>
  <si>
    <t>The influence of the hepatitis B status of family members on the response to hepatitis B vaccine of an infant has been examined in 395 families. The presence of one or more HBsAg-positive family members did not appear to have any effect on the vaccine response. This is an encouraging finding as children born into carrier familes are at anincreased risk of becoming carriers themselves. That the vaccine response of such children is as good as for those bourn into non-carrier familes means that they are likely to be protected against the carrier state by the vaccine. Â© 1991 International Epidemiological Association.</t>
  </si>
  <si>
    <t>Gambia</t>
  </si>
  <si>
    <t>SCOPUS_ID:0032406779</t>
  </si>
  <si>
    <t>10.1006/pmed.1998.0393</t>
  </si>
  <si>
    <t>Pneumococcal vaccination: Perceptions of primary care physicians</t>
  </si>
  <si>
    <t>['Immunization', 'Pneumococcus', 'Primary care']</t>
  </si>
  <si>
    <t>Background. Little is known about barriers to pneumococcal vaccination in the primary care setting. Methods. Mail survey to 405 randomly selected Massachusetts primary care physicians (response rate 68%). Results. Seventy- nine percent considered themselves knowledgeable about current vaccination guidelines, and 75% said vaccination is an important clinical priority. Respondents answered a mean of five of six knowledge questions about vaccination 'correctly,' that is, consistent with current scientific evidence or expert opinion. Physicians reported high immunization rates: 51% thought over half their eligible patients were vaccinated; however, only 27% thought their colleagues immunized a similar number of patients. Physician attitude was the strongest independent predictor of high reported immunization rates (odds ratio of 4.7, P = 0.0001). Twenty-four percent of respondents thought physician oversight due to the need to attend to other active medical problems greatly reduces the number of patients they immunize. None of eight other financial, administrative, and clinical barriers were felt to be important by more than 7% of physicians. Sixty-six percent of physicians favored a standing order policy to immunize their eligible patients. Conclusions. Oversight and overestimation of immunization rates appear to be important barriers to pneumococcal vaccination. The literature suggests that reminder and performance feedback systems directed toward eliminating these barriers have had some success; interventions such as standing order policies may yield further improvements and appear to be acceptable to most physicians.</t>
  </si>
  <si>
    <t>SCOPUS_ID:0030964544</t>
  </si>
  <si>
    <t>10.1097/00001648-199709000-00005</t>
  </si>
  <si>
    <t>Circulatory disease mortality in the very elderly</t>
  </si>
  <si>
    <t>['Age 85 years and over', 'Causes of death', 'Cerebrovascular diseases', 'Circulatory diseases', 'Ischemic heart disease', 'Longevity', 'Mortality rates', 'Racial crossovers', 'Sex crossovers']</t>
  </si>
  <si>
    <t>I describe circulatory disease mortality in age groups 85 years and over, as available from Vital Statistics of the United States. Mortality rates from all circulatory diseases combined, from ischemic heart disease, and from cerebrovascular diseases increase faster with age than the mortality rate from all causes combined. The kinds of circulatory diseases causing death change with age. Although men and black people have higher mortality rates from circulatory diseases than women and white people through early old age, the gaps narrow with age, and there are sex and racial crossovers in later old age. Age groups 85 years and over have had smaller decreases in mortality rates from circulatory diseases since 1960 than middle-aged and younger elderly age groups.</t>
  </si>
  <si>
    <t>SCOPUS_ID:85128245159</t>
  </si>
  <si>
    <t>10.1097/EDE.0000000000001462</t>
  </si>
  <si>
    <t>Impacts of the Affordable Care Act's Medicaid Expansion on Live Births</t>
  </si>
  <si>
    <t>['Demographics', 'Fertility', 'Health', 'Insurance', 'Medicaid', 'Patient Protection and Affordable Care Act']</t>
  </si>
  <si>
    <t>Background: We hypothesize that the Affordable Care Act's (ACA) Medicaid expansion, which extended health insurance coverage to preconception, between-conception, and postconception periods for women meeting income eligibility guidelines, impacted the number of live births in the United States by increasing access to contraception and financial well-being. These impacts may differ by maternal socioeconomic and demographic characteristics. Methods: Using data from birth certificates aggregated to the state-year level and a difference-in-differences design, we estimated the association between Medicaid expansion and count of live births. We also examined whether associations differed by socioeconomic and demographic characteristics. Results: Overall, Medicaid expansion was not meaningfully associated with the count of births (difference-in-differences ÃŸ = 0.002; 95% confidence interval [CI] = -0.010, 0.015). However, among certain groups, Medicaid expansion was associated with meaningful changes in the count of live births, though all confidence intervals included the null value. The estimate of the relation between Medicaid expansion and the count of live births was -0.025 (95% CI = -0.052, 0.001) for those ages 18-24 years; -0.078 (95% CI = -0.231, 0.075) for those who were married, and -0.035 (95% CI = -0.104, 0.034) for those who were unmarried. Conclusions: Despite its potential to impact live births, our results indicate that the ACA's Medicaid expansion was not, in general, associated with live births of US residents of reproductive age. However, for younger, married, and unmarried women, the magnitude of estimates supports the hypothesis of a potentially meaningful effect of Medicaid expansions on live births.</t>
  </si>
  <si>
    <t>SCOPUS_ID:0026616008</t>
  </si>
  <si>
    <t>10.1093/ije/21.3.518</t>
  </si>
  <si>
    <t>Comparison of the incidence of insulin-dependent diabetes mellitus in childhood among five baltic populations during 1983-1988</t>
  </si>
  <si>
    <t>We have carried out a comparison of the incidence of childhood onset insulin-dependent diabetes mellitus {IDDM} between five populations around the Baltic Sea. These were Finland, Estonia, Latvia, Uthuania and Poland. The risk of IDDM is highest in the world in Finland and also very high in Sweden, on the western and northern side of the Baltic Sea. The risk of IDDM in children on the eastern side of the Baltic Sea has not been known before. The data collection period covered the years 1983-1988. A marked variation in incidence was seen within this relatively small geographical area. Among these five populations, the incidence increased with the latitude. Our present results confirmed the very high incidence of IDDM in Finland. The average age-standardized yearly incidence of IDDM/100 000 was in males under 15 years of age 36.9 in Finland, 10.7 in Estonia, 6.4 in Latvia, 6.5 in Uthuania and 6.0 in Poland. In females the incidence was 31.6, 10.0, 6.9, 7.0 and 6.4 in these five populations, respectively. The differential in incidence in Estonia as compared with Latvia, Lithuania and Poland was statistically significant (P = 0.0002). A slight male excess in incidence was found in countries with higher incidence-Finland and Estonia, but in lower incidence countries the sex ratio was opposite (P = 0.019 for the interaction sex-population). During 1983-1988 the incidence increased significantly in Finland but not in other populations although a large year-to-year variation in incidence was observed in each country, particularly in males. We recorded a peak in IDDM incidence in most of these populations around 1986. Â© 1992 International Epidemiological Association.</t>
  </si>
  <si>
    <t>SCOPUS_ID:33847343501</t>
  </si>
  <si>
    <t>10.1093/aje/kwk053</t>
  </si>
  <si>
    <t>Less subclinical atherosclerosis in Japanese men in Japan than in white men in the United States in the post-world war II birth cohort</t>
  </si>
  <si>
    <t>['Atherosclerosis', 'Cohort studies', 'Coronary disease', 'Japan', 'Men', 'Risk factors']</t>
  </si>
  <si>
    <t>Coronary heart disease incidence and mortality remain very low in Japan despite major dietary changes and increases in risk factors that should have resulted in a substantial increase in coronary heart disease rates (Japanese paradox). Primary genetic effects are unlikely, given the substantial increase in coronary heart disease in Japanese migrating to the United States. For men aged 40-49 years, levels of total cholesterol and blood pressure have been similar in Japan and the United States throughout their lifetimes. The authors tested the hypothesis that levels of subclinical atherosclerosis, coronary artery calcification, and intima-media thickness of the carotid artery in men aged 40-49 years are similar in Japan and the United States. They conducted a population-based study of 493 randomly selected men: 250 in Kusatsu City, Shiga, Japan, and 243 White men in Allegheny County, Pennsylvania, in 2002-2005. Compared with the Whites, the Japanese had a less favorable profile regarding many risk factors. The prevalence ratio for the presence of a coronary calcium score of â‰¥10 for the Japanese compared with the Whites was 0.52 (95% confidence interval: 0.35, 0.76). Mean intima-media thickness was significantly lower in the Japanese (0.616 mm (standard error, 0.005) vs. 0.672 (standard error, 0.005) mm, p &lt; 0.01). Both associations remained significant after adjusting for risk factors. The findings warrant further investigations. Copyright Â© 2007 by the Johns Hopkins Bloomberg School of Public Health All rights reserved.</t>
  </si>
  <si>
    <t>SCOPUS_ID:84868303736</t>
  </si>
  <si>
    <t>10.1016/j.ypmed.2012.09.008</t>
  </si>
  <si>
    <t>State legislators' support for evidence-based obesity reduction policies</t>
  </si>
  <si>
    <t>['Legislation', 'Obesity', 'Policy']</t>
  </si>
  <si>
    <t>Objective: This study aimed to gauge state legislators' level of support for evidence-based obesity reduction policies. Methods: A list of 17 potential obesity reduction measures was sent via a valid and reliable survey questionnaire to a random sample of 800 state legislators from all 50 United States in 2011. Legislators were asked to rate their support for each measure on a three-point Likert-type scale. Results: There were 250 questionnaires returned. Chi-square tests revealed no significant differences between respondents and non-respondents by sex, political affiliation, or chamber designation. Respondents were approximately evenly split between Republicans (n=117) and Democrats (n=122). Overall, public school and community-based measures were supported at approximately the same levels. Linear regression revealed that political affiliation, race, and perceiving obesity as a serious societal problem were significant predictors of legislator support for obesity reduction policies. Legislator body mass index, level of education, and geographic location were not significant predictors of support. Conclusions: Public health advocates interested in promoting obesity prevention legislation at the state level are most likely to find support among non-white female Democratic legislators regardless of their BMI who perceive obesity to be a serious societal problem. Â© 2012 Elsevier Inc.</t>
  </si>
  <si>
    <t>SCOPUS_ID:85147783276</t>
  </si>
  <si>
    <t>10.1093/ije/dyac131</t>
  </si>
  <si>
    <t>Estimands in cluster-randomized trials: Choosing analyses that answer the right question</t>
  </si>
  <si>
    <t>['cluster-average treatment effect', 'cluster-randomized trial', 'estimands', 'estimands', 'independence estimating equations', 'informative cluster size', 'Participant-average treatment effect']</t>
  </si>
  <si>
    <t>Background: Cluster-randomized trials (CRTs) involve randomizing groups of individuals (e.g. hospitals, schools or villages) to different interventions. Various approaches exist for analysing CRTs but there has been little discussion around the treatment effects (estimands) targeted by each. Methods: We describe the different estimands that can be addressed through CRTs and demonstrate how choices between different analytic approaches can impact the interpretation of results by fundamentally changing the question being asked, or, equivalently, the target estimand. Results: CRTs can address either the participant-average treatment effect (the average treatment effect across participants) or the cluster-average treatment effect (the average treatment effect across clusters). These two estimands can differ when participant outcomes or the treatment effect depends on the cluster size (referred to as 'informative cluster size'), which can occur for reasons such as differences in staffing levels or types of participants between small and large clusters. Furthermore, common estimators, such as mixed-effects models or generalized estimating equations with an exchangeable working correlation structure, can produce biased estimates for both the participant-average and cluster-average treatment effects when cluster size is informative. We describe alternative estimators (independence estimating equations and cluster-level analyses) that are unbiased for CRTs even when informative cluster size is present. Conclusion: We conclude that careful specification of the estimand at the outset can ensure that the study question being addressed is clear and relevant, and, in turn, that the selected estimator provides an unbiased estimate of the desired quantity.</t>
  </si>
  <si>
    <t>SCOPUS_ID:0028064424</t>
  </si>
  <si>
    <t>Correlates of decaffeinated coffee choice</t>
  </si>
  <si>
    <t>['Caffeine', 'Coffee', 'Feeding behavior', 'Gender', 'Health behavior', 'Life-style']</t>
  </si>
  <si>
    <t>We sought to identify the illness risk factors associated with consumption of decaffeinated coffee in a sample of 2,677 adults. Women who drank decaffeinated coffee exclusively were more likely than other women to consume vitamin supplements and cruciferous vegetables, to use seat belts routinely, and to exercise regularly. Among men, those who drank decaffeinated coffee exclusively were more likely than others to have a low body mass index and to consume a low-fat diet and cruciferous vegetables. We conclude that people who drink decaffeinated coffee differ from others in ways that might provide information about the risk of illnesses. Â© 1994 Epidemiology Resources Inc.</t>
  </si>
  <si>
    <t>SCOPUS_ID:85020399454</t>
  </si>
  <si>
    <t>10.1093/aje/kww208</t>
  </si>
  <si>
    <t>Spatial Variability in ADHD-Related Behaviors among Children Born to Mothers Residing Near the New Bedford Harbor Superfund Site</t>
  </si>
  <si>
    <t>['attention-deficit/hyperactivity disorder', 'environmental exposures', 'geographic analysis', 'sociodemographic risk factors']</t>
  </si>
  <si>
    <t>Attention-deficit/hyperactivity disorder (ADHD) has an uncertain etiology, with potential contributions from different risk factors such as prenatal environmental exposure to organochlorines and metals, social risk factors, and genetics. The degree to which geographic variability in ADHD is independent of, or explained by, risk factors may provide etiological insight. We investigated determinants of geographic variation in ADHD-related behaviors among children living near the polychlorinated biphenyl-contaminated New Bedford Harbor (NBH) Superfund site in Massachusetts. Participants were 573 children recruited at birth (1993-1998) who were born to mothers residing near the NBH site. We assessed ADHD-related behaviors at age 8 years using Conners' Teacher Rating Scale- Revised: Long Version. Adjusted generalized additive models were used to smooth the association of pregnancy residence with ADHD-related behaviors and assess whether prenatal organochlorine or metal exposures, sociodemographic factors, or other factors explained spatial patterns. Models that adjusted for child's age and sex displayed significantly increased ADHD-related behavior among children whose mothers resided west of the NBH site during pregnancy. These spatial patterns persisted after adjusting for prenatal exposure to organochlorines and metals but were no longer significant after controlling for sociodemographic factors. The findings underscore the value of spatial analysis in identifying high-risk subpopulations and evaluating candidate risk factors.</t>
  </si>
  <si>
    <t>SCOPUS_ID:0001153896</t>
  </si>
  <si>
    <t>10.1093/eurpub/5.4.269</t>
  </si>
  <si>
    <t>The finnmark intervention study: Design, methods and effects of a 2 year community-based intervention</t>
  </si>
  <si>
    <t>['Community-based', 'Health intervention']</t>
  </si>
  <si>
    <t>Two fishing municipalities with a total population of 6,500 in Finnmark county were exposed to different hearth intervention programmes, both aiming at minimizing inequalities in health through empowerment and community involvement. One intervention (Nordkapp) was mainly focused on factors related to the working environment of fishermen and within the fishing industry, while the other (Bitsfjord) addressed the population as a whole in defining health problems, setting priorities and planning strategies and implementation. This paper describes the design and methods of intervention and evaluation and examines effects regarding knowledge about and discussions of the projects, acquisition of new information, attitudes and serf-reported behaviour changes after 2 years of intervention in a randomized sample of almost 2,000 individuals in the 2 communities. In Nordkapp, 27% of the men and 20% of the women knew about the project, with the highest level being among fishermen and the male employees in the fishing industry. The corresponding percentages for BStsfjord were 77 and 82%. Approximately 1 in 5 in Nordkapp and 2 in 5 in Bitsfjord had discussed the projects with somebody. In particular, in Bitsfjord knowledge about and discussion of the projects increased with the length of formal education, whereas acquisition of new information and self-reported behaviour change was highest among those with the lowest level of education in both communities. Approximately 40% of those aware reported behaviour change due to the interventions. These findings suggest that the projects have favoured the target groups of the intervention. Â© 1995 Copyright European Journal of Public Health.</t>
  </si>
  <si>
    <t>SCOPUS_ID:0033851958</t>
  </si>
  <si>
    <t>10.1023/A:1007627332215</t>
  </si>
  <si>
    <t>Cancer mortality and exposure to chemical carcinogens in the work place: An ecological study in the Valencian Community, Spain (1981-1995)</t>
  </si>
  <si>
    <t>['Cancer', 'Chemical carcinogens', 'Ecological study', 'Geographical differences', 'Job-exposure', 'Mortality']</t>
  </si>
  <si>
    <t>To evaluate the geographical distribution of the mortality from malignant turnouts in relationship with exposure to chemical carcinogens in the work place, and to asses the possible association between these questions and the percentage of population employed in certain high-risk sectors, an ecological study in the Valencian Community (VC), Spain was carried out. Age-adjusted mortality rates for the total number of malignant turnouts, lung, bladder, lymphomas and leukaemia during the periods 1981-1985 and 1991-1995 were calculated for the 34 geographical areas. The percentage of population in each area working in sectors in which they may be exposed to chemical carcinogens was obtained. The relationship between mortality on-the-job exposure was studied using linear regression methods. Large differences in cancer mortality were seen. In men, the geographical pattern was very stable and reveals a significant association with the distribution of certain high-risk jobs. Statistically significant positive correlations (p &lt; 0.001) were found between cancer mortality and the percentage of the population working in metal, wood and furniture sectors. In contrast, a negative and statistically significant (p &lt; 0.001) correlation was observed between cancer mortality and the percentage of the population working in agriculture. In conclusion, although the variability in cancer mortality in men was significantly associated with some occupational sectors in the VC, caution is needed when drawing conclusions about causation from ecological studies.</t>
  </si>
  <si>
    <t>SCOPUS_ID:0034878928</t>
  </si>
  <si>
    <t>10.1023/A:1010979522339</t>
  </si>
  <si>
    <t>The distribution in specific IgE and the prevalence of allergic symptoms in 25-64-years old inhabitants of an eastern and a western German city - Results from Augsburg and Erfurt</t>
  </si>
  <si>
    <t>['Adults', 'Allergic respiratory symptoms', 'Atopic sensitization', 'East-west', 'Epidemiology', 'Specific IgE']</t>
  </si>
  <si>
    <t>Background: In an earlier study it has been found that allergic symptoms and sensitization in adults were more frequent in Hamburg (northern part of West Germany) compared to Erfurt (East Germany). The purpose of this study was to replicate these findings using data from Augsburg, a city from the southern part of West Germany. Furthermore the study population in this analysis was extended to higher age groups. Methods: The prevalence of respiratory symptoms, assessed by a self-administered questionnaire, was compared in a random sample of adults, 25-64 years of age, living in Augsburg (n = 1572) and Erfurt (n = 1648). From a subset (n = 754, resp. 1144) specific IgE to common aero-allergens were measured and atopic sensitization was defined as the presence of at least one positive specific IgE (CAP &gt; 0). Results: The prevalence of allergic rhinitis, wheezing, asthma and atopic sensitization was higher in Augsburg than in Erfurt (OR: 2.0; 1.3; 2.1; 1.7; all p &lt; 0.01). For these differences no specific explanation could be found, i.e. the percentage of sensitized persons was equally increased in Augsburg for asthmatics, patients with hay fever or asymptomatic subjects. Furthermore, sensitization was equally increased for all common allergens. The differences were largest for the youngest age group, but also existed for higher ages. Conclusions: The increased prevalence of allergies observed in Hamburg, a northern city of West Germany, is also found in Augsburg, a southern city of West Germany, both compared to Erfurt in East Germany. This supports the finding that unspecific causes related to western lifestyle play an important role. Further research is needed to identify the causal influences.</t>
  </si>
  <si>
    <t>SCOPUS_ID:0026616095</t>
  </si>
  <si>
    <t>10.1093/ije/21.4.745</t>
  </si>
  <si>
    <t>Epidemiological study of the cardiovascular effects of carbon disulphide</t>
  </si>
  <si>
    <t>In an extensive health survey 115 male viscose rayon workers exposed to carbon disulphide (CSJ and 76 referents not exposed to this chemical were interviewed using the WHO cardiovascular questionnaire ana responded to a self- administered questionnaire. A 12-lead ECG was taken and coded using the Minnesota code. Blood pressure (BP) was measured electronically and blood was examined for lipoproteins. In the viscose rayon factory the working conditions had not changed since 1932. Personal monitoring performed in 17 jobs, showed exposures varying from 4 to 112 mg/m3. For each individual a CS2 cumulative exposure index (CS2 index) was calculated. There were no significant differences between exposed and referents concerning the prevalence of angina, history of myocardial infarction, intermittent claudication and ECG signs of ischaemia. Blood pressure, low density lipoprotein (LDL)-cholesterol and the apolipoproteins A1 and B rose while high density lipoprotein (HDL)-cho(esterol, the HDL-cholesterol/apolipoprotein A1 and the LDL-cholesterol/apolipoprotein B ratios decreased significantly with increasing exposure. Adjustment for age, body mass index, smoking, alcohol consumption, stress and tension at work, shift work, noise exposure and educational level in multiple linear regression analysis showed significant effects of the CS2 index on systolic BP, diastolic BP, cholesterol, HDL-cholesterol, LDL-cholesterol, apolipoprotein A1, apolipoprotein B, the LDL cholesterol/apolipopro- tein B and HDL cholesterol/apolipoprotein A1 ratios; there were no significant effects on the triglycerides. Â© International Epidemiological Association 1992.</t>
  </si>
  <si>
    <t>SCOPUS_ID:85189677574</t>
  </si>
  <si>
    <t>10.1016/j.amepre.2024.03.009</t>
  </si>
  <si>
    <t>Veterans Crisis Line Contacts After the 988 Suicide and Crisis Lifeline Rollout</t>
  </si>
  <si>
    <t>Introduction: This study identifies changes in Veterans Crisis Line (VCL) contact volume following the 988 National Suicide Prevention Hotline rollout, and examines changes in contact volume for self-identified Veterans. Methods: VCL's Medora database was analyzed from July 2018 to June 2023, fitting linear interrupted time series models to forecast trends after the July 2022 rollout of the 988 Suicide Prevention Hotline. Data analysis was performed from 2023 to 2024. Results: After the 988 rollout, average monthly VCL contact volume increased by 5,388 contacts (8.2%). The number of contacts self-identifying as Veterans increased by 2,739 (6.2%), while the percentage of self-identifying Veteran contacts who could be linked to VHA records declined by 3.8%. Conclusions: The 988 rollout was associated with increased VCL contact volume and broad changes in the profile of users. This underscores the importance of crisis services in adapting to dynamic user needs and highlights the potential of national suicide prevention initiatives to reach diverse populations.</t>
  </si>
  <si>
    <t>SCOPUS_ID:84894084234</t>
  </si>
  <si>
    <t>10.1097/EDE.0000000000000055</t>
  </si>
  <si>
    <t>The US 2009 A(H1N1) influenza epidemic: Quantifying the impact of school openings on the reproductive number</t>
  </si>
  <si>
    <t>BACKGROUND:: There is limited information on differences in the dynamics of influenza transmission during time periods when schools are open compared with periods when they are closed. METHODS:: Data on school openings, influenza surveillance, and absolute humidity were incorporated into a regression model to estimate the increase in the reproductive number for the 2009 A(H1N1) influenza pandemic associated with the opening of school in 10 US states. RESULTS:: The estimate for the average increase in the reproductive number for the 2009 A(H1N1) influenza pandemic associated with the beginning of the school year was 19.5% (95% credible interval = 10%-29%). CONCLUSIONS:: Whether schools are open or closed can have a major impact on community transmission dynamics of influenza. Copyright Â© 2014 by Lippincott Williams &amp; Wilkins.</t>
  </si>
  <si>
    <t>SCOPUS_ID:0036070966</t>
  </si>
  <si>
    <t>10.1136/jech.56.8.569</t>
  </si>
  <si>
    <t>Employment security and health</t>
  </si>
  <si>
    <t>Objective: To study the relation of contractual and perceived employment security to employee health. Design: Cross sectional survey. Setting: Municipal sector employees in eight Finnish towns. Participants: 5981 employees with a permanent contract and 2786 employees with a non-permanent contract (2194 fixed term contract, 682 government subsidised contract). Outcome measures: Poor self rated health, chronic disease, and psychological distress. Results: Compared with permanent employees, fixed term men and women had better self rated health (men odds ratio 0.70; 95% confidence intervals 0.50 to 0.98, women 0.70 (0.60 to 0.82) and less chronic disease (men 0.69; 0.52 to 0.91; women 0.89; 0.79 to 1.02), but women had more psychological distress (1.26; 1.09 to 1.45). The only difference between subsidised employees and permanent employees was the high level of psychological distress in women (1.35; 1.09 to 1.68). Low perceived employment security was associated with poor health across all three indicators. The association of low perceived security with psychological distress was significantly stronger in permanent employees than among fixed term and subsidised employees, indicating that perceived security is more important for mental health among employees with a permanent contract. Conclusions: Contractual security and perceived security of employment are differently associated with health. It is therefore important to distinguish between these aspects of employment security in studies of labour market status and health. Such studies will also need to control for health selection, which is unlikely to operate in the same way among permanent and non-permanent employees.</t>
  </si>
  <si>
    <t>SCOPUS_ID:0027416649</t>
  </si>
  <si>
    <t>10.1093/oxfordjournals.aje.a116684</t>
  </si>
  <si>
    <t>Evaluation of a method for detecting aberrations in public health surveillance data</t>
  </si>
  <si>
    <t>['Epidemiologic methods', 'Public health surveillance']</t>
  </si>
  <si>
    <t>The detection of unusual patterns in routine public health surveillance data on diseases and injuries presents an important challenge to health workers interested in early identification of epidemics or clues to important risk factors. Each week, state health departments report the numbers of cases of about 50 notifiable diseases to the Centers for Disease Control and Prevention, and these reports are published weekly in the Morbidity and Mortality Weekly Report. A new analytic method and a horizontal bar graph were introduced in July 1989 to facilitate easy identification of unusual numbers of reported cases. Evaluation of the statistical properties of this method indicates that the results are fairly robust to nonnormality and serial correlation of the data. An epidemiologic evaluation of the method after the first 6 months showed that it is useful for detection of specific types of aberrations in public health surveillance. Copyright Â© 1993 by The Johns Hopkins University School of Hygiene and Public Health.</t>
  </si>
  <si>
    <t>SCOPUS_ID:0027741421</t>
  </si>
  <si>
    <t>10.1016/s0749-3797(18)30685-8</t>
  </si>
  <si>
    <t>The prevalence of smoking and implications for quality of life among the community-based elderly</t>
  </si>
  <si>
    <t>Although the adverse health consequences associated with smoking among middle-aged adults are well known, the significance of smoking among the elderly is less clear. We used data from three national surveys with representative samples of the noninstitutionalized Canadian population 15 years of age and older to investigate the prevalence and consequences of smoking among the elderly. The results showed a lower prevalence of smoking among older age groups, a higher prevalence and higher consumption rates among elderly men than among elderly women, a greater likelihood among elderly nonsmokers for men to be former smokers and for women never to have smoked, and lower consumption rates among elderly men and women than among younger individuals. Results from multivariate logistic regression models suggested an increased risk among elderly male and female smokers for poorer health ratings, respiratory problems, and selected medication use. These models also showed an increased risk for impairment in mobility and high life stress among elderly male smokers and for low happiness and dissatisfaction with social relationships among elderly female smokers, compared with persons who had never smoked. These preliminary findings suggest that smoking among elderly persons may be associated with several negative quality-of-life outcomes, but the direction of this relationship is not clear. Nonetheless, these results provide support for the initiation of smoking cessation programs for elderly individuals.</t>
  </si>
  <si>
    <t>SCOPUS_ID:84939627170</t>
  </si>
  <si>
    <t>10.1093/eurpub/ckv047</t>
  </si>
  <si>
    <t>Smoking and obesity among pregnant women in Iceland 2001-2010</t>
  </si>
  <si>
    <t>Background: The prevalence of smoking during pregnancy in Western societies has decreased in the last decades, whereas prevalence of overweight and obesity has increased. Our objective was to study secular trends and patterns of smoking and body weight among pregnant women in Iceland, during a period of dramatic changes in the nation's economy. Methods: On the basis of the Medical Birth Registry, we used a random sample of 1329 births between 1 January 2001 and 31 December 2010. Information on smoking, body mass index and background factors during pregnancy was retrieved from the Medical Birth Register and maternity records. Trends in smoking, overweight, obesity and body mass index were assessed using logistic and linear regression analyses. Logistic regression analysis was used to examine the annual odds of smoking and obesity and by socio-demographic characteristics. Results: We found a decrease in the prevalence of continued smoking during pregnancy from 12.4% in 2001 to 7.9% in 2010 [odds ratio (OR) = 0.94, 95% confidence interval (CI) (0.88-1.00)], particularly among women with Icelandic citizenship [OR = 0.92, 95% CI (0.86-0.98)], whereas no changes in obesity [OR = 1.02, 95% CI (0.96-1.07)] were observed. The highest prevalence of maternal smoking and obesity was observed in 2005-06. Conclusion: Our results indicate that smoking during pregnancy decreased among Icelandic women in 2001-10, whereas an initial increase in obesity prevalence seemed to level off towards the end of the observation period. Interestingly, we found that both of these maternal risk factors reached their highest prevalence in 2005-06, which coincides with a flourishing period in the nation's economy.</t>
  </si>
  <si>
    <t>Iceland</t>
  </si>
  <si>
    <t>SCOPUS_ID:84884134309</t>
  </si>
  <si>
    <t>10.2105/AJPH.2012.301174</t>
  </si>
  <si>
    <t>Creating smoke-free places through the un convention on the rights of persons with disabilities</t>
  </si>
  <si>
    <t>In some high-, middle-, and low-income countries, law has been employed to limit individuals' secondhand smoke exposure. Innovative legal tools are still needed, especially in lowandmiddle- income countries where smoking prevalence continues to rise. For some persons with severe respiratory conditions, the presence of secondhand smoke is intolerable and prevents their entrance into restaurants and other venues. With its adoption of the Convention on the Rights of Persons with Disabilities (CRPD) in 2006, the United Nations gave countries a new way to promote the rights of disabled individuals and simultaneously address secondhand smoke exposure. We analyze the CRPD's potential to advance tobacco control goals and offer recommendations for advocates, policymakers, and others seeking to apply this approach.</t>
  </si>
  <si>
    <t>SCOPUS_ID:0027511505</t>
  </si>
  <si>
    <t>10.1093/ije/22.1.38</t>
  </si>
  <si>
    <t>Bladder cancer and coffee consumption in smokers and nonsmokers in spain</t>
  </si>
  <si>
    <t>The association between coffee consumption and bladder cancer was investigated in a multi-centre case-control study conducted in Spain from 1983 to 1988. A total of 497 cases (438 male and 59 female) with histopathologically confirmed bladder cancer were used in the analysis along with 566 hospital controls and 547 population controls. Odds ratios (OR), adjusted for age, province of residence, occupations at risk, consumption of artificial sweeteners and cigarette smoking, did not show any association between coffee consumption and bladder cancer for either sex. However, in non-smokers and mainly in males, for current coffee drinkers the OR was 2.78 (SK% [Cl]: 0.78-9.87), while for drinkers of 2-7, 8-14 and &gt;15 cups/week the respective OR were 2.22, 3.11 and 1.87 with a dose-response relationship for lifelong consumption and years of exposure to regular coffee consumption. The OR in male non-smokers and current coffee drinkers were 2.36 (95% Cl: 0.62-9.05) with population controls only and 1.94,2.58 and 1.48 for the corresponding levels of intensity of consumption (cups/week). The associations observed in non-smokers suggest the existence of a possible association between coffee consumption and bladder cancer, but are based on small numbers and need to be confirmed in larger studies. Â© 1993 International Epidemiological Association.</t>
  </si>
  <si>
    <t>SCOPUS_ID:33749544771</t>
  </si>
  <si>
    <t>10.1093/eurpub/ckl031</t>
  </si>
  <si>
    <t>Exploring the relationship between development and road traffic injuries: A case study from India</t>
  </si>
  <si>
    <t>['Economic development', 'India', 'Mortality', 'Road safety', 'RTI']</t>
  </si>
  <si>
    <t>Background: Road traffic injuries (RTI) are a major cause of mortality and disability in the world. Only after significant losses have communities in developed nations taken necessary steps to prevent crashes and their consequences. Increase in road safety is related to increasing socio-economic development. We aim to study the trends in injury and death rates in a developing country, India, define sub-national variations, and analyse these trends in relation to economic and population growth. Methods: Public sector data from India were used to develop a standardized database on traffic injuries and indicator of economic development. The data were analysed using linear regression models to test the a priori hypothesis of a positive relationship between net domestic product (NDP), and injury and death rates from road crashes across states. Results: The absolute burden of RTI in India has been consistently rising over the past three decades. The reported rates are lower than those estimated by global health agencies and may reflect under-reporting. Population-based rates provide a better assessment of the public health burden of RTI than vehicle-based rates. There is an inverted U-shaped relationship between NDP and injury and death rates. Even with the limited data, Kuznets phenomenon is evident for within-country level comparisons. Conclusions: India and other developing countries could learn from the experience of highly motorized nations to avoid the expected rise in RTI and deaths with economic development, by currently investing in road safety and prevention measures. Â© The Author 2005. Published by Oxford University Press on behalf of the European Public Health Association. All rights reserved.</t>
  </si>
  <si>
    <t>SCOPUS_ID:0028968552</t>
  </si>
  <si>
    <t>10.1136/jech.49.1.28</t>
  </si>
  <si>
    <t>Social class and preventive health behaviour: A British example</t>
  </si>
  <si>
    <t>Study objective - To test the relationship between social class and preventive health behaviour in a British national sample and identify which set of more specific socioeconomic factors best 'explained' any observed relationship(s). Design - Secondary analysis from a national cross sectional survey of the health attitudes and health behaviour of men and women aged 18 years and over living in private households in England, Scotland, and Wales. A selection of addresses was made randomly from the electoral register using a three stage design, and then one individual in each household was sampled. A total of 12 254 addresses yielded interviews with 9003 individuals, a response rate of 73.5%. Compared with the census population, the single and divorced/separated are slightly under-represented but otherwise sources of bias are small. Participants - The subset selected was 1671 women and 1026 men aged between 20-45 ears with at least one child under 17 living at home. Main results - Social class was strongly associated with the health practices index (HPI, used as a measure of health behaviour) both for women and men (p &lt; 0.001). The set of factors identified for both sexes as having an impact on this relationship were education, tenure, residential overcrowding index, and salience of lifestyle. In addition, their partner's employment status and household income were relevant for women only. These groups of factors did not totally explain the observed relationship but the proportion of variance in HPI attributable to social class was Considerably reduced. Conclusions - Descriptions of the association between social class and health behaviour(s) are of little use to those wishing to mount more effective interventions in health promotion. Multivariable analysis can indicate which specific factors account for much of the social class effect on health behaviour and thereby assist better understanding and targeting of resources.</t>
  </si>
  <si>
    <t>SCOPUS_ID:2542442659</t>
  </si>
  <si>
    <t>10.2105/AJPH.94.6.1037</t>
  </si>
  <si>
    <t>All-cause and cause-specific mortality by socioeconomic status among employed persons in 27 US states, 1984-1997</t>
  </si>
  <si>
    <t>Objectives. We investigated mortality differences according to socioeconomic status (SES) for employed persons in 27 states during 1984-1997. Methods. SES was determined for persons aged 35-64 years according to the "usual occupation" listed on their death certificates. We used US Census denominator data. Results. For all-cause mortality, rate ratios from lowest to highest SES quartile for men and women were 2.02, 1.69, 1.25, and 1. 00 and 1.29, 1.01, 1.07, and 1.00, respectively. Percentage of all deaths attributable to being in the lowest 3 SES quartiles was 27%. Inverse SES gradients were strong for most major causes of death except breast cancer and colorectal cancer. Heart disease mortality for highest and lowest SES quartiles dropped 45% and 25%, respectively, between 1984 and 1997. Conclusions. Mortality differences by SES were sustained through the 1990s and are increasing for men.</t>
  </si>
  <si>
    <t>SCOPUS_ID:0034533121</t>
  </si>
  <si>
    <t>10.1093/ije/29.6.983</t>
  </si>
  <si>
    <t>Contraceptive and reproductive risk factors for cervical intraepithelial neoplasia in American Indian women</t>
  </si>
  <si>
    <t>['Cervix dysplasia', 'Cross cultural comparison', 'Indians North American']</t>
  </si>
  <si>
    <t>Objectives. To evaluate contraceptive and reproductive risk factors for cervical intraepithelial neoplasia (CIN) in southwestern American Indian women. Methods. We conducted a clinic-based case-control study. Cases were American Indian women with biopsy-proven CIN I, CIN II or CIN III. Controls were from the same clinics and had normal cervical epithelium. All subjects underwent structured interviews focused on contraceptive and reproductive factors. Laboratory assays included polymerase chain reaction (PCR)-based tests for cervical human papillomavirus (HPV) infection. Results. We enrolled 628 women in the study. The strongest risk factors for CIN II/III included HPV infection (adjusted odds ratio [OR] = 7.9, 95% CI: 4.7-13.2), and low income (OR = 3.1, 95% CI: 1.7-5.7). The use of an intrauterine device (IUD) ever (OR = 3.0, 95% CI: 1.4-6.1) and currently (OR = 4.1, 95% CI: 1.1-14.6), and â‰¥3 vaginal deliveries (OR = 5.2, 95% CI : 2.4-11.1) were associated with CIN II/III. History of infertility was also associated with CIN II/III (OR = 2.1, 95% CI : 1.0-4.2). Conclusions. The data suggest that history of infertility, IUD use and vaginal deliveries were associated with CIN among American Indian women.</t>
  </si>
  <si>
    <t>SCOPUS_ID:34047227129</t>
  </si>
  <si>
    <t>10.1093/eurpub/ckl067</t>
  </si>
  <si>
    <t>The synthetic evaluation model for analysis of flooding hazards</t>
  </si>
  <si>
    <t>['Delphi method', 'Flood hazards', 'Jack-knife analysis', 'Synthetic evaluation']</t>
  </si>
  <si>
    <t>Background: Although many previous epidemiological studies have reported the incidence of diseases, mortality rate and economic losses after natural disasters, none of these studies has been comprehensive enough. Our aim was to establish a synthetic evaluation model (SEM) that can be used to analyze flood hazards. Methods: Initial evaluation indicators were selected using systematic and literature data analysis. These indicators were tested with single or multiple variable analyses. Final evaluation indicators and their weights were determined using the Delphi procedure. We established a SEM of flood hazards using the hierarchy method and tested the model using jack-knife analysis. Results: The SEM on flood hazards consists of 6 first-rank indicators and 24 second-rank indicators. First-rank indicators were: direct casualties (w = 0.2123), the increased incidence and prevalence rate of the disease (w = 0.1715), excess mortality rate (w = 0.1745), mental injury (w = 0.1038), epidemic focus expansion (w = 0.1572) and economic loss (w = 0.1807). The agreement of the model reached 98.2% tested with the jack-knife analysis. Conclusion: A SEM of flood hazards was established with an agreement of 98.2%, which can be used to evaluate the hazards, and assist public health-care workers provide appropriate flood disaster management. Â© The Author 2006. Published by Oxford University Press on behalf of the European Public Health Association. All rights reserved.</t>
  </si>
  <si>
    <t>SCOPUS_ID:0036354954</t>
  </si>
  <si>
    <t>10.1006/pmed.2001.0966</t>
  </si>
  <si>
    <t>Evolutionary health promotion: A consideration of common counterarguments</t>
  </si>
  <si>
    <t>['Evolution', 'Evolutionary medicine', 'Genetic change', 'Health promotion', 'Life expectancy', 'Prevention']</t>
  </si>
  <si>
    <t>The proposal that Late Paleolithic (50,000-10,000 BP) ancestral experience might serve as a model for prevention research and even, if justified by experiment, as a paradigm for health promotion recommendations is sometimes discounted, before critical assessment, because of reservations based on unjustified preconceptions. Most often such biases involve comparative life expectancy, potential genetic change since agriculture, the heterogeneity of ancestral environments, and/or innate human adaptability. This paper examines these topics and attempts to show that none of them justifies a priori dismissal of the evolutionary approach to preventive medicine. Evolutionary health promotion may ultimately be invalidated because of its falsification by experiment or because another theory accords better with known facts, but these commonly held prejudices should not forestall its thoughtful consideration and investigative evaluation. Â© 2001 American Health Foundation and Elsevier Science (USA).</t>
  </si>
  <si>
    <t>SCOPUS_ID:85122016228</t>
  </si>
  <si>
    <t>10.1016/j.amepre.2021.10.015</t>
  </si>
  <si>
    <t>Trend in Blood Pressure Control Post Antihypertensive Drug Initiation in the U.S.</t>
  </si>
  <si>
    <t>Introduction: The aim of this study is to evaluate the temporal trends in systolic blood pressure control over 18 months after blood pressureâ€’lowering drug initiation in the U.S. population. Methods: From U.S. nationally representative electronic health records, 1,036,775 adults initiating and continuing blood pressureâ€’lowering drugs for â‰¥18 months during 2006â€“2018 were identified (January 2021). Prevalence trends of cardiovascular disease, diabetes, and depression at blood pressureâ€’lowering drug initiation, blood pressureâ€’lowering drug therapy intensification over 18 months, and the adjusted probability of achieving systolic blood pressure control 6 months after baseline and sustaining the control for over 18 months were evaluated. Results: At blood pressureâ€’lowering drug initiation, the prevalence of diabetes and depression consistently increased during the study period across all age groups, particularly in those aged 18â€“49 years, whereas the prevalence of cardiovascular disease was stable. Adjusted probabilities of achieving sustainable systolic blood pressure control by age group were 0.62 (95% CI=0.61, 0.63) for ages 18â€“39 years, 0.55 (95% CI=0.55, 0.56) for ages 40â€“49 years, 0.50 (95% CI=0.49, 0.50) for ages 50â€“59 years, 0.43 (95% CI=0.42, 0.43) for ages 60â€“69 years, and 0.37 (95% CI=0.37, 0.38) for ages 70â€“80 years. Those with cardiovascular disease or cardiovascular disease and diabetes had approximately 20% lower adjusted probability of achieving systolic blood pressure control (31%/29%) than those without these conditions (52%, p&lt;0.01). Those with depression had a 4% higher probability of systolic blood pressure control than those without the condition (49% vs 45%, p&lt;0.01). Conclusions: In the U.S., only 30%â€“50% of the population are achieving sustainable blood pressure control over 18 months after blood pressureâ€’lowering drug initiation, with no indication of improvement in control over the last decade.</t>
  </si>
  <si>
    <t>SCOPUS_ID:0027506448</t>
  </si>
  <si>
    <t>10.1093/oxfordjournals.aje.a116691</t>
  </si>
  <si>
    <t>Trends in the incidence of outcomes defining acquired immunodeficiency syndrome (AIDS) in the multicenter AIDS cohort study: 1985-1991</t>
  </si>
  <si>
    <t>['Acquired immunodeficiency syndrome, epidemiologic methods', 'HIV-1', 'Lymphoma', 'Nervous system diseases, opportunistic infections', 'Pneumonia, Pneumocystis carinii', "Sarcoma, Kaposi's"]</t>
  </si>
  <si>
    <t>Incidence of clinical outcomes defining acquired immunodeficiency syndrome (AIDS) may be expected to change as a consequence of progressive immunosuppression and use of chemoprophylaxis before the onset of AIDS. Using Poisson regression methods, we examined trends in the incidence of initial and secondary AIDS-defining illnesses from 1985 to 1991 among 2,627 homosexual men participating in the Multicenter AIDS Cohort Study who were seropositive for human immunodeficiency virus type 1. The incidence of Pneumocystis carinii pneumonia rose steeply until 1987 but has declined since then (P &lt; 0.001), while the other AIDS-defining conditions have showed significant (P â‰¤ 0.039) upward trends. Trends for Kaposi's sarcoma, lymphoma, neurologic disease, and cytomegalovirus/herpes simplex virus infections were explained by progressive immunosuppression, but residual downward and upward trends were present for P. carinii pneumonia and other opportunistic infections (bacterial, fungal, and protozoal infections and wasting syndrome). Despite selection bias, those receiving P. carinii pneumonia chemoprophylaxis showed a significantly lower incidence of P. carinii pneumonia (relative risk = 0.32, 95% confidence interval 0.16-0.63), and the time trends of P. carinii pneumonia were explained by progressive immunosuppression and use of prophylaxis. No significant effects on all other diagnoses were seen in those selected to receive antiretroviral therapy. Secondary diagnoses showed a strongly significant (P &lt; 0.001) increase in non-P. carinii pneumonia and non-Kaposi's sarcoma among those with initial diagnoses of Kaposi's sarcoma. Overall, the trend observed in the incidence of other opportunistic infections underscores the need for developing and testing new strategies to curtail or delay the onset of these diseases. Â© 1993 by The Johns Hopkins University School of Hygiene and Public Health.</t>
  </si>
  <si>
    <t>SCOPUS_ID:56149122495</t>
  </si>
  <si>
    <t>10.1093/aje/kwn232</t>
  </si>
  <si>
    <t>Chronic particulate exposure, mortality, and coronary heart disease in the Nurses' Health Study</t>
  </si>
  <si>
    <t>['Air pollution', 'Cohort studies', 'Coronary disease', 'Environmental exposure', 'Incidence', 'Particulate matter', 'Risk factors']</t>
  </si>
  <si>
    <t>Adverse health effects of exposures to acute air pollution have been well studied. Fewer studies have examined effects of chronic exposure. Previous studies used exposure estimates for narrow time periods and were limited by the geographic distribution of pollution monitors. This study examined the association of chronic particulate exposures with all-cause mortality, incident nonfatal myocardial infarction, and fatal coronary heart disease (CHD) in a prospective cohort of 66,250 women from the Nurses' Health Study in northeastern US metropolitan areas. Nonfatal outcomes were assessed through self-report and medical record review and fatalities through death certificates and medical record review. During follow-up (1992-2002), 3,785 deaths and 1,348 incident fatal CHD and nonfatal myocardial infarctions occurred. In age- and calendar-time-adjusted models, 10-Î¼g/m3 increases in 12-month average exposures to particulate matter &lt;10 Î¼m in diameter were associated with increased all-cause mortality (16%, 95% confidence interval: 5, 28) and fatal CHD (43%, 95% confidence interval: 10, 86). Adjustment for body mass index and physical activity weakened these associations. Body mass index and smoking modified the association between exposure to particulate matter &lt;10 Î¼m in diameter and fatal CHD. In this population, increases in such exposures were associated with increases in all-cause and CHD mortality. Never smokers with higher body mass indexes were at greatest risk of fatal CHD. Â© The Author 2008. Published by the Johns Hopkins Bloomberg School of Public Health. All rights reserved.</t>
  </si>
  <si>
    <t>SCOPUS_ID:0030723740</t>
  </si>
  <si>
    <t>10.1093/oxfordjournals.aje.a009327</t>
  </si>
  <si>
    <t>Lycopene and myocardial infarction risk in the EURAMIC study</t>
  </si>
  <si>
    <t>['Adipose tissue', 'Carotene', 'Carotenoids', 'Myocardial infarction']</t>
  </si>
  <si>
    <t>A multicenter case-control study was conducted to evaluate the relations between antioxidant status assessed by biomarkers and acute myocardial infarction. Incidence cases and frequency matched controls were recruited from 10 European countries to maximize the variance in exposure within the study. Adipose tissue needle aspiration biopsies were taken shortly after the infarction and analyzed for levels of carotenoids and tocopherols. An examination of colinearity including all covariates and the three carotenoids, Î±-carotene, Î²-carotene, and lycopene, showed that the variables were sufficiently independent to model simultaneously. When examined singularly, each of the carotenoids appeared to be protective. Upon simultaneous analyses of the carotenoids, however, using conditional logistic regression models that controlled for age, body mass index, socioeconomic status, smoking, hypertension, and maternal and paternal history of disease, lycopene remained independently protective, with an odds ratio of 0.52 for the contrast of the loth and 90th percentiles (95% confidence interval 0.33- 0.82, p = 0.005). The associations for Î±- and Î²-carotene were largely eliminated. We conclude that lycopene, or some substance highly correlated which is in a common food source, may contribute to the protective effect of vegetable consumption on myocardial infarction risk.</t>
  </si>
  <si>
    <t>Russian Federation</t>
  </si>
  <si>
    <t>SCOPUS_ID:79551705779</t>
  </si>
  <si>
    <t>10.1093/aje/kwq380</t>
  </si>
  <si>
    <t>Alternative methods of accounting for underreporting and overreporting when measuring dietary intake-obesity relations</t>
  </si>
  <si>
    <t>['body mass index', 'energy intake', 'fruit', 'obesity', 'vegetables']</t>
  </si>
  <si>
    <t>Misreporting characterized by the reporting of implausible energy intakes may undermine the valid estimation of diet-disease relations, but the methods to best identify and account for misreporting are unknown. The present study compared how alternate approaches affected associations between selected dietary factors and body mass index (BMI) by using data from the European Prospective Investigation Into Cancer and Nutrition-Spain. A total of 24,332 women and 15,061 men 29-65 years of age recruited from 1992 to 1996 for whom measured height and weight and validated diet history data were available were included. Misreporters were identified on the basis of disparities between reported energy intakes and estimated requirements calculated using the original Goldberg method and 2 alternatives: one that substituted basal metabolic rate equations that are more valid at higher BMIs and another that used doubly labeled water-predicted total energy expenditure equations. Compared with results obtained using the original method, underreporting was considerably lower and overreporting higher with alternative methods, which were highly concordant. Accounting for misreporters with all methods yielded diet-BMI relations that were more consistent with expectations; alternative methods often strengthened associations. For example, among women, multivariable-adjusted differences in BMI for the highest versus lowest vegetable intake tertile (Î² = 0.37 (standard error, 0.07)) were neutral after adjusting with the original method (Î² = 0.01 (standard error, 07)) and negative using the predicted total energy expenditure method with stringent cutoffs (Î² = -0.15 (standard error, 0.07)). Alternative methods may yield more valid associations between diet and obesity-related outcomes. Â© 2011 The Author.</t>
  </si>
  <si>
    <t>SCOPUS_ID:85084966755</t>
  </si>
  <si>
    <t>10.1016/j.amepre.2020.03.001</t>
  </si>
  <si>
    <t>Delayed Homelessness After Military Discharge: Examination of a Sleeper Effect</t>
  </si>
  <si>
    <t>Introduction: Addressing veteran homelessness is a major federal priority, but there has been little research on the period between military discharge and homelessness. There are public concerns about new waves of homelessness among recent veterans and questions about a possible sleeper effect, that is, a delayed risk that becomes stronger with time. Methods: Data from 2 national samples were analyzed: Department of Veterans Affairs administrative records of a population-based sample of 275,775 homeless Department of Veterans Affairs service users in 2000â€“2019 and a nationally representative community survey of 115 veterans with a history of homelessness conducted in 2018. Results: In the Department of Veterans Affairs sample, the average time between discharge and homelessness was 5.5 (SD=4.2) years. In the community veteran sample, the average time between discharge and homelessness was 9.9 (SD=10.5) years. Service in Iraq and Afghanistan was significantly associated with shorter duration between discharge and homelessness. Service in Vietnam, younger age at military discharge, more chronic medical conditions, depression, and alcohol use problems were associated with longer interval between discharge and homelessness. Among homeless service users who were discharged from 2000 to 2003, the rate of homelessness doubled between 10 and 15 years after discharge. Similarly, among those discharged from 2009 to 2013, the rate of homelessness more than doubled between 2 and 5 years after discharge. Conclusions: There appears to be a sleeper effect in veteran homelessness after military discharge. The primary and secondary preventions focused on chronic health conditions, and social adjustment may be needed to address homelessness among recent veterans.</t>
  </si>
  <si>
    <t>SCOPUS_ID:34347243565</t>
  </si>
  <si>
    <t>10.1136/jech.2006.046706</t>
  </si>
  <si>
    <t>Helicobacter pylori colonisation and eczema</t>
  </si>
  <si>
    <t>The hygiene hypothesis postulates that the increase in atopic diseases may in part be due to diminished exposure to microorganisms. But it is unknown which type of infection does render protection. An epidemiological study was conducted in Leipzig, Germany, and its rural county, involving 3347 school starters. Two types of infection were considered: (1) gastrointestinal colonisation (Helicobacter pylori detection using in vivo [13C] urea breath test) and (2) respiratory infections (physician-diagnosed lower (bronchitis) and upper (common cold) respiratory infections). H pylori colonisation was selected because it is very common and plays an important role in gastrointestinal disorders. Atopic eczema was selected as the (allergic) target variable because of its high frequency in the age of the study participants. The results, adjusted for relevant confounders, showed a significant inverse association between H pylori infection and eczema (adjusted odds ratio (aOR) = 0.31, p = 0.006) in children not predisposed to atopy. In contrast, bronchitis increased the risk of eczema (aOR = 1.98, p&lt;0.001). Bacterial digestive tract colonisation (infection) seems to protect against eczema in comparison with the effect of respiratory tract infections. The hygiene hypothesis may be better explained when gastrointestinal and respiratory infections are subtly differentiated.</t>
  </si>
  <si>
    <t>SCOPUS_ID:73149116835</t>
  </si>
  <si>
    <t>10.1016/j.ypmed.2009.08.020</t>
  </si>
  <si>
    <t>Parks and physical activity: Why are some parks used more than others?</t>
  </si>
  <si>
    <t>['Parks', 'Physical activity', 'Population', 'Programming', 'Safety']</t>
  </si>
  <si>
    <t>Objective: To assess how park characteristics and demographic factors are associated with park use. Methods: We studied a diverse sample of parks in a Southern California metropolitan area in 2006-2008 representing a variety of racial and ethnic communities of different socioeconomic strata. We surveyed 51 park directors, 4257 park users and local residents, and observed 30 parks. We explored relationships among the number of people observed, the number of park programs offered, number of organized activities observed, park size, existence of park advisory board, perceptions of safety, and population density and characteristics. Results: The strongest correlates of the number of people using the park were the park size and the number of organized activities observed. Neighborhood population density, neighborhood poverty levels, perceptions of park safety, and the presence of a park advisory board were not associated with park use. Conclusion: While perceptions of low safety have been considered a barrier to park use, perceptions of high safety do not appear to facilitate park use. Having events at the park, including sports competitions and other attractions, appears to be the strongest correlate of park use and community-level physical activity. Â© 2009 Elsevier Inc. All rights reserved.</t>
  </si>
  <si>
    <t>SCOPUS_ID:84901938888</t>
  </si>
  <si>
    <t>10.1136/jech-2013-203719</t>
  </si>
  <si>
    <t>Association of paternal IQ in early adulthood with offspring mortality and hospital admissions for injuries: A cohort study of 503 492 Swedish children</t>
  </si>
  <si>
    <t>Background: Higher intelligence (IQ) has been related to a lower risk of mortality and hospital admissions for injuries, but little is known about the effect of parental IQ on offspring outcomes. We explored associations of paternal IQ with mortality and hospitalisations for injuries from all external causes in offspring. Methods: A cohort of 503 492 Swedish children under 5 years of age with information on paternal IQ was obtained by record linkage of national registers. HR with 95% CIs were estimated using Cox regression. Results: There was some evidence that paternal IQ was inversely associated with total and external-cause mortality in offspring, although the effects were modest and disappeared when controlling for parents' socioeconomic position (SEP). The only robust gradient was found between paternal IQ and hospital admissions for injuries (HRper 1-SD increase in IQ 0.93, 95% CI 0.92 to 0.94; p&lt;0.001), which was slightly attenuated but retained statistical significance after adjustment for SEP (0.95, 95% CI 0.94 to 0.97; p&lt;0.001). Conclusions: Children to fathers with lower IQ may have an increased risk of injury by external causes. Messages on family safety and injury prevention might be tailored according to parental cognitive abilities.</t>
  </si>
  <si>
    <t>SCOPUS_ID:0032750226</t>
  </si>
  <si>
    <t>10.1023/A:1007621514757</t>
  </si>
  <si>
    <t>Second manifestations of ARTerial disease (SMART) study: Rationale and design</t>
  </si>
  <si>
    <t>['Atherosclerosis', 'Cardiovascular disease', 'Cohort study', 'Risk factors', 'Secondary prevention']</t>
  </si>
  <si>
    <t>The Second Manifestations of ARTerial disease (SMART) study is a single- centre prospective cohort study among patients, newly referred to the hospital with (1) clinically manifest atherosclerotic vessel disease, or (2) marked risk factors for atherosclerosis. The first objectives of the SMART study are to determine the prevalence of concomitant arterial disease at other sites, and risk factors in patients presenting with a manifestation of arterial disease or vascular risk factor and to study the incidence of future cardiovascular events and its predictors in these high-risk patients. At least 1000 patients, aged 18 to 80 years, will undergo baseline examinations, including a questionnaire on cardiovascular disease, height, weight and blood pressure measurements, blood tests for glucose, lipids, creatinine and homocysteine, urinary tests for microproteinuria, resting twelve-lead electrocardiogram, ultrasound scanning of the abdominal aorta, kidneys and the carotid arteries, measurements of common carotid intima-media thickness and arterial stiffness, and a treadmill test to assess atherosclerosis of the leg arteries. Abnormal findings are reported to the treating specialist and general practitioner with a treatment suggestion according to current practice guidelines. Recruitment and baseline examinations began in September 1996. All cohort members will be followed for clinical cardiovascular events for a minimum of three years. In the scope of secondary prevention, the study is expected to support the design of solid based screening and treatment programmes and evidence-based cardiovascular medicine to reduce morbidity and mortality, and improve quality of life, in high-risk patients.</t>
  </si>
  <si>
    <t>SCOPUS_ID:84949553579</t>
  </si>
  <si>
    <t>10.1136/jech-2015-205728</t>
  </si>
  <si>
    <t>Spatial social polarisation: Using the Index of Concentration at the Extremes jointly for income and race/ethnicity to analyse risk of hypertension</t>
  </si>
  <si>
    <t>Background Growing spatial social and economic polarisation may be an important societal determinant of health, but only a few studies have used the recently developed Index of Concentration at the Extremes (ICE) to analyse the impact of joint concentrations of privilege and privation on health outcomes. We explore use of the ICE to investigate risk of hypertension in an urban, multiracial/ethnic, and predominantly working-class study population of US adults. Methods We generated novel ICE measures at the census tract level that jointly assess extreme concentrations of both income and racial/ethnic composition. We then linked the ICE measures to data from two observational, cross-sectional studies conducted in the Boston metropolitan area (2003-2004; 2008-2010; N=2145). Results The ICE measure for extreme concentrations of white compared with black residents was independently associated with lower odds of hypertension (OR=0.76; 95% CI 0.62 to 0.93), controlling for race/ethnicity, age, gender, smoking, body mass index, household income, education and self-reported exposure to racial discrimination. Even stronger associations were observed for the ICE measures that compared concentrations of high-income white residents versus low-income residents of colour (OR=0.61; 95% CI 0.40 to 0.96) and highincome white versus low-income black residents (OR=0.48; 95% CI 0.29 to 0.81). Conclusions Results suggest public health studies should explore the joint impact of racial/ethnic and economic spatial polarisation on population health.</t>
  </si>
  <si>
    <t>SCOPUS_ID:84950275878</t>
  </si>
  <si>
    <t>10.1093/aje/kwv217</t>
  </si>
  <si>
    <t>A Prospective Study of Mortality and Trauma-Related Risk Factors Among a Nationally Representative Sample of Vietnam Veterans</t>
  </si>
  <si>
    <t>['combat stress', 'mortality', 'posttraumatic stress disorder', 'public health', 'trauma', 'veterans']</t>
  </si>
  <si>
    <t>Because Vietnam veterans comprise the majority of all living veterans and most are now older adults, the urgency and potential value of studying the long-term health effects of service in the Vietnam War, including effects on mortality, is increasing. The present study is the first prospective mortality assessment of a representative sample of Vietnam veterans. We used one of the longest follow-up periods to date (spanning older adulthood) and conducted one of the most comprehensive assessments of potential risk factors. Vital status and cause of death were ascertained for the 1,632 veterans who fought in the Vietnam theater (hereafter referred to as theater veterans) and for 716 Vietnam War-era veterans (hereafter referred to as era veterans) who participated in the National Vietnam Veterans Readjustment Study (1987-2011). As of April 2011, 16.0% (95% confidence interval: 13.1, 19.0) of all Vietnam veterans who were alive in the 1980s were deceased. Male theater veterans with a high probability of posttraumatic stress disorder (PTSD) were nearly 2 times more likely to have died than were those without PTSD, even after adjustment for sociodemographic and other characteristics. A high level of exposure to war zone stress was independently associated with mortality for both male and female theater veterans after adjustment for sociodemographic characteristics, PTSD, and physical comorbid conditions. Theater veterans with a high level of exposure to war zone stress and a high probability of PTSD had the greatest mortality risk (adjusted hazard ratio = 2.34, 95% confidence interval: 1.24, 4.43).</t>
  </si>
  <si>
    <t>SCOPUS_ID:85017097853</t>
  </si>
  <si>
    <t>10.1093/ije/dyw341</t>
  </si>
  <si>
    <t>Robust causal inference using directed acyclic graphs: The R package 'dagitty'</t>
  </si>
  <si>
    <t>Directed acyclic graphs (DAGs), which offer systematic representations of causal relationships, have become an established framework for the analysis of causal inference in epidemiology, often being used to determine covariate adjustment sets for minimizing confounding bias. DAGitty is a popular web application for drawing and analysing DAGs. Here we introduce the R package 'dagitty', which provides access to all of the capabilities of the DAGitty web application within the R platform for statistical computing, and also offers several new functions. We describe how the R package 'dagitty' can be used to: evaluate whether a DAG is consistent with the dataset it is intended to represent; enumerate 'statistically equivalent' but causally different DAGs; and identify exposureoutcome adjustment sets that are valid for causally different but statistically equivalent DAGs. This functionality enables epidemiologists to detect causal misspecifications in DAGs and make robust inferences that remain valid for a range of different DAGs. The R package 'dagitty' is available through the comprehensive R archive network (CRAN) at [https://cran.r-project.org/web/packages/dagitty/]. The source code is available on github at [https://github.com/jtextor/dagitty]. The web application 'DAGitty' is free software, licensed under the GNU general public licence (GPL) version 2 and is available at [http:// dagitty.net/].</t>
  </si>
  <si>
    <t>SCOPUS_ID:84980416210</t>
  </si>
  <si>
    <t>10.1097/EDE.0000000000000541</t>
  </si>
  <si>
    <t>Carryover effects in sibling comparison designs</t>
  </si>
  <si>
    <t>A convenient way of dealing with confounding is the sibling comparison design, where the outcome in exposed individuals is compared with the outcome in their unexposed siblings. The standard analysis of sibling comparison designs assumes that the exposure and outcome of an individual do not affect the exposure and outcome of his/her siblings, sometimes referred to as an absence of sibling carryover or contagion effects. Unfortunately, there are many situations where carryover effects are likely to be present. In this article, we explore the consequences of carryover effects for sibling comparison designs. We show, using causal diagrams, when and why carryover effects lead to bias, and we investigate the sign and magnitude of this bias under various scenarios.</t>
  </si>
  <si>
    <t>SCOPUS_ID:84885855198</t>
  </si>
  <si>
    <t>10.1016/j.ypmed.2013.08.021</t>
  </si>
  <si>
    <t>Patient knowledge and beliefs as barriers to extending cervical cancer screening intervals in Federally Qualified Health Centers</t>
  </si>
  <si>
    <t>['Cervical cancer screening', 'Early detection of cancer', 'Healthcare disparities', 'Patient acceptance of health care', 'Patient compliance']</t>
  </si>
  <si>
    <t>Objective: Despite guidelines recommending cervical cancer screening intervals be extended beyond one year, clinical practice has been slow to change. Patient preferences are a potential barrier. In the Centers for Disease Control's Cervical Cancer (Cx3) Study at Federally Qualified Health Centers (FQHCs) across Illinois, we surveyed patients about screening practices, and assessed beliefs regarding lengthening screening intervals. Method: We analyzed data from 984 low income women in the Cx3 Study (2009-2011). Participants completed a survey assessing health history, knowledge about Pap testing, beliefs and intentions about extending screening intervals, and demographics. Results: The majority reported annual Pap testing (61%), while only 24% reported a 2-3. year screening interval (recommendation at time of survey). Misunderstandings about the Pap test were prevalent, with over half believing it screened for vaginal, yeast, and sexually transmitted infections (58%-72%). Unfavorable beliefs about extending screening intervals were common. The majority (57%) indicated that they would not wait 3. years to be screened if their physician recommended it, and intentions were associated with knowledge about Pap testing. Conclusion: Most women reported annual cervical cancer screening, and intended to resist longer screening intervals. Patients' lack of knowledge and unfavorable beliefs may serve as barriers to extending screening intervals. Â© 2013.</t>
  </si>
  <si>
    <t>SCOPUS_ID:84949724443</t>
  </si>
  <si>
    <t>10.1016/j.amepre.2015.06.030</t>
  </si>
  <si>
    <t>Sustained Waterpipe Tobacco Smoking and Trends over Time</t>
  </si>
  <si>
    <t>Introduction Use of waterpipe tobacco smoking (WTS) is now prevalent among U.S. adolescents. However, the more clinically relevant questions are whether users exhibit sustained patterns of use and whether use is increasing over time relative to other tobacco products. We aimed to examine factors associated with sustained WTS among U.S. adolescents and to compare prevalence trends between WTS and other tobacco products. Methods The Monitoring the Future project began assessing WTS among 12th-grade students in 2010. In 2014, we conducted multivariable regression analyses to examine correlates of sustained WTS, which we defined as use at least six times in the past 12 months. We used trend analysis to compare use of WTS and other types of tobacco. Results Of the 8,737 participants queried from 2010 to 2013, 18.8% (1,639) reported past-year WTS, whereas 7.2% (627) reported sustained use. Sustained WTS was inversely associated with female sex (versus male, OR=0.78, 95% CI=0.63, 0.96); African American race (versus Caucasian, OR=0.26, 95% CI=0.14, 0.48); and increased number of parents in the home (p&lt;0.001). Sustained WTS was positively associated with increased school-level parental education (p=0.002); lower grades (p=0.005); truancy (p&lt;0.001); lower religiosity (p&lt;0.001); more evenings out per week (p&lt;0.001); and dating (p=0.03). Visual inspection and non-overlapping CIs suggest that both past-year and sustained WTS are significantly increasing relative to cigarette use but not small cigar use. Conclusions Given the prevalence of sustained WTS and indications of its increase over time, it should be included in efforts related to tobacco surveillance and intervention.</t>
  </si>
  <si>
    <t>SCOPUS_ID:2542467881</t>
  </si>
  <si>
    <t>10.2105/AJPH.94.6.996</t>
  </si>
  <si>
    <t>Hepatitis A incidence and hepatitis A vaccination among American Indians and Alaska Natives, 1990-2001</t>
  </si>
  <si>
    <t>Objectives. We assessed the effect on trends in hepatitis A incidence of the 1996 recommendation for routine hepatitis A vaccination of American Indian/Alaska Native (AIAN) children. Methods. We examined trends in hepatitis A incidence among AIAN peoples during 1990-2001 and vaccination coverage levels among children on the largest American Indian reservation. Results. Hepatitis A rates among AIANs declined 20-fold during 1997-2001. Declines in hepatitis A incidence occurred among AIANs in reservation and metropolitan areas. Among 1956 children living on the Navajo Nation whose medical records were reviewed, 1508 (77.1%) had received at least one dose of hepatitis A vaccine, and 1020 (52.1%) had completed the vaccine series. Conclusions. Hepatitis A rates among AIAN peoples have declined dramatically coincident with implementation of routine hepatitis A vaccination of AIAN children.</t>
  </si>
  <si>
    <t>SCOPUS_ID:85082728040</t>
  </si>
  <si>
    <t>10.1016/j.ypmed.2020.106063</t>
  </si>
  <si>
    <t>Higher education associated with better national tetanus vaccination coverage: A population-based assessment</t>
  </si>
  <si>
    <t>['Education', 'Public Health', 'Tetanus', 'Vaccine']</t>
  </si>
  <si>
    <t>Vaccination coverage among United States (U.S.) adults for tetanus continues to be lower than the national goals. Education has demonstrated a positive impact on vaccination coverage. However, recently there have been outbreaks of vaccine preventable conditions in areas with high college completion rates. This study assessed the relationship between education and tetanus vaccination. Data from the 2016 Behavioral Risk Factor Surveillance System (BRFSS), a self-reported annual survey for non-institutionalized adults in the US from the Centers for Disease Control, was analyzed in 2019. The outcome was up-to-date tetanus vaccination if received within the last 10 years. Education was categorized into 1) grade 11 or less, 2) grade 12/GED, 3) college 1â€“3 years, and 4) college 4 or more years. Bivariate analyses and multivariable logistic regression were conducted on the analytic sample (n = 417,473) using Stata 15, accounting for weighting and the complex survey design. In 2016, 59.9% of U.S. adults had up-to-date tetanus vaccination. Higher education level was associated with increased odds of up-to-date tetanus vaccination. The highest odds were for those with 4 or more years of college education [aOR = 1.31; 95% (CI: 1.26â€“1.35)]. Female sex, Black (non-Hispanic), unemployed, not being married, not having insurance or a personal health care provider, and above 45 years of age had lower odds of up-to-date tetanus vaccination. Targeted community specific vaccination education programs for those without tertiary education may help enhance the knowledge and thus the overall vaccination status in the U.S.</t>
  </si>
  <si>
    <t>SCOPUS_ID:68449091255</t>
  </si>
  <si>
    <t>10.1093/eurpub/ckp033</t>
  </si>
  <si>
    <t>Social vulnerability and unmet preventive care needs in outpatients of two French public hospitals</t>
  </si>
  <si>
    <t>['Health inequalities', 'Healthcare use', 'Prevention', 'Social vulnerability']</t>
  </si>
  <si>
    <t>Background: Outpatients attending consultations at public hospitals may have unmet needs for preventive medical care. This study aimed to identify and assess the association between these needs, social vulnerability and mode of healthcare use. Methods: In a multicentre epidemiological study, a group of socially vulnerable outpatients, was compared with a non-vulnerable group in a sample of 1316 outpatients selected in hospital consultations, using a validated tool for detection of social vulnerability. Before the patient was seen by medical staff, investigators collected data on social characteristics, healthcare use and preventive medical care received (interventions, advice). Results: More than 75 of outpatients stated that they were regularly followed by a physician, usually a general practitioner, but fewer vulnerable than non-vulnerable outpatients were followed (77 vs. 89, P &lt; 10-3). For the majority of preventive interventions (vaccinations, screening for cardiovascular risk factors, gynaecological cancers), vulnerable outpatients presented a more marked shortage than non-vulnerable patients, but there was an overall shortage in both groups. When recommended preventive interventions had not been delivered, they had rarely been offered in either group. After adjustment for mode of healthcare use, the differences in preventive care received persisted to the disadvantage of vulnerable outpatients with regard to technical preventive interventions, but there was no difference between the two groups regarding advice received to reduce risk behaviours. Conclusion: Unmet needs for preventive care primarily resulted from social inequalities in secondary access to such care. It may be necessary to set up specific interventions targeting vulnerable patients within hospital consultations.</t>
  </si>
  <si>
    <t>SCOPUS_ID:0033979039</t>
  </si>
  <si>
    <t>10.2105/AJPH.90.2.188</t>
  </si>
  <si>
    <t>Thinking about vaginal microbicide testing</t>
  </si>
  <si>
    <t>A vaginal microbicide could slow the spread of HIV. To date, volunteers in placebo-controlled trials of candidate microbicides have been counseled to use condoms. This does not reduce the number of volunteers expose to possible risk, but it shifts the allotment of risk from those conducting the trial to those women who may be to make autonomous decisions. Alternative ways of meeting the obligation to offer volunteers active benefits are explored. Counseling the use of condoms prolongs clinical trials and could cause tens of thousands of otherwise avoidable deaths.</t>
  </si>
  <si>
    <t>SCOPUS_ID:65249147731</t>
  </si>
  <si>
    <t>10.1093/aje/kwp012</t>
  </si>
  <si>
    <t>Validity of maternal recall of preschool diet after 43 years</t>
  </si>
  <si>
    <t>['Child', 'Data collection', 'Diet', 'Epidemiologic methods', 'Mental recall', 'Mothers', 'Questionnaires', 'Validation studies as topic']</t>
  </si>
  <si>
    <t>Validation of early childhood diet recalls by surrogate responders decades later has not been possible because of a lack of diet records from the distant past. Between 1948 and 1970, parents of children participating in the Fels Longitudinal Study (Kettering, Ohio) completed a 7-day diet record for their children every year from birth to age 18 years. In 2005-2006, all surviving women (n=59) with a child aged 3-5 years when diet records had been collected were asked to complete a 42-item food frequency questionnaire (FFQ) pertaining to 1 of their children's diets at age 3-5 years. One or more diet records were available for 48 children. The authors calculated Spearman correlation coefficients for correlations between food, food-group, and nutrient intakes from the diet records and the FFQ and deattenuated them to account for the effects of within-person variation in the diet records on the association. For foods, the median deattenuated correlation coefficient was 0.19 (range, -0.31 to 0.85); moderate-to-high correlations were found for some specific foods. Correlations for food groups were slightly higher (median, 0.27; range, -0.14 to 0.85). Correlations for nutrient intakes were consistently low (median, 0.06; range, -0.35 to 0.27). Overall, the FFQ did not validly reflect overall preschool diet when completed by mothers 4 decades later.</t>
  </si>
  <si>
    <t>SCOPUS_ID:85097398368</t>
  </si>
  <si>
    <t>10.1136/jech-2020-214063</t>
  </si>
  <si>
    <t>Feasibility and validity of using death surveillance data and SmartVA for fact and cause of death in clinical trials in rural China: A substudy of the China salt substitute and stroke study (SSaSS)</t>
  </si>
  <si>
    <t>['death certification', 'mortality', 'outcome research evaluation', 'randomised trials', 'surveillance']</t>
  </si>
  <si>
    <t>Background In rural China, mortality surveillance data may be an alternative to primary data collection in clinical trials; SmartVA (verbal autopsy) is also a potential alternative for endpoint adjudication. The feasibility and validity of both need to be assessed. Methods We used mortality data from the first 24 months of the China Salt Substitute and Stroke Study (SSaSS) trial and assessed the agreement between (1) mortality surveillance data and face-to-face visits for fact of death; (2) mortality surveillance data and SSaSS adjudication for causes of death; (3) SmartVA and SSaSS adjudication for causes of death; (4) cause-specific mortality fraction of different methods. Face-to-face visits and SSaSS adjudication were taken as reference methods. The agreement was measured by sensitivity, specificity and positive predictive value (PPV) across different 10th Revision of International Statistical Classification of Diseases chapters. Results One thousand three hundred and sixty-five deaths were included. Mortality surveillance data had 82% sensitivity for fact of death and 81% sensitivity for causes of death, with substantial variances across different disease types and reasonable quality for circulatory death (91% sensitivity and 94% PPV). The sensitivity of SmartVA for causes of death was 61%, with reasonable quality for deaths of external causes of morbidity (90% sensitivity). The leading causes of death from different sources were the same with some variances in the fractions. Conclusion Using mortality surveillance data for fact of death in clinical trials need to account for under-reporting. A face-to-face visit to all participants at the completion of trials may be warranted. Neither mortality surveillance data nor SmartVA provided valid data source for endpoint events.</t>
  </si>
  <si>
    <t>SCOPUS_ID:85124158582</t>
  </si>
  <si>
    <t>10.1016/j.ypmed.2022.106977</t>
  </si>
  <si>
    <t>Physical activity intensity profiles associated with cardiometabolic risk in middle-aged to older men and women</t>
  </si>
  <si>
    <t>['Accelerometer', 'Adiposity', 'Adults', 'Cardiometabolic', 'Cardiovascular disease', 'Collinearity', 'Diabetes', 'Multivariate pattern analysis', 'Physical activity', 'Sedentary']</t>
  </si>
  <si>
    <t>Accelerometers provide detailed data about physical activity (PA) across the full intensity spectrum. However, when examining associations with health, results are often aggregated to only a few summary measures [e.g. time spent â€œsedentaryâ€ or â€œmoderate-to-vigorousâ€ intensity PA]. Using multivariate pattern analysis, which can handle collinear exposure variables, we examined associations between the full PA intensity spectrum and cardiometabolic risk (CMR) in a population-based sample of middle-aged to older adults. Participants (n = 3660; mean Â± SD age = 69 Â± 8y and BMI = 26.7 Â± 4.2 kg/m2; 55% female) from the EPIC-Norfolk study (UK) with valid accelerometry (ActiGraph-GT1M) data were included. We used multivariate pattern analysis with partial least squares regression to examine cross-sectional multivariate associations (r) across the full PA intensity spectrum [minutes/day at 0â€“5000 counts-per-minute (cpm); 5 s epoch] with a continuous CMR score (reflecting waist, blood pressure, lipid, and glucose metabolism). Models were sex-stratified and adjusted for potential confounders. There was a positive (detrimental) association between PA and CMR at 0-12 cpm (maximally-adjusted r = 0.08 (95%CI 0.06â€“0.10). PA was negatively (favourably) associated with CMR at all intensities above 13 cpm ranging between r = âˆ’0.09 (0.07â€“0.12) at 800-999 cpm and r = âˆ’0.14 (0.11â€“0.16) at 75â€“99 and 4000-4999 cpm. The strongest favourable associations were from 50 to 800 cpm (r = 0.10â€“0.12) in men, but from â‰¥2500 cpm (r = 0.18â€“0.20) in women; with higher proportions of model explained variance for women (R2 = 7.4% vs. 2.3%). Most of the PA intensity spectrum was beneficially associated with CMR in middle-aged to older adults, even at intensities lower than what has traditionally been considered â€œsedentaryâ€ or â€œlight-intensityâ€ activity. This supports encouragement of PA at almost any intensity in this age-group.</t>
  </si>
  <si>
    <t>SCOPUS_ID:85011785098</t>
  </si>
  <si>
    <t>10.1136/jech-2016-207402</t>
  </si>
  <si>
    <t>Long-term excess mortality associated with diabetes following acute myocardial infarction: A population-based cohort study</t>
  </si>
  <si>
    <t>Background The long-term excess risk of death associated with diabetes following acute myocardial infarction is unknown. We determined the excess risk of death associated with diabetes among patients with STelevation myocardial infarction (STEMI) and non-STEMI (NSTEMI) after adjustment for comorbidity, risk factors and cardiovascular treatments. Methods Nationwide population-based cohort (STEMI n=281 259 and NSTEMI n=422 661) using data from the UK acute myocardial infarction registry, MINAP, between 1 January 2003 and 30 June 2013. Age, sex, calendar year and country-specific mortality rates for the populace of England and Wales (n=56.9 million) were matched to cases of STEMI and NSTEMI. Flexible parametric survival models were used to calculate excess mortality rate ratios (EMRR) after multivariable adjustment. This study is registered at ClinicalTrials.gov (NCT02591576). Results Over 1.94 million person-years follow-up including 120 568 (17.1%) patients with diabetes, there were 187 875 (26.7%) deaths. Overall, unadjusted (all cause) mortality was higher among patients with than without diabetes (35.8% vs 25.3%). After adjustment for age, sex and year of acute myocardial infarction, diabetes was associated with a 72% and 67% excess risk of death following STEMI (EMRR 1.72, 95% CI 1.66 to 1.79) and NSTEMI (1.67, 1.63 to 1.71). Diabetes remained significantly associated with substantial excess mortality despite cumulative adjustment for comorbidity (EMRR 1.52, 95% CI 1.46 to 1.58 vs 1.45, 1.42 to 1.49), risk factors (1.50, 1.44 to 1.57 vs 1.33, 1.30 to 1.36) and cardiovascular treatments (1.56, 1.49 to 1.63 vs 1.39, 1.36 to 1.43). Conclusions At index acute myocardial infarction, diabetes was common and associated with significant long-term excess mortality, over and above the effects of comorbidities, risk factors and cardiovascular treatments.</t>
  </si>
  <si>
    <t>SCOPUS_ID:85185531973</t>
  </si>
  <si>
    <t>10.1016/j.ypmed.2024.107888</t>
  </si>
  <si>
    <t>Cervical cancer screening activity in the Capital Region of Denmark before, during and after the COVID-19 pandemic</t>
  </si>
  <si>
    <t>['Cervical cancer screening', 'COVID-19', 'HPV', 'HPV self-sampling', 'Opportunistic screening', 'Participation']</t>
  </si>
  <si>
    <t>Objective: Denmark went through various COVID-19 pandemic restrictions including periodic lockdowns from March 2020 to January 2022. All cancer screening programs were kept operational, yet access to clinicians for cervical screening was at times limited. We assessed the impact of the pandemic on cervical cancer screening activity in the Capital Region of Denmark. Methods: Cervical screening activity was defined as regular screening by invitation, opportunistic screening, and screening participation by HPV self-sampling. Activity was monitored during and post-pandemic and compared relatively to a 3-year pre-pandemic reference. Results and conclusions: The activity of cervical cancer screening was initially affected by the pandemic lockdowns, but increased activity during summer 2020 partly compensated this effect. Regular screening activity decreased 8.4% in 2020 and returned to pre-pandemic levels in 2021. During 2022 restrictions were removed and the decrease in activity was recorded to be 2.3%. Opportunistic screening activity was reduced by 14.3% in 2020 and 12.6% in 2021. A continued post-pandemic opportunistic screening activity reduction of 18.5% was observed, possibly related to changed patterns of primary health care use introduced during the pandemic. Screening by HPV self-sampling increased from 17.1% in the pre-pandemic period to 21.2% during the pandemic. Significantly more acceptance was recorded amongst older women (p &lt; 0.0001). This increase mirrors the decrease in total clinician collected sample activity during the pandemic, where an increased reduction by age was observed. Post-pandemic HPV self-sampling participation decreased to 12.8%, possible reflecting a temporarily changed composition and motivation in the group of women invited for self-sampling.</t>
  </si>
  <si>
    <t>SCOPUS_ID:85173652220</t>
  </si>
  <si>
    <t>10.1016/j.ypmed.2023.107724</t>
  </si>
  <si>
    <t>Longitudinal associations between self-reported sleep duration and cardiometabolic disease risk in corporate executives</t>
  </si>
  <si>
    <t>['Employees', 'Health promotion', 'Health risk assessment', 'Longitudinal study', 'Sleep quantity', 'Workplace']</t>
  </si>
  <si>
    <t>Objective: This study aimed to determine the longitudinal associations between self-reported sleep duration and cardiometabolic disease (CMD) risk in corporate executives. Methods: Self-reported sleep duration and lifestyle, occupational, psychological, and anthropometrical, blood pressure and blood marker variables were obtained from 1512 employees at annual health risk assessments in South Africa between 2016 and 2019. Gender-stratified linear mixed models, adjusting for age, lifestyle, occupational and psychological covariates were used to explore these longitudinal associations. Results: Among women, shorter sleep duration was associated with higher body mass index (BMI) covarying for age only (ÃŸ with 95% confidence intervals: âˆ’0.19 [âˆ’0.36, âˆ’0.03]), age and occupational factors (âˆ’0.20 [âˆ’0.36, âˆ’0.03]) and age and psychological factors (âˆ’0.20 [âˆ’0.37, âˆ’0.03]). Among men, shorter sleep was associated with both BMI and waist circumference (WC) covarying for age only (BMI: âˆ’0.15 [âˆ’0.22; âˆ’0.08]; WC: âˆ’0.62 [âˆ’0.88; âˆ’0.37]); age and lifestyle factors (BMI: âˆ’0.12 [âˆ’0.21; âˆ’0.04]); WC: âˆ’0.016 [âˆ’0.92; âˆ’0.29], age and occupational factors (BMI: âˆ’0.20 [âˆ’0.22; 0.08]; WC: âˆ’0.62 [âˆ’0.88; âˆ’0.36]), and age and psychological factors (BMI: âˆ’0.15 [âˆ’0.22; âˆ’0.07]; WC: âˆ’0.59 [âˆ’0.86; âˆ’0.33]). Among men, shorter sleep was also longitudinally associated with higher CMD risk scores in models adjusted for age and lifestyle factors (CMD: âˆ’0.12 [âˆ’0.20; âˆ’0.04]) and age and psychological factors (CMD: âˆ’0.08 [âˆ’0.15; âˆ’0.01]). Conclusion: Corporate executives who report shorter sleep durations may present with poorer CMD risk profiles, independent of age, lifestyle, occupational and psychological factors. Addressing sleep health in workplace health programmes may help mitigate the development of CMD in such employees.</t>
  </si>
  <si>
    <t>SCOPUS_ID:85135597631</t>
  </si>
  <si>
    <t>10.1093/aje/kwac070</t>
  </si>
  <si>
    <t>Life-Course Neighborhood Socioeconomic Status and Cardiovascular Events in Black and White Adults in the Atherosclerosis Risk in Communities Study</t>
  </si>
  <si>
    <t>['cardiovascular disease', 'health disparities', 'life course', 'neighborhood socioeconomic status']</t>
  </si>
  <si>
    <t>It has been reported that residents of lowâ€“socioeconomic-status (SES) neighborhoods have a higher risk of developing cardiovascular disease (CVD). However, most of the previous studies focused on 1-time measurement of neighborhood SES in middle-to-older adulthood and lacked demographic diversity to allow for comparisons across different race/ethnicity and sex groups. We examined neighborhood SES in childhood and young, middle, and older adulthood in association with CVD risk among Black and White men and women in the Atherosclerosis Risk in Communities Study (1996â€“2019). We found that lower neighborhood SES in young, middle, and older adulthood, but not in childhood, was associated with a higher risk of CVD later in life. When compared with the highest quartile, the lowest quartile of neighborhood SES in young, middle, and older adulthood was associated with 18% (hazard ratio (HR) = 1.18, 95% confidence interval (CI): 1.02, 1.36), 21% (HR = 1.21, 95% CI: 1.04, 1.39), and 12% (HR = 1.12, 95% CI: 0.99, 1.26) increases in the hazard of total CVD, respectively. The association between lower neighborhood SES in older adulthood and higher CVD hazard was particularly strong among Black women. Our study findings support the role of neighborhood SES in cardiovascular health in both Black and White adults.</t>
  </si>
  <si>
    <t>SCOPUS_ID:85138346175</t>
  </si>
  <si>
    <t>10.1007/s10654-022-00915-z</t>
  </si>
  <si>
    <t>Years of life lost during the Covid-19 pandemic in Sweden considering variation in life expectancy by level of geriatric care</t>
  </si>
  <si>
    <t>['Care home', 'Covid-19', 'Excess deaths', 'Life expectancy', 'Multistate model', 'Years of life lost']</t>
  </si>
  <si>
    <t>The Covid-19 pandemic has not affected the population evenly. This must be acknowledged when it comes to understanding the Covid-19 death toll and answering the question of how many life years have been lost. We use level of geriatric care to account for variation in remaining life expectancy among individuals that died during 2020. Based on a linkage of administrative registers, we estimate remaining life expectancy stratified by age, sex, and care status using an incidence-based multistate model and analyze the number of years of life lost (YLL) during 2020 in Sweden. Our results show that remaining life expectancy between individuals with and without care differs substantially. More than half of all Covid-19 deaths had a remaining life expectancy lower than 4Â years. Yet, in a 1-year perspective, Covid-19 did not seem to replace other causes of death. Not considering the differences in remaining life expectancy in the affected populations overestimated YLL by 40% for women and 30% for men, or around 2Â years per death. While the unadjusted YLL from Covid-19 amounted to an average of 7.5Â years for women and 8.6Â years for men, the corresponding YLL adjusted for care status were 5.4 and 6.6, respectively. The total number of YLL to Covid-19 in 2020 is comparable to YLL from ischemic heart disease in 2019 and 2020. Our results urge the use of subgroup specific mortality when counting the burden of Covid-19. YLL are considerably reduced when the varying susceptibility for death is considered, but even if most lifespans were cut in the last years of life, the YLL are still substantial.</t>
  </si>
  <si>
    <t>SCOPUS_ID:85096152427</t>
  </si>
  <si>
    <t>10.1093/ije/dyaa081</t>
  </si>
  <si>
    <t>Epidemiological and clinical characteristics of 671 COVID-19 patients in Henan Province, China</t>
  </si>
  <si>
    <t>['COVID-19', 'Henan province', 'SARS-CoV-2']</t>
  </si>
  <si>
    <t>Background: Despite many reports on the characteristics of coronavirus disease 2019 (COVID-19) in Wuhan, China, relatively little is known about the transmission features of COVID-19 outside Wuhan, especially at the provincial level. Methods: We collected epidemiological, demographic, clinical, laboratory, radiological and occupation information, along with contact history, of 671 patients with laboratory-confirmed COVID-19 reported from January 23 to February 5, 2020, in Henan province, China. We described characteristics of these cases, compared the diagnostic accuracy and features of blood testing, computed tomography (CT) scans and X-rays, and analysed SARS-CoV-2 transmission sources and patients' occupations in Henan province. Results: The mean age of patients in this case series was 43 years, 56.2% were male and 22.4% had coexisting medical disorders. The death rate was 0.3%. Fourteen patients did not show any symptoms. Lymphocyte percentage was associated with disease severity (Ï‡2 = 6.71, P = 0.035) but had a large variation in each sample group. The mean time from illness onset to diagnosis was 5.6 days. A total of 330 patients had ever lived in or visited Wuhan, 150 had contact with confirmed cases, 323 had been to a hospital and 119 had been to a wet market. There were 33 patients who did not have a traceable transmission source, with 21.2% of these being farmers and 15.2% being workmen. Conclusions: Lymphocyte percentage was a sign of severe COVID-19 in general but was not a good diagnostic index. Longer time from illness onset to diagnosis was associated with higher COVID-19 severity, older age, higher likelihood of having coexisting cardiovascular diseases including hypertension, and being male. Farming was found to be a high-risk occupation in Henan province, China.</t>
  </si>
  <si>
    <t>SCOPUS_ID:0346749540</t>
  </si>
  <si>
    <t>10.1093/aje/kwg273</t>
  </si>
  <si>
    <t>Association between Gestational Diabetes and Pregnancy-induced Hypertension</t>
  </si>
  <si>
    <t>['Cardiovascular', 'Diabetes', 'Eclampsia', 'Ethnic groups', 'Gestational', 'Hypertension', 'Pre-eclampsia', 'Pregnancy complications', 'Prenatal care']</t>
  </si>
  <si>
    <t>Gestational diabetes and pregnancy-induced hypertension are common, and their relation is not well understood. The authors conducted a population-based case-control study using 1992-1998 Washington State birth certificate and hospital discharge records to investigate this relation. Consecutive cases of pregnancy-induced hypertension were divided into four groups based on International Classification of Diseases, Ninth Revision codes: eclampsia (n = 154), severe preeclampsia (n = 1,180), mild preeclampsia (n = 5,468), and gestational hypertension (n = 8,943). Cases were compared with controls who did not have pregnancy-induced hypertension (n = 47,237). Gestational diabetes was more common in each case group (3.9% in eclamptics, 4.5% in severe preeclamptics, and 4.4% in both mild preeclamptics and those with gestational hypertension) than in controls (2.7%). After adjustment for body mass index, age, ethnicity, parity, and prenatal care, gestational diabetes was associated with increased risk of severe preeclampsia (odds ratio (OR) = 1.5, 95% confidence interval (CI): 1.1, 2.1), mild preeclampsia (OR = 1.5, 95% CI: 1.3, 1.8), and gestational hypertension (OR = 1.4, 95% CI: 1.2, 1.6). Gestational diabetes was more strongly associated with pregnancy-induced hypertension among women who received less prenatal care (OR = 4.2 for eclampsia and OR = 3.1 for severe preeclampsia, p &lt; 0.05 for both) and among Black women (OR for eclampsia and preeclampsia together = 3.9, p &lt; 0.05).</t>
  </si>
  <si>
    <t>SCOPUS_ID:84867000749</t>
  </si>
  <si>
    <t>10.1093/eurpub/ckr133</t>
  </si>
  <si>
    <t>Health-care and home-care utilization among frail elderly persons in Belgium</t>
  </si>
  <si>
    <t>Background: The patterns of health- and home-care utilization among Belgian frail elderly persons living at home with varying socio-economic status are currently unknown. Methods: In this cross-sectional study based on a representative sample of 4777 elderly participants (65 years) in the Belgian Health Interview Survey the prevalence of frailty, as determined by items referring to the Fried phenotype, was estimated according to age, gender, comorbidity, place of residence, survey year, living situation and socio-economic status. Differing health-care utilization [contacts with a general practitioner (GP), specialist and emergency department; and hospital admission) and home-care utilization (home nursing, home help and meals-on-wheels] patterns among the frail, prefrail and robust subpopulations were examined. Results: Overall, 9.3 respondents (426) were classified as frail, 30.7 (1636) as prefrail and 60.0 (2715) as robust. Frailty was associated with age, gender, comorbidity, region, survey year and socio-economic status. The frail and prefrail groups were more likely than the robust to contact a GP, a specialist or an emergency department and were more likely to be admitted to hospital, independent of age, gender, comorbidity, survey year, living situation, region and socio-economic status. They were also more likely to appeal to home nursing, home help and meals-on-wheels than the robust participants. Conclusion: Even after adjustment for potential confounders, including age, gender and comorbidity, frailty among Belgian elderly persons is associated with their socio-economic status and is strongly associated with their health- and home-care utilization. Â© 2011 The Author. Published by Oxford University Press on behalf of the European Public Health Association. All rights reserved.</t>
  </si>
  <si>
    <t>SCOPUS_ID:84977646347</t>
  </si>
  <si>
    <t>10.1016/j.ypmed.2016.06.036</t>
  </si>
  <si>
    <t>From attitude to action: What shapes attitude toward walking to/from school and how does it influence actual behaviors?</t>
  </si>
  <si>
    <t>['Active commuting to school', 'Attitude', 'Environment', 'Safety', 'Structural equation model']</t>
  </si>
  <si>
    <t>Walking to/from school could promote children's physical activity and help combat childhood obesity. Parental attitudes have been identified as one of the important predictors. But it is unclear what factors shape parental attitudes, and how those in turn influence children's school travel. This study addresses this gap of knowledge by examining the mediating effect of parental attitudes for the relationships between personal, social, and built environmental factors and children's walkingâ€“to/fromâ€“school behaviors. Survey data (NÂ =Â 2597) were collected from 20 public elementary schools in Austin, Texas, measuring students' typical school travel mode; personal, social, and built environmental factors related to walkingâ€“to/fromâ€“school; and relevant parental attitudes. The analysis was conducted in Mâ€“plus 6.11 to test the proposed conceptual framework using a structural equation model (SEM). Parental attitudes showed significant mediating effects on walkingâ€“to/fromâ€“school behaviors. Older child, positive peer influence, walkable homeâ€“toâ€“school distance, and favorable walking environments were associated with more enjoyment and lower attitudinal barriers, and in turn increased likelihood of walking to/from school. Being Hispanic, increased car ownership, and stronger traffic safety concerns reduced enjoyment and increased attitudinal barriers, and thus decreased likelihood of walking to/from school. This study highlighted the importance of using multilevel interventions to reduce attitudinal barriers and increase enjoyment of walking to/from school. Collaborations among different stakeholders are needed to address environmental issues (e.g., safety concerns) and social factors (e.g., peer influence), while being sensitive to personal factors (e.g., age, ethnicity, and car ownership).</t>
  </si>
  <si>
    <t>SCOPUS_ID:84973370474</t>
  </si>
  <si>
    <t>10.1093/aje/kwv313</t>
  </si>
  <si>
    <t>Herpes Simplex Virus Type 2 Seroprevalence and Ultrasound-Diagnosed Uterine Fibroids in a Large Population of Young African-American Women</t>
  </si>
  <si>
    <t>['herpes simplex virus type 2', 'seroprevalence', 'uterine fibroids']</t>
  </si>
  <si>
    <t>For decades reproductive tract infections (RTIs) have been hypothesized to play a role in uterine fibroid development. The few previous studies conducted used self-reported history of RTIs and had inconsistent findings. We investigated this hypothesis further using serological analysis, an immunological measure of past exposure. We focused on herpes simplex virus type 2 (HSV-2) because prior published data have suggested a possible association with fibroids, and serology for HSV-2 is much more sensitive than self-report. We used cross-sectional enrollment data from African-American women enrolled in a prospective study of fibroid incidence and growth (recruited 2010-2012) in the Detroit, Michigan, area. The women were aged 23-34 years and were screened for fibroids using a standardized ultrasound examination at their enrollment. Age- and multivariable-adjusted logistic regression models were used to estimate odds ratios. Of 1,696 participants, 1,658 had blood samples and HSV-2 serology results; 22% of participants with serology results had fibroids. There was no significant association between HSV-2 seropositivity and the presence of fibroids (multivariable-adjusted odds ratio = 0.94, 95% confidence interval: 0.73, 1.20), nor were there any associations with size of the largest fibroid, number of fibroids, or total fibroid volume. Our data provide no evidence for an influence of HSV-2 exposure on fibroid risk in young African-American women. Further study of other serologically measured RTIs is warranted.</t>
  </si>
  <si>
    <t>SCOPUS_ID:84871339514</t>
  </si>
  <si>
    <t>10.1007/s10654-012-9737-z</t>
  </si>
  <si>
    <t>Survival from breast cancer in relation to access to tertiary healthcare, body mass index, tumor characteristics and treatment: A hellenic cooperative oncology group (HeCOG) study</t>
  </si>
  <si>
    <t>['Breast cancer', 'Healthcare access', 'Healthcare inequalities', 'Obesity', 'Prognosis', 'Socioeconomic status (SES)', 'Survival']</t>
  </si>
  <si>
    <t>Apart from tumour, treatment and patient characteristics at diagnosis, access to healthcare delivery may as well play a significant role in breast cancer prognosis. This study aimed to assess the additional impact exerted on survival by travel burden-a surrogate indicator of limited access to healthcare-expressed as geographical distance and/ or time needed to reach the tertiary healthcare center from the patient's residence. Between 1997 and 2005, 2,789 women participated in therapeutic clinical trials conducted by the Hellenic Cooperative Oncology Group. The effect of geographical distance and travel time between patient's residence and treating hospital on survival was estimated using Cox proportional hazards regression adjusting for age, menopausal status, tumour size/grade, positive nodes (number), hormonal receptor status, HER2 overexpression, surgery type/treatment protocol as well as for body mass index&gt;30 kg/m2. More aggressive tumour features, older treatment protocols and modifiable patient characteristics, such as obesity (HR: 1.27) adversely impacted on breast cancer survival. In addition, less studied indicators of access to healthcare, such as geographic distance &gt;350 km and travel time &gt;4 h were independently and significantly associated with worse outcomes (HR = 1.43 and 1.34 respectively). In conclusion, to address inequalities in breast cancer survival, improvements in access to healthcare services related to increased travel burden especially for patients of lower socioeconomic status should be considered, more than ever at times of financial crisis and independently of already known modifiable patient characteristics. Â© Springer Science+Business Media Dordrecht 2012.</t>
  </si>
  <si>
    <t>SCOPUS_ID:85105632614</t>
  </si>
  <si>
    <t>10.1093/aje/kwab110</t>
  </si>
  <si>
    <t>The Use of Active Comparators in Self-Controlled Designs</t>
  </si>
  <si>
    <t>['active comparators', 'case-only designs', 'confounding-by-indication']</t>
  </si>
  <si>
    <t>For self-controlled studies of medication-related effects, time-varying confounding by indication can occur if the indication varies over time. We describe how active comparators might mitigate such bias, using an empirical example. Approaches to using active comparators are described for case-crossover design, case-Time-control design, self-controlled case-series, and sequence symmetry analyses. In the empirical example, we used Danish data from 1996-2018 to study the association between penicillin and venous thromboembolism (VTE), using roxithromycin, a macrolide antibiotic, as comparator. Upper respiratory infection is a transient risk factor for VTE, thus representing time-dependent confounding by indication. Odds ratios for case-crossover analysis were 3.35 (95% confidence interval: 3.23, 3.49) for penicillin and 3.56 (95% confidence interval: 3.30, 3.83) for roxithromycin. We used a Wald-based method or an interaction term to estimate the odds ratio for penicillin with roxithromycin as comparator. These 2 estimates were 0.94 (95% confidence interval: 0.87, 1.03) and 1.03 (95% confidence interval: 0.95, 1.13). Results were similar for the case-Time-control analysis, but both the self-controlled case-series and sequence symmetry analysis suggested a weak protective effect of penicillin, seemingly explained by VTE affecting future exposure exclusively for penicillin. The strong association of antibiotics with VTE suggests presence of confounding by indication. Such confounding can be mitigated by using an active comparator.</t>
  </si>
  <si>
    <t>SCOPUS_ID:7244254375</t>
  </si>
  <si>
    <t>10.2105/AJPH.94.11.1940</t>
  </si>
  <si>
    <t>Epidemiology of hospitalizations resulting from dog bites in California, 1991-1998</t>
  </si>
  <si>
    <t>We used population-based hospital discharge data to describe hospitalizations resulting from dog bites in California from 1991 through 1998, when there were 6676 such hospitalizations (average 835 per year; range 732 to 930), and the annual cumulative incidence for all ages was 2.6 per 100 000. Children had more than twice the risk of adults, and Asians had lower rates than Whites. Children aged 0 to 9 years were more likely to suffer wounds to the head and face.</t>
  </si>
  <si>
    <t>SCOPUS_ID:85141362446</t>
  </si>
  <si>
    <t>10.1007/s10654-022-00934-w</t>
  </si>
  <si>
    <t>Biases arising from linked administrative data for epidemiological research: a conceptual framework from registration to analyses</t>
  </si>
  <si>
    <t>['Administrative data', 'Data linkage', 'Epidemiological biases', 'Linkage error', 'Record linkage']</t>
  </si>
  <si>
    <t>Linked administrative data offer a rich source of information that can be harnessed to describe patterns of disease, understand their causes and evaluate interventions. However, administrative data are primarily collected for operational reasons such as recording vital events for legal purposes, and planning, provision and monitoring of services. The processes involved in generating and linking administrative datasets may generate sources of bias that are often not adequately considered by researchers. We provide a framework describing these biases, drawing on our experiences of using the 100 Million Brazilian Cohort (100MCohort) which contains records of more than 131 million people whose families applied for social assistance between 2001 and 2018. Datasets for epidemiological research were derived by linking the 100MCohort to health-related databases such as the Mortality Information System and the Hospital Information System. Using the framework, we demonstrate how selection and misclassification biases may be introduced in three different stages: registering and recording of peopleâ€™s life events and use of services, linkage across administrative databases, and cleaning and coding of variables from derived datasets. Finally, we suggest eight recommendations which may reduce biases when analysing data from administrative sources.</t>
  </si>
  <si>
    <t>SCOPUS_ID:84894055235</t>
  </si>
  <si>
    <t>10.1136/jech-2013-203120</t>
  </si>
  <si>
    <t>Exploring the social determinants of mental health service use using intersectionality theory and CART analysis</t>
  </si>
  <si>
    <t>Background: Fewer than half of individuals with a mental disorder seek formal care in a given year. Much research has been conducted on the factors that influence service use in this population, but the methods generally used cannot easily identify the complex interactions that are thought to exist. In this paper, we examine predictors of subsequent service use among respondents to a population health survey who met criteria for a past-year mood, anxiety or substancerelated disorder. Methods: To determine service use, we use an administrative database including all physician consultations in the period of interest. To identify predictors, we use classification tree (CART) analysis, a data mining technique with the ability to identify unsuspected interactions. We compare results to those from logistic regression models. Results: We identify 1213 individuals with past-year disorder. In the year after the survey, 24% (n=312) of these had a mental health-related physician consultation. Logistic regression revealed that age, sex and marital status predicted service use. CART analysis yielded a set of rules based on age, sex, marital status and income adequacy, with marital status playing a role among men and by income adequacy important among women. CART analysis proved moderately effective overall, with agreement of 60%, sensitivity of 82% and specificity of 53%. Conclusion: Results highlight the potential of data-mining techniques to uncover complex interactions, and offer support to the view that the intersection of multiple statuses influence health and behaviour in ways that are difficult to identify with conventional statistics. The disadvantages of these methods are also discussed.</t>
  </si>
  <si>
    <t>SCOPUS_ID:2442630527</t>
  </si>
  <si>
    <t>10.1136/jech.2003.016386</t>
  </si>
  <si>
    <t>Apheis: Public health impact of PM&lt;inf&gt;10&lt;/inf&gt; in 19 European cities</t>
  </si>
  <si>
    <t>Study objective: Apheis is a public health surveillance system that aims to provide European, national, regional, and local decision makers, environmental health professionals, and the general public with up to date and easy to use information on air pollution and public health. This study presents the health impact assessment done in 19 cities of Western and Eastern European countries. Design: Apheis developed guidelines for gathering and analysing data on air pollution and the impact on public health. Apheis has analysed the acute and chronic effects of fine particles on premature mortality using the estimates developed by Aphea2 study and two American cohort studies. This health impact assessment was performed for different scenarios on the health benefits of reducing levels of particles less than 10 Î¼m in size (PM10). Main results: PM10 concentrations were measured in 19 cities (range: 14-73 Î¼g/m3). The population covered in this health impact assessment includes nearly 32 million inhabitants. The age standardised mortality rates (per 100 000 people) range from 456 in Toulouse to 1127 in Bucharest. Reducing long term exposure to PM10 concentrations by 5 Î¼g/m3 would have "prevented" between 3300 and 7700 early deaths annually, 500 to 1000 of which are associated with short term exposure. Conclusions: Apheis shows that current levels of air pollution in urban Europe have a non-negligible impact on public health, and that preventive measures could reduce this impact, even in cities with low levels of air pollution.</t>
  </si>
  <si>
    <t>SCOPUS_ID:77955952214</t>
  </si>
  <si>
    <t>10.1136/jech.2008.086074</t>
  </si>
  <si>
    <t>Prospective study of workplace social capital and depression: Are vertical and horizontal components equally important?</t>
  </si>
  <si>
    <t>Background Recent studies have emphasised the multidimensional nature of the social capital concept, but it is not known whether the health effects of social capital vary by dimension. The objective of this study was to examine the vertical component (ie, respectful and trusting relationships across power differentials at work) and the horizontal component of workplace social capital (trust and reciprocity between employees at the same hierarchical level) as risk factors for subsequent depression. Methods A cohort of 25 763 Finnish public sector employees who were initially free from depression was followed up on average 3.5 years for new self-reported physician-diagnosed depression and recorded antidepressant prescriptions derived from national registers. Results Factor analysis confirmed the existence of vertical and horizontal components of workplace social capital. The odds for new physician-diagnosed depression and antidepressant treatment were 30-50% higher for employees with low vertical or horizontal workplace social capital than for their counterparts with high social capital at work. In mutually adjusted models, vertical and horizontal social capital remained independent predictors of physician-diagnosed depression and antidepressant treatment. Conclusion These results highlight the importance of both vertical and horizontal components of workplace social capital as predictors of employee mental health.</t>
  </si>
  <si>
    <t>SCOPUS_ID:0029006999</t>
  </si>
  <si>
    <t>10.1093/ije/24.supplement_1.s90</t>
  </si>
  <si>
    <t>Using operational research modelling to improve the provision of health services: The case of DNA technology</t>
  </si>
  <si>
    <t>Operational research (OR) analysis provides information and systems to support decision making. In health care there are examples of OR being used to support decisions surrounding both the organization of health services and the treatment of individual patients. However, its uptake is currently low in spite of the increase in potential areas of application. In practice there is a lack of awareness amongst health service staff about what OR is and how it can help. This paper addresses this issue by exposing the contribution that OR made to a programme of research relating to DNA technology. Examples are given of the way it was used to provide information on the costs and outcomes of services and the ways these evolve over time. These examples demonstrate the way OR methods increase the understanding of both analysts and service providers about a problem area. This helps ensure that appropriate and valid approaches to tackling problem areas are developed. When developing these approaches, the problem orientated philosophy of OR means analysts are willing to use a range of methodologies, some originating in OR and some in other disciplines. The broad focus of OR also means that its findings enhance those provided by other disciplines which might seem to be competitors. The conclusion of the paper is that OR has a crucial role to play in the improvement of health services. Â© 1995 International Epidemlological Association.</t>
  </si>
  <si>
    <t>SCOPUS_ID:85122219866</t>
  </si>
  <si>
    <t>10.1093/eurpub/ckab095</t>
  </si>
  <si>
    <t>Differences between influenza and pertussis vaccination uptake in pregnancy: A multi-center survey study in Italy</t>
  </si>
  <si>
    <t>Background: A suboptimal maternal vaccination coverage in 2017-18 has been reported in Italy. The study aims were to (i) assess changes in maternal influenza and tetanus, diphtheria and acellular pertussis vaccination coverage during 2018-19 influenza season compared to the previous season (ii) estimate influenza vaccine coverage among maternal care providers (MCPs) and (iii) explore the characteristics of vaccine delivery to pregnant women. Methods: We conducted a cross-sectional survey among pregnant women and MCPs about influenza and pertussis immunization during pregnancy. We also collected information regarding prenatal care characteristics and vaccine delivery among four centers in Italy. Results: We recruited 483 pregnant women and 452 MCPs. The influenza and pertussis vaccine uptake among pregnant women for the season 2018-19 was 14.9% and 60.9%, respectively. MCPs' influenza vaccine uptake was 33.6%. Knowing that the flu vaccine was safe for mothers and their infants and being vaccinated in the previous influenza season were associated with higher vaccine uptake. Regarding pertussis, being a housewife was associated to lower vaccine uptake, while knowing the vaccine is effective and safe for mothers and newborns were associated with higher pertussis vaccine uptake. The single most important factor associated to higher coverage of both influenza and pertussis vaccines was receiving a health-care provider's vaccine advice. Most pregnant women (69.4%) stated that they preferred to be vaccinated in their same prenatal care setting. Conclusions: Receiving a health-care provider's vaccine advice and the availability of vaccines during prenatal care visits might improve vaccination coverage among pregnant women.</t>
  </si>
  <si>
    <t>SCOPUS_ID:0032773097</t>
  </si>
  <si>
    <t>10.1006/pmed.1998.0385</t>
  </si>
  <si>
    <t>Long-term effects of aerobic exercise on psychological outcomes</t>
  </si>
  <si>
    <t>['Exercise', 'Fitness', 'Mood', 'Psychological benefits']</t>
  </si>
  <si>
    <t>Background. Although the literature on increased physical fitness and psychological outcomes has grown large, a number of methodological limitations remain unaddressed. The present study was designed to address a number of these limitations while examining the short, and long-term psychological effects following completion of a 12-week aerobic fitness program using bicycle ergometry (and confirmed increases in fitness). Method. Following completion of a 12-week aerobic fitness program (and through 12 months of follow-up), 82 adult participants completed the Beck Depression Inventory, Profile of Mood States, State-Trait Anxiety Inventory, and the Tennessee Self-Concept Scale. Physiological measures used to assess changes in aerobic fitness were maximal work load, submaximal heart rate at a standard work load, predicted maximum oxygen uptake, and resting heart rate. Results. Exercise participants experienced a positive fitness change and psychological improvement over the initial 12-week program compared to a control group. At 1 year follow-up, physiological and psychological benefits remained significantly improved from baseline. Conclusions. Overall, results indicate that exercise-induced increases in aerobic fitness have beneficial short-term and long-term effects on psychological outcomes. We postulate that participants in the exercise group did not increase the amount of weekly exercise they performed over the 12-month follow-up period and thus the maintenance of the psychological improvements occurred concurrent with equal or lesser amounts of exercise.</t>
  </si>
  <si>
    <t>SCOPUS_ID:84885823450</t>
  </si>
  <si>
    <t>10.1093/aje/kwt136</t>
  </si>
  <si>
    <t>Blood levels of saturated and monounsaturated fatty acids as markers of de novo lipogenesis and risk of prostate cancer</t>
  </si>
  <si>
    <t>['biomarkers', 'epidemiology', 'fatty acids', 'nutrition', 'prostate cancer']</t>
  </si>
  <si>
    <t>De novo lipogenesis has been implicated in prostate carcinogenesis, and blood levels of specific saturated fatty acids (SFAs) and monounsaturated fatty acids (MUFAs) could reflect activity of this pathway. We used gas chromatography to measure blood SFA and MUFA levels in prediagnostic samples from 476 incident prostate cancer cases (1982-1995) in the Physicians' Health Study and an equal number of controls matched on age and smoking status. Five tagging polymorphisms in the fatty acid synthase (FASN) gene (rs1127678, rs6502051, rs4246444, rs12949488, and rs8066956) were related to blood SFA and MUFA levels. Conditional logistic regression was used to estimate the rate ratios, with 95% confidence intervals, of prostate cancer across quintiles of blood fatty acid levels. The polymorphisms rs6502051 and rs4246444 were associated with lower levels of 14:1n-5, 16:1n-7, and 18:1n-9. Blood levels of 16:1n-7 were associated with higher prostate cancer incidence, with rate ratios for men in increasing quintiles of 1.00, 1.40, 1.35, 1.44, and 1.97 (95% confidence interval: 1.27-3.06; Ptrend = 0.003). Furthermore, 16:1n-7 levels were positively related to incidence of high-grade (Gleason score â‰¥7) tumors (rate ratioQ5-Q1 = 3.92; 95% confidence interval: 1.72-8.94) but not low-grade tumors (rate ratioQ5-Q1 = 1.51; 95% confidence interval: 0.87-2.62) (Pheterogeneity = 0.02). Higher activity of enzymes involved in de novo lipogenesis, as reflected in blood levels of 16:1n-7, could be involved in the development of high-grade prostate cancer. Â© 2013 The Author.</t>
  </si>
  <si>
    <t>SCOPUS_ID:77955975051</t>
  </si>
  <si>
    <t>10.1136/jech.2008.081166</t>
  </si>
  <si>
    <t>Is the physician's adherence to prescription guidelines associated with the patient's socio-economic position? An analysis of statin prescription in South Sweden</t>
  </si>
  <si>
    <t>Background Knowledge about the social and economical determinants of prescription Is relevant In healthcare systems like the Swedish one, which is based on the principle of equity, and which aims to allocate resources on the basis of need and not on criteria that are based on social constructs. We therefore investigated the association between patient and healthcare practice (HCP) characteristics on the one hand, and adherence to guidelines for statin prescription on the other, with a focus on social and economic conditions. Methods The study included all patients In the SkÃ¥ne region of Sweden who received a statin prescription between July 2005 and December 2005; 15581 patients in 139 privately administered HCPs and 24 593 patients In 142 publicly administered HCPs. Socio-economic status was established using data from Longitudinal Multilevel Analysis in SkÃ¥ne, and a stratified multilevel regression analysis was performed. Results The proportion of patients receiving recommended statins was lower among privately administered HCPs than among publicly administered HCPs (65% vs 80%). Among men (but not women), low Income (PR privateHCP=1.04 (1.01 to 1.09) and PR publicHCP=1.02 (0.99 to 1.07)) and cohabitation (PR privateHCP=1.04 (1.04 to 1.08) and PR publicHCP=1.03 (1.01 to 1.07)) were associated with a higher adherence to guidelines. Conclusion The physician's decision to prescribe a recommended statin is conditioned by the socioeconomic and demographic characteristics of the patient. Beyond individual characteristics, the contextual circumstances of the HCP were also associated with adherence to guidelines. An increased understanding of the connection between the patient's socio-economic status and the decisions made by the physician might be of relevance when planning interventions aimed at promoting efficient and evidence-based prescription.</t>
  </si>
  <si>
    <t>SCOPUS_ID:0033956927</t>
  </si>
  <si>
    <t>10.1136/jech.54.3.185</t>
  </si>
  <si>
    <t>Unemployment and psychological distress one year after childbirth in France</t>
  </si>
  <si>
    <t>Study objective - To analyse the relation between unemployment and the psychological distress of mothers one year after childbirth. Design - Multicentric survey concerning births occurring between September 1993 and July 1994. Setting - In France: two maternity units in the Parisian area and one in Champagne-Ardennes, in the east of France, comprising both urban and rural areas. Participants - Primipara and secondipara women were interviewed three times: at birth by a face to face interview, five months and 12 months after the birth, by postal questionnaires, with a 83% response rate for the two postal questionnaires. The analysis includes 632 women who answered all three stages of the survey. Measurements - Psychological distress was mainly assessed one year after birth by the 12-item General Health Questionnaire. Results - After adjustment for unwanted pregnancy, marital conflicts, marital status, hospitalisation of the baby during the last year, lack of confiding relationship, depressive or anxious troubles before pregnancy, age, educational level and parity, unemployed women had an excess of psychological distress compared with employed women (OR = 1.87; 95% CI = 1.12, 3.13). The ratios for housewives were very close to those of employed women. Among the unemployed women, 60% had recently been without a job, since a few months before or after the birth. An excess of psychological distress among unemployed compared with employed women was observed in all social groups defined by the current or last occupation, but with various extents. Psychological distress was specially linked to the employment status in the group of women with the more qualified occupations. Conclusion - Even after a birth, when women are very much involved in their maternal role, those seeking a job have worse mental health than those in a stable situation, either employed or housewives. In France, the unemployment rate among young women is high. It is specially important that social regulations protecting employment during and after pregnancy are adequately applied. Employers, legislators, such as medical doctors, have to be aware to this situation.</t>
  </si>
  <si>
    <t>SCOPUS_ID:0036816862</t>
  </si>
  <si>
    <t>10.1093/ije/31.5.961</t>
  </si>
  <si>
    <t>Generalizability of population-based studies on AIDS: A comparison of newly and continuously surveyed villages in rural southwest Uganda</t>
  </si>
  <si>
    <t>['Africa', 'AIDS', 'Epidemiology', 'Hawthorne effect', 'HIV-1', 'Uganda']</t>
  </si>
  <si>
    <t>Background. Population-based studies are thought to provide generalizable epidemiological data on the human immunodeficiency virus type 1 (HIV-1) epidemic. However, longitudinal studies are susceptible to bias from added attention caused by study activities. We compare HIV-1 prevalence in previously and newly surveyed villages in rural southwest Uganda. Methods. The study population resided in 25 neighbouring villages, of which 15 have been surveyed for 10 years. Respondents (â‰¥ 13 years) provided socio-demographic and sexual behaviour data and a blood sample for HIV-1 serology in private after informed consent. We tested the independent effect of residency: (1) original versus new villages; (2) proximity to main road; and (3) proximity to trading centre on HIV-1 serostatus of respondents using multivariate logistic regression. Results. There were 8990 adults censused, 68.3% were from the original villages, 48.2% were males and 6111 (68.0%) were interviewed and had definite HIV-1 serostatus. The HIV-1 prevalence was 6.1% overall, 5.7% in the new, and 6.4% in the original villages (P = 0.25). Residency in the new or original villages did not independently predict HIV-1 serostatus of respondents (P = 0.46). Independent predictors of HIV-1 serostatus were education (primary or higher, odds ratio [OR] = 1.7 and 1.4, respectively), being separated or widowed OR = 4.2, reported previous use of a condom OR = 1.8, or reported genital ulceration OR = 3.3, and age group 25-34 and 35-44 years OR = 5.8 and OR = 4.8 (all P â‰¤ 0.001). Conclusions. In the context of rural Uganda where there has been considerable health education about AIDS, the additional attention to HIV infection caused by this longitudinal study does not appear to have appreciably affected the prevalence of HIV-1 infection.</t>
  </si>
  <si>
    <t>Uganda</t>
  </si>
  <si>
    <t>SCOPUS_ID:0031697073</t>
  </si>
  <si>
    <t>10.1097/00001648-199811000-00014</t>
  </si>
  <si>
    <t>Pregnancy characteristics and maternal risk of breast cancer</t>
  </si>
  <si>
    <t>['Breast cancer', 'Gestational diabetes', 'Pregnancy', 'Toxemia', 'Twinning', 'Weight gain']</t>
  </si>
  <si>
    <t>In a population-based case-control study of parous women less than 45 years of age, we evaluated the relations of various pregnancy characteristics to maternal breast cancer risk. Cases (N = 1,239) diagnosed with in situ or invasive breast cancer from 1990 to 1992 in Atlanta; GA, Seattle/Puget Sound, WA, and five counties in central New Jersey, and population controls (N = 1,166) identified by random-digit dialing, were interviewed regarding the details of their pregnancies. We used logistic regression to estimate relative risks (RR) and 95% confidence intervals (CI) and to adjust for breast cancer risk factors. Women who reported nausea or vomiting in their first pregnancy had a slightly lower risk of breast cancer (RR = 0.87; 95% CI = 0.72-1.0). We found no strong or consistent associations for maternal risk related to gestational length, pregnancy weight gain, gestational diabetes, pregnancy hypertension, or gender of the offspring, although we found some evidence for reductions in risk for toxemia (RR = 0.81; 95% CI = 0.61-1.1) and specific sex (RIP, for female twins vs singletons = 0.48; 95% CI = 0.20- 1.3) and timing characteristics of twinning. Overall, these data provide little support for the hypothesis that pregnancy hormone levels are associated with subsequent maternal risk of breast cancer in young women.</t>
  </si>
  <si>
    <t>SCOPUS_ID:0030754388</t>
  </si>
  <si>
    <t>10.1136/jech.51.4.378</t>
  </si>
  <si>
    <t>Enthusiasm or uncertainty: Small area variations in the use of mammography services in Ontario, Canada</t>
  </si>
  <si>
    <t>Study objective - To examine the variation in mammography utilisation in relation to age group and indication across health planning regions in Ontario, Canada. Design - This study includes all women aged 30 and over in Ontario who received a mammogram between July 1, 1990 and December 31, 1991. Data from a sample of 10000 women aged 50-69 were used to assign mammogram indication as 'screening', 'possible diagnostic', or 'probable diagnostic' based on previous health care utilisation patterns. Age specific rates and age adjusted rates in relation to age group (30-39, 40-49, 50-69, and 70 + years) and region were derived. Main results - Overall, 572,762 women received one or more mammograms. Rates increased from 30 to 54 years and decreased thereafter. Similar variations were seen in the 40-49 and 50-69 age groups. The ranking in the area specific rates remained consistent for all ages except the 30-39 year range. In relation to indication, the largest variation across regions occurred in the screening group. Conclusions - Mammography utilisation varies across age groups. The greatest variability is for screening, probably because of physician referral patterns, patient uptake, and perhaps access to mammography. The extent of variation was similar when compared between groups where recommendations were consistent (ages 50-59) and where they were inconsistent (ages 40-49) suggesting that perhaps enthusiasm rather than uncertainty is related to regional variation for this procedure.</t>
  </si>
  <si>
    <t>SCOPUS_ID:0028132729</t>
  </si>
  <si>
    <t>Social functioning and overall mortality: Prospective evidence from the kuopio ischemic heart disease risk factor study</t>
  </si>
  <si>
    <t>['Cohort study', 'Men', 'Mortality', 'Population studies', 'Psychosocial', 'Social networks', 'Social support']</t>
  </si>
  <si>
    <t>We studied the associations between 11 scales of social functioning and risk of death over an average follow-up time of 71 months in 42- to 60-year-old men in the Kuopio Ischemic Heart Disease Risk Factor Study. In age-adjusted analyses, men were at increased risk of death if they reported few persons to whom they gave or received social support, nonparticipation in organizations, low quality of social relationships, a small number of friends, or not currently being married. Frequency of interaction, shyness, and use of emotional support when troubled were not associated with risk of death; the use of instrumental support when troubled was associated with increased risk. There was little evidence of confounding of these associations by the presence of 31 chronic or acute conditions, perceived health status, or six risk factors. Consistent associations were found in a healthy subgroup. These data add to the growing body of literature linking mortality risk with social functioning, especially in relation to organizational participation and quality of relationships. Â© 1994 Epidemiology Resources Inc.</t>
  </si>
  <si>
    <t>SCOPUS_ID:0033900937</t>
  </si>
  <si>
    <t>10.1136/jech.54.9.709</t>
  </si>
  <si>
    <t>Management of menorrhagia in primary care - Impact on refferal and hysterectomy: Data from the Somerset morbidity project</t>
  </si>
  <si>
    <t>Objective-To investigate the management of menorrhagia in primary care and its impact on referral and hysterectomy rates. Design-Prospective observational study. Setting-11 general practices from the Somerset Morbidity Project. Subjects-885 women consulting their general practitioner with menorrhagia over four years. Main outcome measures-Proportions of these women investigated and treated with drugs in primary care, referred to a gynaecologist and undergoing operative procedures. The relation between investigation and prescribing in primary care and referral to and surgery in secondary care. Results-Less than half of women had a vaginal examination (42%, 95% CI 39% to 45%), or a full blood count (39%, 95% CI 36% to 43%). Almost a quarter of women, 23% (95% CI 20% to 26%), received no drugs and 37% (95% CI 34% to 40%) received norethisterone. Over a third, 38% (95% CI 34% to 40%), of women were referred, and once referred 43% (95% CI 38% to 48%) of women were operated on. Women referred to a gynaecologist were significantly more likely to have received tranexamic acid and/or mefenamic acid in primary care (Ï‡2=16.4, df=1, p&lt;0.001). There were substantial between practice variations in management, for example in prescribing of tranexamic acid and/or mefenamic acid (range 16% to 72%) and referral to gynaecology (range 24% to 52%). There was a significant association between high referral and high operative rates (Spearman's correlation coefficient=0.86, p=0.001). Conclusions-Substantial differences in management exist between practices when investigating and prescribing for menorrhagia in primary care. Rates of prescribing of effective medical treatment remain low. The decision to refer a woman impacts markedly on her chances of subsequently being operated on. Effective management in primary care may not reduce referral or hysterectomy rates.</t>
  </si>
  <si>
    <t>SCOPUS_ID:12244291966</t>
  </si>
  <si>
    <t>10.1016/S0749-3797(02)00638-4</t>
  </si>
  <si>
    <t>Immunization registry accuracy: Improvement with progressive clinical application</t>
  </si>
  <si>
    <t>Background: Healthcare systems have been challenged to ensure the timely administration of immunizations. Immunization registries have been proposed to improve the accuracy and completeness of immunization information and to promote effective practice. Methods: Comparison of randomly selected samples from two birth cohorts (1993 and 1998) from Denver Health Medical Center. Chart review and immunization registry information for these groups were compared; a composite immunization was recorded and up-to-date (UTD) status established. Registry data were compared with this composite using a sensitivity measure to assess completeness and accuracy. Results: Among 818 children in the 1993 cohort and 1043 children in the 1998 cohort, there were 6386 and 6886 valid immunizations, respectively. The registry recorded 71.4% and 97.7% of these for the 1993 and 1998 cohorts, respectively (p &lt;0.001). The apparent UTD rate, as measured with registry data alone, improved from 37% to 79% between the two time frames (p &lt;0.001). Composite UTD status was 83.1% and 78.9% (1993 vs 1998, respectively). Accurate registry-defined UTD status improved from 44.4% to 100% between the two intervals. Conclusions: Immunization registry accuracy improved dramatically for recorded immunizations and UTD status. However, after 3 years of registry use, the overall proportion of children who were UTD had not significantly improved. The mere presence of a registry does not ensure more complete vaccination coverage. Other registry-based strategies, including use of the data for reminder, recall, and audit, may further improve immunization coverage. Â© 2003 American Journal of Preventive Medicine.</t>
  </si>
  <si>
    <t>SCOPUS_ID:84901947487</t>
  </si>
  <si>
    <t>10.1136/jech-2013-203439</t>
  </si>
  <si>
    <t>J-shapedness: An often missed, often miscalculated relation: The example of weight and mortality</t>
  </si>
  <si>
    <t>We present three considerations in analysing the association between weight and mortality, as well as other relations that might be non-linear in nature. First, authors must graphically plot their independent and dependent variables in a continuous manner. Second, authors should assess the shape of that relation, and note its shape. If it is non-linear, and specifically, J-shaped or U-shaped, careful consideration should be given to using the 'best' statistical model, of which multivariate fractional polynomial regression is a reasonable choice. Authors should also refrain from truncating their data to avoid dealing with non-linear relations.</t>
  </si>
  <si>
    <t>SCOPUS_ID:85130002408</t>
  </si>
  <si>
    <t>10.1093/ije/dyab244</t>
  </si>
  <si>
    <t>Social and demographic correlates of cardiovascular mortality in the Kassena-Nankana districts of Ghana: A verbal post-mortem analysis</t>
  </si>
  <si>
    <t>['cardiovascular disease', 'Ghana', 'implementation research', 'mortality', 'socio-economic status']</t>
  </si>
  <si>
    <t>Background: The burden of cardiovascular disease (CVD) in Ghana is rising, but details on its epidemiology are scarce. We sought to quantify mortality due to CVD in two districts in rural Ghana using verbal post-mortem (VPM) data. Methods: We conducted a proportional sub-hazards analysis of 10 232 deaths in the Kassena-Nankana East and West districts from 2005 to 2012, to determine adult mortality attributed to CVD over time. We stratified results by age, gender and socio-economic status (SES), and compared CVD mortality among SES and gender strata over time. A competing risk model estimated the cumulative effect of eliminating CVD from the area. Results: From 2005 to 2012, CVD mortality more than doubled overall, from 0.51 deaths for every 1000 person-years in 2005 to 1.08 per 1000 person-years in 2012. Mortality peaked in 2008 at 1.23 deaths per 1000 person-years. Increases were comparable in men (2.0) and women (2.3), but greater among the poorest residents (3.3) than the richest (1.3), and among persons aged 55-69 years (2.1) than those aged â‰¥70 years (1.8). By 2012, male and female CVD mortality was highest in middle-SES persons. We project that eliminating CVD would increase the number of individuals reaching age 73 years from 35% to 40%, adding 1.6 years of life expectancy. Conclusions: The burden of CVD on overall mortality in the Upper East Region is substantial and markedly increasing. CVD mortality has especially increased in lower-income persons and persons in middle age. Further initiatives for the surveillance and control of CVD in these vulnerable populations are needed.</t>
  </si>
  <si>
    <t>Ghana</t>
  </si>
  <si>
    <t>SCOPUS_ID:79960474774</t>
  </si>
  <si>
    <t>10.1093/aje/kwr052</t>
  </si>
  <si>
    <t>Seasonal variations in sleep problems at latitude 63Â°-65Â° in Norway</t>
  </si>
  <si>
    <t>['Norway', 'seasonal affective disorder', 'seasons', 'sleep initiation and maintenance disorders']</t>
  </si>
  <si>
    <t>Most studies on seasonal variability in sleep have asked participants if they think their sleep quality varies with the seasons, which reveals the research hypothesis to the participants. To date, the hypothesis of seasonal variation in sleep has not been tested in a large population-based fully blinded study. The aim of the current study was to investigate monthly variations in sleep problems in a geographic region of Norway with large seasonal differences in daytime light. Using data from a general health survey, the authors had access to information on sleep in the general population, collected across the seasons over 2 years without linking sleep to seasonal variation. In all, 43,045 participants (mean age, 44.6 years) of the Nord-TrÃ¸ndelag Health Study, 1995-1997 (referred to as "HUNT-2"), provided reports of insomnia symptoms and time in bed in all months except July. The mean prevalence of insomnia symptoms was 12.4%. No evidence of a seasonal variation on reports of insomnia symptoms or time in bed was found. These null findings are in marked contrast to previous seasonality studies of sleep. Previous studies reporting seasonal variations in sleep and insomnia might have been subject to publication biases and lack of blinding to the research hypothesis. Â© 2011 The Author.</t>
  </si>
  <si>
    <t>SCOPUS_ID:77958155443</t>
  </si>
  <si>
    <t>10.2105/AJPH.2009.184747</t>
  </si>
  <si>
    <t>Investing in preventive dental care for the medicare population: A preliminary analysis</t>
  </si>
  <si>
    <t>Objectives. We estimated the use of preventive dental care services by the USMedicare population, and we assessed whether money spent on preventive dental care resulted in less money being spent on expensive nonpreventive procedures. Methods. We used data from the 2002 Medicare Current Beneficiary Survey to estimate a multinomial logistic model to analyze the influence of predisposing, enabling, and need variables in identifying those beneficiaries who used preventivedental care, only nonpreventive dental care, or no dental care in a multiple-variable context. We used regression models with similar controls to estimate the influence of preventive care on the utilization and cost of nonpreventive dental care and all dental care. Results. Our analyses showed that beneficiaries who used preventive dental care had more dental visits but fewer visits for expensive nonpreventive procedures and lower dental expenses than beneficiaries who saw the dentist only for treatment of oral problems.Conclusions. Adding dental coverage for preventive care to Medicare could pay off in terms of both improving the oral health of the elderly population and limiting the costs of expensive nonpreventive dental care for the dentate beneficiary population.</t>
  </si>
  <si>
    <t>SCOPUS_ID:77952308870</t>
  </si>
  <si>
    <t>10.1093/aje/kwq030</t>
  </si>
  <si>
    <t>Comparative validity of 3 diabetes mellitus risk prediction scoring models in a multiethnic US cohort</t>
  </si>
  <si>
    <t>['cohort studies', 'diabetes mellitus', 'models statistical', 'risk', 'validation studies as topic']</t>
  </si>
  <si>
    <t>Several models for estimating risk of incident diabetes in US adults are available. The authors aimed to determine the discriminative ability and calibration of published diabetes risk prediction models in a contemporary multiethnic cohort. Participants in the Multi-Ethnic Study of Atherosclerosis without diabetes at baseline (2000-2002; n = 5,329) were followed for a median of 4.75 years. The predicted risk of diabetes was calculated using published models from the Framingham Offspring Study, the Atherosclerosis Risk in Communities (ARIC) Study, and the San Antonio Heart Study. The mean age of participants was 61.6 years (standard deviation, 10.2); 29.3% were obese, 53.1% had hypertension, 34.9% had a family history of diabetes, 27.5% had high triglyceride levels, 33.8% had low high density lipoprotein cholesterol levels, and 15.3% had impaired fasting glucose. There were 446 incident cases of diabetes (fasting glucose level â‰¥126 mg/dL or initiation of antidiabetes medication use) diagnosed during follow-up. C statistics were 0.78, 0.84, and 0.83 for the Framingham, ARIC, and San Antonio risk prediction models, respectively. There were significant differences between observed and predicted diabetes risks (Hosmer-Lemeshow goodness-of-fit chi-squared test for each model: P &lt; 0.001). The recalibrated and best-fit models achieved sufficient goodness of fit (each P &gt; 0.10). The Framingham, ARIC, and San Antonio models maintained high discriminative ability but required recalibration in a modern, multiethnic US cohort. Â© The Author 2010.</t>
  </si>
  <si>
    <t>SCOPUS_ID:85133430447</t>
  </si>
  <si>
    <t>10.1016/j.ypmed.2022.107132</t>
  </si>
  <si>
    <t>How place and race drive the numbers of fatal police shootings in the US: 2015â€“2020</t>
  </si>
  <si>
    <t>['Criminal justice', 'Fatal police shootings', 'Place', 'Police violence', 'Race']</t>
  </si>
  <si>
    <t>Place and race are two important predictors of fatal police shootings. We used Mapping Police Violence Data and the Washington Post Fatal Force Data to determine whether a county's deprivation status within communities influences the association between the number of fatal police shootings, and how the number of fatal police shootings differs by race and ethnicity. We categorized counties based on the Social Vulnerability Index (SVI) to three categories: low-, medium-, and high-SVI. The analytical sample included 3136 US counties between 2015 and 2020; during this time, 5525 individuals were fatally shot by police. Our findings show that place strongly impacts the number of fatal police shootings. Among all fatal shootings, 713 occurred in low-SVI counties, 1660 in middle-SVI, and 3152 in high-SVI counties. Race played a significant role; fatal shooting deaths increased by 2.3 times among White individuals, 9.6 times among Black individuals, and 15 times among Hispanic individuals between low- and high-SVI counties. The results of negative binomial regressions show a strong association between fatal police shootings and the counties' characteristics. In comparison with low-SVI counties, residents in counties with moderate and high-SVI are more likely to be fatally shot by police by 4.9 and 5.8 percentage points. In addressing violence and fatal police shootings, the vulnerability of counties and the population's racial composition play significant roles and need specific attention in addressing systemic racial disparities in the criminal justice system.</t>
  </si>
  <si>
    <t>SCOPUS_ID:85072687046</t>
  </si>
  <si>
    <t>10.1093/aje/kwz100</t>
  </si>
  <si>
    <t>Effect Estimates in Randomized Trials and Observational Studies: Comparing Apples with Apples</t>
  </si>
  <si>
    <t>['antiretroviral initiation', 'causal inference', 'per-protocol effect', 'target trial']</t>
  </si>
  <si>
    <t>Effect estimates from randomized trials and observational studies might not be directly comparable because of differences in study design, other than randomization, and in data analysis. We propose a 3-step procedure to facilitate meaningful comparisons of effect estimates from randomized trials and observational studies: 1) harmonization of the study protocols (eligibility criteria, treatment strategies, outcome, start and end of follow-up, causal contrast) so that the studies target the same causal effect, 2) harmonization of the data analysis to estimate the causal effect, and 3) sensitivity analyses to investigate the impact of discrepancies that could not be accounted for in the harmonization process. To illustrate our approach, we compared estimates of the effect of immediate with deferred initiation of antiretroviral therapy in individuals positive for the human immunodeficiency virus from the Strategic Timing of Antiretroviral Therapy (START) randomized trial and the observational HIV-CAUSAL Collaboration.</t>
  </si>
  <si>
    <t>SCOPUS_ID:33644770451</t>
  </si>
  <si>
    <t>10.1007/s10654-005-5926-3</t>
  </si>
  <si>
    <t>Intestinal parasites in healthy subjects in Albania</t>
  </si>
  <si>
    <t>['Albania', 'Geohelminths', 'Giardia', 'Intestinal parasites', 'Trichuris trichiura']</t>
  </si>
  <si>
    <t>The purpose of this study was to evaluate the prevalence of intestinal parasites in 277 healthy subjects in the city of Mamuras (Albania, South Eastern Europe) and the correlation between parasitic infections and possible risk factors. Faecal samples collected with sodium-acetate-formalin fixative were concentrated by formalin ethylacetate sedimentation and examined as wet mounts, permanent stains and by anti-Giardia/Cryptosporidium fluorescent antibodies. Data concerning age, sex, level of education, availability of piped water, number of people living in the same house, and residence in rural or urban area were collected for each subject. Statistical analysis was performed by chi-square test and regression logistic analysis. The overall prevalence of intestinal parasites was 183/277 (66.06%). In particular, pathogenic protozoa or helminths were found in 67 subjects (24.18%), including Trichuris trichiura in 34 (12.27%), Giardia duodenalis in 31 (11.19%), Hymenolepis nana in 5 (1.8%), Ascaris lumbricoides in 3 (1.08%). A significant correlation was observed only between parasite colonization and older age and between Trichuris trichiura infection and residence in rural areas. Â© Springer 2006.</t>
  </si>
  <si>
    <t>SCOPUS_ID:85128488978</t>
  </si>
  <si>
    <t>10.2105/AJPH.2021.306700</t>
  </si>
  <si>
    <t>Impact on Health Care Utilization and Costs of a Medicaid Community Health Worker Program in Detroit, 2018â€“2020: A Randomized Program Evaluation</t>
  </si>
  <si>
    <t>Objectives. To compare health care utilization and costs between beneficiaries randomly assigned to usual services versus a community health worker (CHW) program implemented by 3 Medicaid health plans. Methods. From February 2018 to June 2019, beneficiaries residing in Detroit, Michiganâ€™s Cody Rouge neighborhood with more than 3 emergency department (ED) visits or at least 1 ambulatory careâ€“sensitive hospitalization in the previous 12 months were randomized. CHWs reached out to eligible beneficiaries to assess their needs and link them to services. We compared ED and ambulatory care visits, hospitalizations, and related costs over 12 months. Results. In intention-to-treat analyses among 2457 beneficiaries, the 1389 randomized to the CHW program had lower adjusted ratios of ED visits (adjusted rate ratio [ARR] 5 0.96; P, .01) and ED visit costs (ARR 5 0.96; P, .01), but higher adjusted ratios of ambulatory care costs (ARR 5 1.15; P, .01) and no differences in inpatient or total costs compared with the usual-care group. Conclusions. Initial increases in ambulatory care use from effective programs for underserved communities may mitigate savings from decreased acute care use. Longer-term outcomes should be followed to assess potential cost savings from improved health.</t>
  </si>
  <si>
    <t>SCOPUS_ID:0034809919</t>
  </si>
  <si>
    <t>10.1093/eurpub/11.3.294</t>
  </si>
  <si>
    <t>Patterns of unhealthy behaviour in finland</t>
  </si>
  <si>
    <t>['Health behaviour', 'Lifestyle', 'Smoking', 'Sociodemographic differences']</t>
  </si>
  <si>
    <t>Background: The aim of the study was to examine associations between unhealthy behaviours among the Finnish adult population. Methods: Data from a series of cross-sectional health behaviour surveys from the years 1991-1998 were pooled. Associations between smoking, alcohol consumption, lack of regular physical activity and unhealthy diet were examined among 22,745 respondents. The associations were first studied in terms of accumulation: The occurrence of each combination of unhealthy behaviours was compared to their expected appearance, assuming that the behaviours were independent from each other. The same associations were then analysed with log-linear models. Results: Only 2.4% of men and 0.9% of women had all four unhealthy behaviours. Nevertheless, the occurrence of four unhealthy behaviours was about three times more common than expected under the assumption of independence of the behaviours. Also, most of the three-behaviour combinations showed accumulation. Among the pairwise combinations, smoking and alcohol consumption as well as physical inactivity and unhealthy diet showed strongest accumulation, whereas the combination of alcohol consumption and unhealthy diet was less prevalent than expected. The combination of four healthy behaviours appeared 1.3 times more often than expected. In log-linear analysis a model containing all pairwise associations and the three-behaviour interaction between smoking, alcohol consumption and physical inactivity, as well as that of alcohol consumption, physical inactivity and unhealthy diet for men, provided an acceptable fit. Most of the unhealthy behaviours were positively associated but the association between alcohol consumption and unhealthy diet was inverse. Other behaviours modified the strength of the associations. The direction of the association between alcohol consumption and physical inactivity depended on other behaviours. Conclusions: Unhealthy behaviours showed pairwise and multiple accumulation. No three-behaviour associations were reducible to pairwise associations. Smoking had the strongest and most consistent associations with other unhealthy behaviours. Differences between sociodemographic groups were small and the patterns of unhealthy behaviour were remarkably similar among men and women.</t>
  </si>
  <si>
    <t>SCOPUS_ID:84994893526</t>
  </si>
  <si>
    <t>10.1016/j.amepre.2016.07.030</t>
  </si>
  <si>
    <t>A Most Odd Ratio:: Interpreting and Describing Odds Ratios</t>
  </si>
  <si>
    <t>Introduction The OR is one of the most commonly used measures of association in preventive medicine, and yet it is unintuitive and easily misinterpreted by journal authors and readers. Methods This article describes correct interpretations of ORs, explains how ORs are different from risk ratios (RRs), and notes potential supplements and alternatives to the presentation of ORs that may help readers avoid confusion about the strength of associations. Results ORs are often interpreted as though they have the same meaning as RRs (i.e., ratios of probabilities rather than ratios of odds), an interpretation that is incorrect in cross-sectional and longitudinal analyses. Without knowing the base rate of the outcome event in such analyses, it is impossible to evaluate the size of the absolute or relative change in risk associated with an OR, and misinterpreting the OR as an RR leads to the overestimation of the effect size when the outcome event is common rather than rare in the study sample. In case-control analyses, whether an OR can be interpreted as an RR depends on how the controls were selected. Conclusions Education, peer reviewer vigilance, and journal reporting standards concerning ORs may improve the clarity and accuracy with which this common measure of association is described and understood in preventive medicine and public health research.</t>
  </si>
  <si>
    <t>SCOPUS_ID:0026505980</t>
  </si>
  <si>
    <t>10.1093/ije/21.2.320</t>
  </si>
  <si>
    <t>Life table analysis of infant mortality and feto-infant mortality distributed on causes of death in Denmark 1983-1987</t>
  </si>
  <si>
    <t>The survival function of 263322 singletons of the 1983-1987 Danish birth cohorts (262159 liveborn and 1163 stillborn babies) with mortality distributed on functional groups of underlying causes of death is presented in two graphic forms on the basis of Kaplan-Meier estimates.About half of all first-day deaths in liveborn babies occurred during the first 4 hours. More than half of all first-week deaths happened during the first day. More than half of all deaths from 31 weeks to 76 weeks after the first day of the last menstrual period (LMP) were either fetal deaths prior to the onset of labour unexplained by fetal factors or unexplained sudden infant death syndrome (SIDS) deaths. Graphic presentation of feto-infant mortality distributed on functional cause-of-death groups improved the expression of the relative contribution and timing of the different causes of deaths.Despite a high autopsy rate and a uniform coding practice the distribution on causes of deaths from register data should be interpreted with caution.Full use of the feto-infant approach is only achieved with data which include late abortions. Thus the feto-infant approach is of special interest in countries which have registers of live births and fetal deaths from week 22 of gestation or earlier.The integration of the life table approach and analysis of underlying causes of deaths should be further explored as a way of utilizing vital statistic databases for the evaluation of perinatal care. Â© 1992 International Epidemiological Association.</t>
  </si>
  <si>
    <t>SCOPUS_ID:20544458654</t>
  </si>
  <si>
    <t>10.1097/01.ede.0000165392.35273.d4</t>
  </si>
  <si>
    <t>Age at menopause, cause-specific mortality and total life expectancy</t>
  </si>
  <si>
    <t>Background: A later menopause has been associated with a decreased cardiovascular risk but with an increased risk for breast and endometrial cancer. The net effect on mortality is unclear. We determined the association of age at menopause with longevity and with the balance between cardiovascular and cancer mortality. Methods: We analyzed data from a breast cancer screening cohort comprising 12,134 postmenopausal women followed for an average of 17 years. We used Cox proportional hazards models and life tables to calculate the life expectancy of an average Dutch woman at age 50. Results: During 204,024 person-years, there were 2607 deaths, of which 963 were due to cardiovascular diseases and 812 due to cancer. Ischemic heart disease risk decreased with a later menopause (hazard ratio [HR] = 0.98 per year; 95% confidence interval = 0.96-0.99), but the risk of fatal uterine or ovarian cancer increased (1.07 per year; 1.01-1.12). A later menopause was associated with longer overall survival; HR for total mortality was 0.98 per year (0.97-0.99). Life expectancy in women with menopause after age 55 was 2.0 years longer than those with menopause before age 40. Adjustment for potential confounders did not materially change the results. Conclusions: Age-adjusted mortality is reduced 2% with each increasing year of age at menopause. In particular, ischemic heart disease mortality is 2% lower. Although the risk of death from uterine or ovarian cancer is increased by 5%, the net effect of a later menopause is an increased lifespan. Copyright Â© 2005 by Lippincott Williams &amp; Wilkins.</t>
  </si>
  <si>
    <t>SCOPUS_ID:0025222014</t>
  </si>
  <si>
    <t>10.2105/AJPH.80.12.1505</t>
  </si>
  <si>
    <t>Evidence for gonococcal transmission within a correctional system</t>
  </si>
  <si>
    <t>In a study to examine sexually transmissable disease occurring within a large correctional system where sexual activity is prohibited, 27 male inmates acquired culture-proven gonorrhea from in-jail sexual activity during a three-month period. These results provide evidence to encourage inmate education about the acquired immunodeficiency syndrome (AIDS) and to support condom distribution programs in correctional facilities.</t>
  </si>
  <si>
    <t>SCOPUS_ID:20344388071</t>
  </si>
  <si>
    <t>10.1136/jech.2004.027904</t>
  </si>
  <si>
    <t>Milk consumption, stroke, and heart attack risk: Evidence from the Caerphilly cohort of older men</t>
  </si>
  <si>
    <t>Objective: To examine associations between milk consumption and incident heart disease and stroke. Design: A representative population sample of men was asked to weigh and record their food intake for seven days. The total consumption of milk was obtained from these records. Details of all deaths and vascular events were collected during the following 20 years. Incident ischaemic strokes and heart disease events were diagnosed by standard criteria. Setting: The Caerphilly cohort, a representative population sample of men in South Wales, aged 45-59 when first seen in 1979-83. Participants: A representative 3:10 subsample of the men in the cohort. Main results: 665 men (87% of those approached) returned satisfactory seven day diet diaries. After adjustment, the relative odds of an event in the men whose milk consumption was the median or higher, relative to those with lower intakes of milk, were 0.52 (0.27 to 0.99) for an ischaemic stroke and 0.88 (0.56 to 1.40) for an ischaemic heart disease event. Deaths from all causes were similar in the two milk consumption groups (relative odds 1.08; 0.74 to 1.58). Conclusions: These results give no convincing evidence of an increased risk of vascular disease from milk drinking. Rather, the subjects who drank more than the median amount of milk had a reduced risk of an ischaemic stroke, and possibly a reduced risk of an ischaemic heart disease event. These conclusions are in agreement with the results of a previously reported overview of 10 large, long term cohort studies based on food frequency intake records.</t>
  </si>
  <si>
    <t>SCOPUS_ID:0028681660</t>
  </si>
  <si>
    <t>10.1136/jech.49.4.401</t>
  </si>
  <si>
    <t>Tropospheric ozone: Respiratory effects and Australian air quality goals</t>
  </si>
  <si>
    <t>Objective - To review the health effects of tropospheric ozone and discuss the implications for public health policy. Design - Literature review and consultation with scientists in Australia and overseas. Papers in English or with English language abstracts were identified by Medline search from the international peer reviewed published reports. Those from the period 1980-93 were read systematically but selected earlier papers were also considered. Reports on ozone exposures were obtained from environmental agencies in the region. Results - Exposure to ozone at concentrations below the current Australian air quality goal (0.12 ppm averaged over one hour) may cause impaired respiratory function. Inflammatory changes in the small airways and respiratory symptoms result from moderate to heavy exercise in the presence of ozone at levels of 0.08-0.12 ppm. The changes in respiratory function due to ozone are short lived, vary with the duration of exposure, may be modified by levels of other pollutants (such as sulphur dioxide and particulates), and differ appreciably between individuals. Bronchial lavage studies indicate that inflammation and other pathological changes may occur in the airways before reductions in air flow are detectable, and persist after respiratory function has returned to normal. It is not known whether exposures to ozone at low levels (0.08-0.12 ppm) cause lasting damage to the lung or, if such damage does occur, whether it is functionally significant. At present, it is not possible to identify confidently population subgroups with heightened susceptibility to ozone. People with asthma may be more susceptible to the effects of ozone than the general population but the evidence is not consistent. Recent reports suggest that ozone increases airway reactivity on subsequent challenge with allergens and other irritants. Animal studies are consistent with the findings in human populations. Conclusion - A new one hour air quality ozone goal of 0.08 ppm for Australia, and the introduction of a four hour goal of 0.06 ppm are recommended on health grounds.</t>
  </si>
  <si>
    <t>SCOPUS_ID:0033564034</t>
  </si>
  <si>
    <t>10.1093/oxfordjournals.aje.a009763</t>
  </si>
  <si>
    <t>Black-white differences in disability and morbidity in the last years of life</t>
  </si>
  <si>
    <t>['Blacks', 'Cohort studies', 'Disability evaluation', 'Education', 'Morbidity', 'Racial stocks', 'Social class']</t>
  </si>
  <si>
    <t>To assess black-white differences in disability and morbidity in the last years of life, the authors analyzed data from the National Health Interview Survey from 1986 to 1994, with mortality follow-up through December 1995. A baseline household interview was conducted for 10,187 decedents aged 50 years and over within 2 years before death. Data collected included long- term limitation of activity, number of chronic conditions, number of bed days, doctor visits, and days of short hospital stay during the year preceding the interview. For both blacks and whites, educational attainment was inversely associated with disability/morbidity indices. Black decedents had greater morbidity compared with whites, and this difference was consistent across educational levels. Adjustment for education reduced the black-white difference in limitation of activity score by 32%, bed days by 59%, and hospital stay days by 40%. This study from a national representative US sample indicates that black decedents experienced greater disability/morbidity and worse quality of life through their last few months or years of life. Educational attainment was associated with morbidity before death and accounted for much of the black-white difference.</t>
  </si>
  <si>
    <t>SCOPUS_ID:44649144652</t>
  </si>
  <si>
    <t>10.1093/eurpub/ckn005</t>
  </si>
  <si>
    <t>Religious affiliation and acute coronary syndrome: A population-based case-control study in Tirana, Albania</t>
  </si>
  <si>
    <t>['Acute coronary syndrome', 'Albania', 'Christian', 'Muslim', 'Religion']</t>
  </si>
  <si>
    <t>Background: Our aim was to assess the association of religious affiliation (Muslim versus Christian) with acute coronary syndrome (ACS) in Albania, a predominantly Muslim country in Southeast Europe. Methods: A population-based case-control study was conducted in Tirana, the Albanian capital, in 2003-2006. Of non-fatal consecutive ACS patients, 467 were recruited (370 men aged 59.1 Â± 8.7 years and 97 women 63.3 Â± 7.1 years, 88% response). The coronary heart disease-free control group comprised 469 men (53.1 Â± 10.4 years) and 268 women (54.0 Â± 10.9 years) (69% response), 452 and 237 of whom were fully examined. Information collected included sociodemographic, psychosocial and behavioural characteristics by structured interview and anthropometric measurements. Furthermore, data on religious affiliation was available for all but 20 of the non-respondents. Multivariable-adjusted logistic regression was used to assess the association of religious affiliation (Muslim versus Christian) with ACS. Results: Of ACS patients, 77.1% were Muslims compared with 65.8% of the entire control group. Muslims in both sexes were at higher risk of ACS than Christians (age- and sex-adjusted OR = 1.8, 95% CI = 1.4-2.3, P &lt; 0.01). The association persisted (OR = 1.6, 95%CI = 1.1-2.3, P = 0.02) upon further adjustment for marital status, family size, education, income, employment status, social position, emigration of close relatives, financial loss and coronary risk factors. Conclusions: In this transitional country, we found a higher risk of ACS in Muslims than Christians, independent of the socioeconomic circumstances and conventional coronary risk factors assessed. This finding requires replication and the determinants of the excess risk sought. Â© The Author 2008. Published by Oxford University Press on behalf of the European Public Health Association. All rights reserved.</t>
  </si>
  <si>
    <t>Albania</t>
  </si>
  <si>
    <t>SCOPUS_ID:84893864507</t>
  </si>
  <si>
    <t>10.1016/j.ypmed.2013.12.001</t>
  </si>
  <si>
    <t>How many "Get Screened" messages does it take? Evidence from colorectal cancer screening promotion in the United States, 2012</t>
  </si>
  <si>
    <t>['Cancer screening', 'Health campaign', 'Health promotion', 'Mass media', 'Neoplasm']</t>
  </si>
  <si>
    <t>Objective: Colorectal cancer screening has been widely promoted in the United States. We investigated the association between reported exposure to screening information during the past year and screening participation and knowledge. Method: Data from the 2012 HealthStyles Fall survey of U.S. adults were examined using adjusted logistic regression to examine the frequency of exposure to screening information as a predictor of screening participation and knowledge; analyses were limited to participants aged â‰¥. 50. years with no history of colorectal cancer or polyps (N. = 1714). Results: Nearly half of the participants (44.9%) reported exposure to colorectal cancer screening information during the previous year. The most common sources of screening information were news reports, advertisements, and health care providers. Screening participation and knowledge consistently increased with the reported frequency of exposure to screening information, and these associations generally persisted when demographic variables were controlled. Compared with unexposed participants, significant gains in screening participation were associated with exposure to screening information 2-3 times (Adj. OR. = 1.84, p. = 0.001), 4-9 times (Adj. OR. = 2.00, p. = 0.001), and â‰¥. 10 times (Adj. OR. = 3.03, p. &lt;. 0.001) in the adjusted model. Conclusions: Increasing public exposure to screening promotion messages may augment screening participation and knowledge. Â© 2013.</t>
  </si>
  <si>
    <t>SCOPUS_ID:84863317393</t>
  </si>
  <si>
    <t>10.1093/aje/kwr494</t>
  </si>
  <si>
    <t>Strategies for genetic association analyses combining unrelated case-control individuals and family trios</t>
  </si>
  <si>
    <t>['Alleles', 'Case-control studies', 'Family trios', 'Genetic', 'Genetic association studies', 'Genetics', 'Odds ratio', 'Polymorphism', 'Risk']</t>
  </si>
  <si>
    <t>In genetic association studies, analyses integrating data or estimates from unrelated case-control individuals and case trios (case offspring and their parents) can increase statistical power to identify disease susceptibility loci. Data on control trios may also be available, but how and when their use is advantageous is less familiar and is described here. In addition, the authors examine assumptions and properties of hybrid analyses combining association estimates from unrelated case-control individuals together with case and control family trios, focusing on low-prevalence disease. One such assumption is absence of population stratification bias (PSB), a potential source of confounding in case-control analyses. For detection of PSB, the authors discuss 4 possible tests that assess equality between individual-level and family-based estimates. Furthermore, a weighted framework is presented, in which estimates from analyses combining unrelated individuals and families (most powerful but subject to PSB) and family-based analyses (robust to PSB) are weighted according to the observed PSB test P value. In contrast to existing hybrid designs that combine individuals and families only if no significant PSB is detected, the weighted framework does not require specification of an arbitrary PSB testing level to establish significance. The statistical methods are evaluated using simulations and applied to a candidate gene study of childhood leukemia (Quebec Childhood Leukemia Study, 1980-2000). Â© The Author 2012. Published by Oxford University Press on behalf of the Johns Hopkins Bloomberg School of Public Health. All rights reserved.</t>
  </si>
  <si>
    <t>SCOPUS_ID:0027459533</t>
  </si>
  <si>
    <t>10.1093/ije/22.1.81</t>
  </si>
  <si>
    <t>Sudden unexplained death syndrome in north-east thailand</t>
  </si>
  <si>
    <t>To study sudden unexplained death syndrome (SUDS) in north-east Thailand, a mailed screening questionnaire and direct retrospective interview of relatives or witnesses of the incident was carried out in four administrative districts of Khon Kaen Province, north-east Thailand. Healthy villagers, 20-49 years, who died suddenly without explanation were identified as cases. Live healthy villagers who were age- and sex-matched with the dead served as controls. The study showed that all but one case were male with a mean age of 38 Â± 8 years. The incidence of SUDS was 38 per 100000 men 20-49 years old per year. The peak risk was at 45-49 years. About 75% of SUDS cases had an annual income per household of less than the mean per capita income in Thailand. There were more SUDS cases in the hot season than any other season. The onset was nocturnal in 84% of cases. Presence of SUDS in family members was more frequently found in cases than in controls (P &lt; 0.001). A history of muscle soreness, malaise and recent hard labour were seen as frequently in SUDS victims as in controls. In witnessed cases, symptoms usually lasted for a few minutes prior to death. Common symptoms or signs were respiratory (groaning, choking or coughing) and muscular spasticity or paralysis. The most consistent but yet unexplained finding in this study is the association between the onset of SUDS and the rest period. Â© 1993 International Epidemiological Association.</t>
  </si>
  <si>
    <t>Thailand</t>
  </si>
  <si>
    <t>SCOPUS_ID:57149107148</t>
  </si>
  <si>
    <t>10.1093/aje/kwn252</t>
  </si>
  <si>
    <t>Seasonal and regional short-term effects of fine particles on hospital admissions in 202 US counties, 1999-2005</t>
  </si>
  <si>
    <t>['Air pollution', 'Hospitalization', 'Medicare', 'Particulate matter', 'Seasons']</t>
  </si>
  <si>
    <t>The authors investigated whether short-term effects of fine particulate matter with an aerodynamic diameter â‰¤2.5 Î¼m (PM2.5) on risk of cardiovascular and respiratory hospitalizations among the elderly varied by region and season in 202 US counties for 1999-2005. They fit 3 types of time-series models to provide evidence for 1) consistent particulate matter effects across the year, 2) different particulate matter effects by season, and 3) smoothly varying particulate matter effects throughout the year. The authors found statistically significant evidence of seasonal and regional variation in estimates of particulate matter effect. Respiratory disease effect estimates were highest in winter, with a 1.05% (95% posterior interval: 0.29, 1.82) increase in hospitalizations per 10-Î¼g/m3 increase in same-day PM2.5. Cardiovascular diseases estimates were also highest in winter, with a 1.49% (95% confidence interval: 1.09, 1.89) increase in hospitalizations per 10-Î¼g/m3 increase in same-day PM2.5, with associations also observed in other seasons. The strongest evidence of a relation between PM2.5 and hospitalizations was in the Northeast for both respiratory and cardiovascular diseases. Heterogeneity of PM2.5 effects on hospitalizations may reflect seasonal and regional differences in emissions and in particles' chemical constituents. Results can help guide development of hypotheses and further epidemiologic studies on potential heterogeneity in the toxicity of constituents of the particulate matter mixture. Â© The Author 2008. Published by the Johns Hopkins Bloomberg School of Public Health. All rights reserved.</t>
  </si>
  <si>
    <t>SCOPUS_ID:85056311889</t>
  </si>
  <si>
    <t>10.1097/EDE.0000000000000879</t>
  </si>
  <si>
    <t>Acute changes in community violence and increases in hospital visits and deaths from stress-responsive diseases</t>
  </si>
  <si>
    <t>['Anxiety disorders', 'Asthma', 'California', 'Hospital visit', 'Myocardial infarction', 'Residence characteristics', 'Violence', 'Vital statistics']</t>
  </si>
  <si>
    <t>Background: Community violence may affect a broad range of health outcomes through physiologic stress responses and changes in health behaviors among residents. However, existing research on the health impacts of community violence suffers from problems with bias. Methods: We examined the relations of acute changes in community violence with hospital visits and deaths due to stress-responsive diseases (mental, respiratory, and cardiac conditions) in statewide data from California 2005â€“2013. The community violence exposure was measured as both binary spikes and continuous acute changes. We applied a combined fixed-effects and time-series design that separates the effects of violence from those of community- and individual-level confounders more effectively than past research. Temporal patterning was removed from community violence rates and disease rates in each place using a Kalman smoother, resulting in residual rates. We used linear regression with place fixed-effects to examine within-place associations of acute changes in community violence with residual rates of each outcome, controlling for local time-varying covariates. Results: We found acute increases in hospital visits and deaths due to anxiety disorders (0.31 per 100,000; 95% confidence interval [CI] = 0.02, 0.59), substance use (0.47 per 100,000; 95% CI = 0.14, 0.80), asthma (0.56 per 100,000; 95% CI = 0.16, 0.95), and fatal acute myocardial infarction (0.09 per 100,000; 95% CI = 0.00, 0.18) co-occurring with violence spikes. The pattern of findings was similar for the exposure of continuous acute violence changes. Conclusions: Although the associations were small, the identified increases in stress-responsive conditions suggest the possibility of health impacts of acute changes in community violence.</t>
  </si>
  <si>
    <t>SCOPUS_ID:85131793327</t>
  </si>
  <si>
    <t>10.1016/j.amepre.2022.04.015</t>
  </si>
  <si>
    <t>COVID-19â€’Related Childhood BMI Increases in China: A Health Surveillanceâ€’Based Ambispective Cohort Analysis</t>
  </si>
  <si>
    <t>Introduction: The COVID-19 pandemicâ€’related BMI gain and obesity prevalence changes in children have not been clearly elucidated, especially in China. This study aims to assess the impact of pandemic-related BMI and obesity prevalence change in Chinese children aged 8â€“12 years. Methods: On the basis of the Health Promotion Program for Children and Adolescents in Suzhou of China, a total of 72,175 children aged 8â€“12 years with complete data during 2017â€“2020 were included. Yearly BMI z-score changes and age- and sex-adjusted BMI changes before (2017â€“2019) and during (2019â€“2020) the pandemic were calculated. Multivariate mixed linear models were used to examine the possible difference in annual BMI change rate before and during the pandemic among subgroups. Results: The obesity prevalence slightly increased from 12.29% (2017) to 13.28% (2019) but substantially increased to 15.29% in 2020. The mean yearly change in BMI z-score before and during the pandemic were 0.039 (95% CI=0.037, 0.042) and 0.131 (95% CI=0.125, 0.138), respectively, yielding a difference of 0.092 (95% CI=0.087, 0.096). Similarly, changes and age- and sex-adjusted BMI increased by 0.191 (95% CI=0.179, 0.202) during the pandemic compared with those of previous years. Meanwhile, the increase in BMI changes in 2019â€“2020 compared with that before the pandemic was more obvious in boys than in girls and in underweight or normal-weight children than in their overweight and obese counterparts. Conclusions: BMI gain increased among Chinese children aged 8â€“12 years during the pandemic. There is an urgent need to formulate effective public health policies to reduce the risk of pandemic-related childhood obesity.</t>
  </si>
  <si>
    <t>SCOPUS_ID:0035892977</t>
  </si>
  <si>
    <t>10.1093/aje/154.12.1089</t>
  </si>
  <si>
    <t>Comparative validation of the Block, Willett, and National Cancer Institute Food Frequency Questionnaires: The Eating at America's Table Study</t>
  </si>
  <si>
    <t>['Diet', 'Epidemiologic methods', 'Food habits', 'Nutrition assessment', 'Nutrition surveys', 'Questionnaires']</t>
  </si>
  <si>
    <t>Researchers at the National Cancer Institute developed a new cognitively based food frequency questionnaire (FFQ), the Diet History Questionnaire (DHQ). The Eating at America's Table Study sought to validate and compare the DHQ with the Block and Willett FFQs. Of 1,640 men and women recruited to participate from a nationally representative sample in 1997, 1,301 completed four telephone 24-hour recalls, one in each season. Participants were randomized to receive either a DHQ and Block FFQ or a DHQ and Willett FFQ. With a standard measurement error model, correlations for energy between estimated truth and the DHQ, Block FFQ, and Willett FFQ, respectively, were 0.48, 0.45, and 0.18 for women and 0.49, 0.45, and 0.21 for men. For 26 nutrients, correlations and attenuation coefficients were somewhat higher for the DHQ versus the Block FFQ, and both were better than the Willett FFQ in models unadjusted for energy. Energy adjustment increased correlations and attenuation coefficients for the Willett FFQ dramatically and for the DHQ and Block FFQ instruments modestly. The DHQ performed best overall. These data show that the DHQ and the Block FFQ are better at estimating absolute intakes than is the Willett FFQ but that, after energy adjustment, all three are more comparable for purposes of assessing diet-disease risk.</t>
  </si>
  <si>
    <t>SCOPUS_ID:84930394539</t>
  </si>
  <si>
    <t>10.1093/aje/kwu356</t>
  </si>
  <si>
    <t>Indoor tanning and the MC1R genotype: Risk prediction for basal cell carcinoma risk in young people</t>
  </si>
  <si>
    <t>['basal cell carcinoma', 'indoor tanning', 'MC1R', 'melanocortin 1 receptor', 'nonmelanoma skin cancer', 'risk prediction model', 'young adults']</t>
  </si>
  <si>
    <t>Basal cell carcinoma (BCC) incidence is increasing, particularly in young people, and can be associated with significant morbidity and treatment costs. To identify young individuals at risk of BCC, we assessed existing melanoma or overall skin cancer risk prediction models and built a novel risk prediction model, with a focus on indoor tanning and the melanocortin 1 receptor gene, MC1R. We evaluated logistic regression models among 759 non-Hispanic whites from a case-control study of patients seen between 2006 and 2010 in New Haven, Connecticut. In our data, the adjusted area under the receiver operating characteristic curve (AUC) for a model by Han et al. (Int J Cancer. 2006;119(8):1976-1984) with 7 MC1R variants was 0.72 (95% confidence interval (CI): 0.66, 0.78), while that by Smith et al. (J Clin Oncol. 2012;30(15 suppl):8574) with MC1R and indoor tanning had an AUC of 0.69 (95% CI: 0.63, 0.75). Our base model had greater predictive ability than existing models and was significantly improved when we added ever-indoor tanning, burns from indoor tanning, and MC1R (AUC = 0.77, 95% CI: 0.74, 0.81). Our early-onset BCC risk prediction model incorporating MC1R and indoor tanning extends the work of other skin cancer risk prediction models, emphasizes the value of both genotype and indoor tanning in skin cancer risk prediction in young people, and should be validated with an independent cohort.</t>
  </si>
  <si>
    <t>SCOPUS_ID:79151486660</t>
  </si>
  <si>
    <t>10.1007/s10654-010-9539-0</t>
  </si>
  <si>
    <t>Estimation of the contribution of biomarkers of different metabolic pathways to risk of type 2 diabetes</t>
  </si>
  <si>
    <t>['Adiponectin/blood', 'Biological markers/blood', 'Diabetes', 'Inflammation', 'Liver enzymes', 'Prospective studies']</t>
  </si>
  <si>
    <t>The contribution of different biological pathways to the development of type 2 diabetes was quantified in a case-cohort design based on circulating blood biomarkers from participants aged 35-65 years in the EPIC-Potsdam Study. The analytic sample included 613 participants with incident diabetes and 1965 participants without diabetes. The proportion that each biomarker contributed to the risk of diabetes was quantified using effect decomposition method. Summarized risk of each biomarker was estimated by an index based on quintiles of gamma-glutamyltransferase (GGT), HDL-cholesterol, hs-CRP, and adiponectin. Cox proportional hazard regression was used to estimate relative risks adjusted for age, sex, body mass index, waist-circumference, education, sport activity, cycling, occupational activity, smoking, alcohol intake, and consumptions of red meat, coffee and whole grain bread. Adiponectin explained a total of 32.1% (CI = 16.8, 49.1%) of the risk related to index. For the other biomarkers the corresponding proportions were 23.5% (CI = 10.1, 37.8%) by HDL-cholesterol, 21.5% (CI = 11.5, 32.8%) by GGT, and 15.5% (CI = 4.44, 27.3%) by hs-CRP. The results support the hypothesis that the different biological pathways reflected by GGT, HDL-cholesterol, hs-CRP and adiponectin independent from each other contribute to the risk of type 2 diabetes. Of these pathways the highest contribution was observed for adiponectin which contributed one-third to the risk and that equal proportion was contributed by GGT and HDL-cholesterol, although the contribution of inflammation was lower. Â© 2010 Springer Science+Business Media B.V.</t>
  </si>
  <si>
    <t>SCOPUS_ID:33947599609</t>
  </si>
  <si>
    <t>10.1007/s10654-007-9111-8</t>
  </si>
  <si>
    <t>Lack of association between genetic variants in the mannose-binding lectin 2 (MBL2) gene and HPV infection</t>
  </si>
  <si>
    <t>['Genetic variants', 'Gynecological cancer/cervical', 'Host-virus interaction', 'HPV', 'MBL2']</t>
  </si>
  <si>
    <t>Genetic variants in the immunomodulatory gene mannose-binding lectin 2 (MBL2), were associated with risk, severity, and frequency of viral infections. In a case-control setting, we investigated the association of MBL2 functional polymorphisms with Human Papillomas Virus (HPV) infection. No differences between cases (HPV+) and controls (HPV-) were found in the distribution of each single genotypes or allele. Haplotype analysis did not show any difference between HPV+ and HPV- groups. Â© 2007 Springer Science+Business Media B.V.</t>
  </si>
  <si>
    <t>SCOPUS_ID:0025898584</t>
  </si>
  <si>
    <t>10.1097/00001648-199105000-00004</t>
  </si>
  <si>
    <t>Sexâ€”Specific Trends in Mortality for the Aging Population in Norway a Model with Age, Period, and Cohort Effects</t>
  </si>
  <si>
    <t>['Age', 'Cohort effects', 'Drift', 'Extra Poisson-variation', 'Identification', 'Mortality', 'Period effects', 'Poisson regression']</t>
  </si>
  <si>
    <t>During the last few decades, the citizens of most western countries have experienced an increased expectation of life. The rate of this change differs for males and females. We evaluated reasons for this pattern, using a Poisson model, with aye, period, and cohort effects applied to vital statistics data from the Central Bureau of Statistics of Norway. The data comprised the total Norwegian population aged 45 to 104 years who died in the period from 1966 until 1986. Differential changes in life expectancy for the elderly are explained by differences in sex-specific cohort effects. We also observed an extra-Poisson variation, or overdispersion, in the distribution for females. Â© 1991 Epidemiology Resources Inc.</t>
  </si>
  <si>
    <t>SCOPUS_ID:0029556951</t>
  </si>
  <si>
    <t>10.1136/jech.49.6.594</t>
  </si>
  <si>
    <t>Emergency appendicectomy and meat consumption in the UK</t>
  </si>
  <si>
    <t>Study objective - To compare the rates of reported emergency appendicectomies in a cohort study of vegetarians and nonvegetarians by participants' history of meat consumption Design - This was a prospective cohort study in which participants were asked about their lifetime history of meat consumption/avoidance and, separately, whether they had had an appendicectomy. Appendicectomy was described as either "emergency" or "non-emergency" according to details supplied by the participant. Setting-The United Kingdom. Participants - These comprised more than 11000 people, of whom 4852 (44%) completed both an appendicectomy form and a dietary questionnaire giving details of their lifetime history of meat consumption. Main results - The percentage who reported an emergency appendicectomy was higher among lifelong meat eaters (10.7%) than either lifelong non-meat eaters (7-8%) or those who had stopped eating meat (8-0%); and the operations were performed at an earlier age in this first group (mean values 18-9, 26X0, and 19-6 years respectively). The overall age adjusted emergency appendicectomy rate ratio comparing participants who did not eat meat with those who ate meat was 0-47 (95% confidence interval 0 35, 0.65). Conclusions - The results suggest that people who do not eat meat have a 50% lower risk of requiring an emergency appendicectomy than those who do. The data do not, however, allow the reliable testing of other hypotheses, so meat consumption may simply be a marker for another dietary, lifestyle, or socioeconomic factor.</t>
  </si>
  <si>
    <t>SCOPUS_ID:79953666873</t>
  </si>
  <si>
    <t>10.1093/aje/kwq097</t>
  </si>
  <si>
    <t>Efficient genome-wide association testing of gene-environment interaction in case-parent trios</t>
  </si>
  <si>
    <t>['Environmental exposure', 'Epidemiologic methods', 'Genetic', 'Genetic association studies', 'Genetics', 'Genome-wide association study', 'Models']</t>
  </si>
  <si>
    <t>Complex trait variation is likely to be explained by the combined effects of genes, environmental factors, and gene Ã— environment (G Ã— E) interaction. The authors introduce a novel 2-step method for detecting a G Ã— E interaction in a genome-wide association study (GWAS) of case-parent trios. The method utilizes 2 sources of G Ã— E information in a trio sample to construct a screening step and a testing step. Across a wide range of models, this 2-step procedure provides substantially greater power to detect G Ã— E interaction than a standard test of G Ã— E interaction applied genome-wide. For example, for a disease susceptibility locus with minor allele frequency of 15%, a binary exposure variable with 50% prevalence, and a GWAS scan of 1 million markers in 1,000 case-parent trios, the 2-step method provides 87% power to detect a G Ã— E interaction relative risk of 2.3, as compared with only 25% power using a standard G Ã— E test. The method is easily implemented using standard software. This 2-step scan for G Ã— E interaction is independent of any prior scan that may have been conducted for genetic main effects, and thus has the potential to uncover new genes in a GWAS that have not been previously identified. Â© The Author 2010.</t>
  </si>
  <si>
    <t>SCOPUS_ID:85098742150</t>
  </si>
  <si>
    <t>10.1093/ije/dyaa177</t>
  </si>
  <si>
    <t>Soy and isoflavone consumption and subsequent risk of prostate cancer mortality: The Japan Public Health Center-based Prospective Study</t>
  </si>
  <si>
    <t>['Isoflavone', 'JPHC Study', 'Prospective', 'Prostate cancer death', 'Soy']</t>
  </si>
  <si>
    <t>Background: Although many epidemiological studies have reported the preventive effects of soy products and isoflavones on prostate cancer, our previous studies reported that the association between soy and isoflavones and prostate cancer incidence differed according to stage. It is more important to identify modifiable risk factors related to lethal prostate cancer. Here, we investigated the association between soy, soy products and isoflavones intake and prostate cancer mortality, in a prospective study in Japan. Methods: We conducted a population-based prospective study in 43 580 Japanese men with no history of cancer or cardiovascular disease (aged 45-74 years). Participants completed a validated questionnaire which included 138 food items. We followed participants from 1995 to 2016. Hazard ratios (HRs) and 95% confidence intervals (CIs) of prostate cancer mortality were calculated according to quintiles of soy products and isoflavones intake, using Cox hazard proportional hazards regression. Results: During 16.9 years follow-up, we registered 221 deaths from prostate cancer. Isoflavones and soy products intake was associated with an increased risk of prostate cancer death, with multivariate HRQ5 vs. Q1=1.39, 95% CI = 0.87-2.20, p for trend = 0.04 for isoflavones and multivariate HRQ5 vs. Q1=1.76, 95% CI = 1.10-2.82, p for trend = 0.04 for soy food. Conclusions: Our study suggested that high intake of soy and isoflavones might increase the risk of prostate cancer mortality.</t>
  </si>
  <si>
    <t>SCOPUS_ID:0036900246</t>
  </si>
  <si>
    <t>10.1136/jech.56.12.935</t>
  </si>
  <si>
    <t>Neighbourhood socioeconomic context and self reported health and smoking: A secondary analysis of data on seven cities</t>
  </si>
  <si>
    <t>Objective: Many studies have shown that poor health status and harmful heolth behaviour occur more frequently in deprived neighbourhoods. Most studies show modest associations between area level socioeconomic factors, the neighbourhood context, and health outcomes. However, estimates for the contextuol effects vary. It is unclear if this variation is attributable to differences in methodology. This study examines whether contextual neighbourhood differences in heolth outcomes really vary between cities or that differences in methodology may account for these differences. Design: Secondary onalysis of data from health interview surveys in seven large Dutch cities in the 1990s comprising 23 269 residents of 484 neighbourhoods, using multilevel logistic models. Setting: Generol population aged 16 and over. Main outcome measures: Self reported health, smoking of cigarettes. Main results: The socioeconomic context of neighbourhoods is associated with health outcomes in all large Dutch cities. The strength of the association varies between cities, but variation is much smaller in the age group 25-64. Furthermore, neighbourhoad differences vary in size between native and other residents. Contextual neighbourhaod differences are about two times larger for self reported health than for the smoking of cigarettes, but for native Dutch people they are of similar size. Conclusions: A comparatively large improvement in health may be gained in deprived neighbourhoods, because of the poorer health status to which the context of these neighbourhoods also contributes. Health promoting interventions should be aimed at the residents and at the context of deprived neighbourhoods, taking differences between ethnic groups and age groups into account.</t>
  </si>
  <si>
    <t>SCOPUS_ID:85041527160</t>
  </si>
  <si>
    <t>10.1136/jech-2017-209777</t>
  </si>
  <si>
    <t>Changes in drinking as predictors of changes in sickness absence: A case-crossover study</t>
  </si>
  <si>
    <t>Background We investigated whether changes in alcohol use predict changes in the risk of sickness absence in a case-crossover design. Methods Finnish public sector employees were surveyed in 2000, 2004 and 2008 on alcohol use and covariates. Heavy drinking was defined as either a weekly intake that exceeded recommendations (12 units for women; 23 for men) or having an extreme drinking session. The responses were linked to national sickness absence registers. We analysed the within-person relative risk of change in the risk of sickness absence in relation to change in drinking. Case period refers to being sickness absent within 1 year of the survey and control period refers to not being sickness absent within 1 year of the survey. Results Periods of heavy drinking were associated with increased odds of self-certified short-term (1-3 days) sickness absence (multivariable-adjusted OR 1.21, 95% CI 1.07 to 1.38 for all participants; 1.62, 95% CI 1.19 to 2.21 for men and 1.15, 95% CI 1.00 to 1.33 for women). A higher risk of short-term sickness absence was also observed after increase in drinking (OR=1.27, 95% CI 1.07 to 1.52) and a lower risk was observed after decrease in drinking (OR=0.83, 95% CI 0.69 to 1.00). Both increase (OR=1.38, 95% CI 1.21 to 1.57) and decrease (OR=1.27, 95% CI 1.19 to 1.43) in drinking were associated with increased risk of long-term (&gt;9 days) medically certified all-cause sickness absence. Conclusion Increase in drinking was related to increases in short-term and long-term sickness absences. Men and employees with a low socioeconomic position in particular seemed to be at risk.</t>
  </si>
  <si>
    <t>SCOPUS_ID:0025303261</t>
  </si>
  <si>
    <t>10.1016/0091-7435(90)90032-F</t>
  </si>
  <si>
    <t>A prospective study of risk factors for traumatic deaths in a retirement community</t>
  </si>
  <si>
    <t>We examined possible predictors of traumatic deaths by means of a case-control study nested within a large ongoing cohort study of residents of a Southern California retirement community. Baseline information was collected by means of a detailed mailed health survey completed by 11,888 residents in 1981-1982. In multivariate logistic regression analysis, being widowed or divorced (RR = 6.4, P = 0.009), sleeping 9 or more hours per night (RR = 4.6, P = 0.02), and drinking more than three alcoholic beverages a day (RR = 3.5, P = 0.04) were significant predictors of suicide risk. However, the strongest predictor of suicide was a mental outlook assessment summary score calculated from responses to seven questions derived from the Zung self-rating depression scale. Individuals in the poorest summary score category were 23 times more likely to commit suicide than individuals in the best summary score category (P = 0.004). Women who regularly practiced breast self-examination were also at very low risk for suicide (RR = 0.1, P = 0.0005). The mental outlook assessment summary score was also a predictor of accidental deaths, although the relative risk estimates were lower than those for suicide and the individual questions best predicting risk were different. A history of a serious chronic disease (RR = 2.6, P = 0.01) and moderate alcohol intake of less than two drinks per day (RR = 0.3, P = 0.01) were also predictors of accidental deaths. Estrogen use in women did not predict risk of traumatic deaths. Â© 1990.</t>
  </si>
  <si>
    <t>SCOPUS_ID:78751703174</t>
  </si>
  <si>
    <t>10.1016/j.ypmed.2010.12.002</t>
  </si>
  <si>
    <t>Perception of the social and built environment and physical activity among Northeastern Brazil adolescents</t>
  </si>
  <si>
    <t>['Adolescent', 'Environmental', 'Facilities', 'Perception', 'Physical activity']</t>
  </si>
  <si>
    <t>Objective: To evaluate the association between levels of physical activity and perception of the social and built environmental in adolescents from Northeastern Brazil. Methods: The sample comprised 2874 adolescents aged 14 to 19 years (57.8% females) enrolled in private or public secondary schools in the municipality of JoÃ£o Pessoa, Northeastern Brazil. Level of physical activity was measured by questionnaire. Perception of environmental characteristics was measured by means of fifteen questions rated on four-point Likert-type scales ranging from 1 ("strongly disagree") to 4 ("strongly agree"). The association between physical activity and perception of environmental characteristics was investigated using multivariate binary logistic regression. Results: Multivariate analysis showed that adolescents living in neighborhoods where other adolescents were physically active (68.7% vs 60.1%, OR = 1.20; 95%CI: 1.05-1.56, among boys only) or who lived close to places they liked to frequent (71.8% vs 53.4%, OR = 1.96; 95%CI: 1.40-2.78 among boys; and 42.0% vs 32.3% OR = 1.33; 95%CI: 1.10-1.74 among girls) were more likely to be physically active. Conclusions: Adolescents with positive perceptions of certain environmental characteristics were more likely to be physically active. Environmental characteristics may relate differently to levels of physical activity among boys and girls. Â© 2010.</t>
  </si>
  <si>
    <t>SCOPUS_ID:13544273912</t>
  </si>
  <si>
    <t>10.1093/aje/kwi042</t>
  </si>
  <si>
    <t>Quality of reporting of observational longitudinal research</t>
  </si>
  <si>
    <t>['Epidemiologic factors', 'Longitudinal studies']</t>
  </si>
  <si>
    <t>Observational longitudinal research is particularly useful for assessing etiology and prognosis and for providing evidence for clinical decision making. However, there are no structured reporting requirements for studies of this design to assist authors, editors, and readers. The authors developed and tested a checklist of criteria related to threats to the internal and external validity of observational longitudinal studies. The checklist criteria concerned recruitment, data collection, biases, and data analysis and descriptive issues relevant to study rationale, study population, and generalizability. Two raters independently assessed 49 randomly selected articles describing stroke research published from 1999 to 2003 in six journals: American Journal of Epidemiology, Journal of Epidemiology and Community Health, Stroke, Annals of Neurology, Archives of Physical Medicine and Rehabilitation, and American Journal of Physical Medicine and Rehabilitation. On average, 17 of the 33 checklist criteria were reported. Criteria describing the study design were better reported than those related to internal validity. No relation was found between study type (etiologic or prognostic) or word count and quality of reporting. A flow diagram for summarizing participant flow through a study was developed. Editors and authors should consider using a checklist and flow diagram when reporting on observational longitudinal research.</t>
  </si>
  <si>
    <t>SCOPUS_ID:0029072780</t>
  </si>
  <si>
    <t>10.1097/00001648-199507000-00022</t>
  </si>
  <si>
    <t>Cancer incidence among female manual workers</t>
  </si>
  <si>
    <t>['Cancer incidence', 'Manual workers', 'Occupational cohort', 'Social class', 'Women']</t>
  </si>
  <si>
    <t>We investigated cancer incidence during the period 1970-1992 among unskilled Icelandic female workers who contributed to two pension funds for manual workers. We found an increase in the standardized rate ratios (SRRs) for all cancer with increasing time before the follow-up period began. We found no clear relation between cancer incidence and length of employment. The SRRs were higher for those who became members of the funds in 1977 or later than for those who started earlier: among these women, we found SRRs for all cancers, 1.36; cancer of the stomach, 1.49; cancer of the lung, 1.48; cancer of the cervix, 3.19; and cancer of the bladder, 6.00. Â© 1995 Epidemiology Resources Inc.</t>
  </si>
  <si>
    <t>SCOPUS_ID:0029038623</t>
  </si>
  <si>
    <t>10.1016/s0749-3797(18)30408-2</t>
  </si>
  <si>
    <t>Prediction of special education placement from birth certificate data</t>
  </si>
  <si>
    <t>The overall goal of this research effort was to develop procedures for accurately identifying children at high risk for special education placement, based on information available at the time of birth. A file containing information on all births in New York City between 1976 and 1986 was matched against the 1992 BIOFILE, which contains information on all children enrolled in the New York City public school system in 1992. A matched file containing birth and school information on 471,165 children resulted from this process. Three sets of risk factors were derived from birth certificate data: parental, pregnancy-related, and child-related. Using these risk factors as independent variables, a survival analysis model was developed predicting special education placement for each of three major disability categories: learning disability, emotional disorder, and mental retardation. A model combining all disability categories was alsodeveloped. The significant predictors of special education placement were Medicaid payment for birth (a poverty indicator), unmarried status of mother, large family size, low parental education, a mother born in the United States, a low level of prenatal care, male gender, low birthweight, and a low Apgar score. Male gender was the strongest risk factor in all models. Examination of selected survival curves indicated that the predictive power of the models is substantial. The methodology described in this article can be used to identify at-risk children for whom screening and other early interventions, including preschool programs, may be appropriate. In addition, these methods can be adapted to conduct long-term tracking of at-risk children, to conduct cost-effective evaluation of early interventions, and to contribute to the development of long-term enrollment projection models.</t>
  </si>
  <si>
    <t>SCOPUS_ID:0030872603</t>
  </si>
  <si>
    <t>10.1093/oxfordjournals.aje.a009263</t>
  </si>
  <si>
    <t>Risk factors for diarrheal disease incidence in early childhood: A community cohort study from Guinea-Bissau</t>
  </si>
  <si>
    <t>['Breast feeding', 'Cohort studies', 'Cryptosporidium', 'Diarrhea', 'Incidence', 'Infantile', 'Preventive health services']</t>
  </si>
  <si>
    <t>To determine risk factors for diarrhea, the authors followed an open cohort of 1,314 children from Guinea-Bissau by weekly diarrhea recall interviews between April 1987 and March 1990. Data on feeding practices and measles infection were available for all children and, for 531 children, comprehensive data on explanatory variables were recorded. Of 57 variables, seven were independently associated with an increased incidence of diarrhea. These were a recent (in the past 14 days) diarrheal episode, male sex, being weaned from breast milk, not being looked after by the mother, head of the household being &lt;30 years old, eating cold leftovers, and drinking water from an unprotected public water supply. In breastfed children, only three variables were associated with diarrhea, including prior diarrhea, male sex, and not being looked after by the mother. Among weaned children, six variables delineated increased rates of diarrhea, including unprotected public water supply, eating of cold leftovers, and lack of maternal education. Major determinants of persistent diarrhea included weaning, lack of maternal education, and having pigs in the home. It is concluded that, in addition to the promotion of breastfeeding, important interventions against diarrhea include improvements in water supply, hygiene, and food handling. However, because of effect modification by breastfeeding, the largest effects of these interventions will probably be among weaned children.</t>
  </si>
  <si>
    <t>SCOPUS_ID:34247138670</t>
  </si>
  <si>
    <t>10.1093/aje/kwk112</t>
  </si>
  <si>
    <t>Patterns of alcohol drinking and all-cause mortality: Results from a large-scale population-based cohort study in Japan</t>
  </si>
  <si>
    <t>['Alcohol drinking', 'Cohort studies', 'Drinking behavior', 'Japan', 'Mortality']</t>
  </si>
  <si>
    <t>To evaluate the hypothesis that, in terms of all-cause death, drinking alcohol 1-4 days per week is less harmful than daily (5-7 days/week) drinking of the same quantity of alcohol, a prospective cohort study using a self-administered questionnaire was conducted in Japan between 1990 and 2003 of 88,746 subjects (41,702 men and 47,044 women) aged 40-69 years at baseline. Among male regular drinkers consuming alcohol more than 1 day per week, light drinkers (&lt;300 g/week) showed no increase in all-cause mortality irrespective of frequency of alcohol intake. Heavy drinkers (â‰¥300 g/week), however, showed an increased risk of all-cause mortality among those who consumed alcohol 5-7 days per week, while no obvious increase was observed among those who consumed alcohol less than 4 days per week. Hazard ratios for drinkers who consumed alcohol 5-7 days per week were 1.29 (95% confidence interval: 1.12, 1.50) for 300-449 g per week and 1.55 (95% confidence interval: 1.32, 1.81) for â‰¥450 g per week when compared with those for occasional drinkers who consumed alcohol 1-3 days per month. These findings support the Japanese social belief that "liver holidays," abstaining from alcohol for more than 2 days per week, are important for heavy drinkers. Copyright Â© 2007 by the Johns Hopkins Bloomberg School of Public Health All rights reserved.</t>
  </si>
  <si>
    <t>SCOPUS_ID:67749099556</t>
  </si>
  <si>
    <t>10.1093/aje/kwp144</t>
  </si>
  <si>
    <t>Are Americans feeling less healthy? the puzzle of trends in self-rated health</t>
  </si>
  <si>
    <t>['Health status', 'Health surveys', 'Public health', 'Questionnaires']</t>
  </si>
  <si>
    <t>Although self-rated health is proposed for use in public health monitoring, previous reports on US levels and trends in self-rated health have shown ambiguous results. This study presents a comprehensive comparative analysis of responses to a common self-rated health question in 4 national surveys from 1971 to 2007: the National Health and Nutrition Examination Survey, Behavioral Risk Factor Surveillance System, National Health Interview Survey, and Current Population Survey. In addition to variation in the levels of self-rated health across surveys, striking discrepancies in time trends were observed. Whereas data from the Behavioral Risk Factor Surveillance System demonstrate that Americans were increasingly likely to report "fair" or "poor" health over the last decade, those from the Current Population Survey indicate the opposite trend. Subgroup analyses revealed that the greatest inconsistencies were among young respondents, Hispanics, and those without a high school education. Trends in "fair" or "poor" ratings were more inconsistent than trends in "excellent" ratings. The observed discrepancies elude simple explanations but suggest that self-rated health may be unsuitable for monitoring changes in population health over time. Analyses of socioeconomic disparities that use self-rated health may be particularly vulnerable to comparability problems, as inconsistencies are most pronounced among the lowest education group. More work is urgently needed on robust and comparable approaches to tracking population health. American Journal of Epidemiology Â© 2009 The Authors2009This is an Open Access article distributed under the terms of the Creative Commons Attribution Non-Commercial License (http://creativecommons.org/licenses/by-nc/2.0/uk/) which permits unrestricted non-commercial use, distribution, and reproduction in any medium, provided the original work is properly cited. Â© 2009 The Authors.</t>
  </si>
  <si>
    <t>SCOPUS_ID:0035758965</t>
  </si>
  <si>
    <t>10.1023/A:1020006127695</t>
  </si>
  <si>
    <t>Detection of antibodies against Rhodococcus equi in Alpaca (Lama pacos) in Italy</t>
  </si>
  <si>
    <t>['Alpaca', 'Rhodococcus equi', 'Serology']</t>
  </si>
  <si>
    <t>After isolating the two virulent strains of Rhodococcus equi from Alpaca, a serological survey of Rhodococcus equi infection was carried out on 57 blood samples of Alpaca collected in Central Italy. The survey was performed with an ELISA test using a reference R. equi strain as antigen (ATCC 33701). Four (7.0%) sera (OD greater or equal to 0.3) tested positive, while five (8.77%) were considered doubtful (OD between 0.2 and 0.3). This is the first serological survey of R. equi infection in Alpaca in Italy. The results indicate that besides the horse R. equi infection could also affect some ruminant species. The ELISA test was recently introduced as a reliable diagnostic method in horses and was adapted to alpaca.</t>
  </si>
  <si>
    <t>SCOPUS_ID:0031049938</t>
  </si>
  <si>
    <t>10.1023/A:1007302330323</t>
  </si>
  <si>
    <t>Psoriasis is a risk factor for hip-prosthesis</t>
  </si>
  <si>
    <t>['Hip prosthesis', 'Knee prosthesis', 'Nosocomial infection', 'Psoriasis']</t>
  </si>
  <si>
    <t>Risk factors for hip and knee prosthesis infection have been described, but not psoriasis. Eighty five infected patients from different centers and 202 non infected patients were included in a case-control study. Fifteen of 85 infected patients (17.6%), and 2 of 202 (1%) non infected patients had psoriasis. Odds ratio for infection in patients with psoriasis is 21.4 (4.7-195.5) and 39.7 (5.3-1718.8) in patients with hip prosthesis and psoriasis. No significant difference was found in patients with knee prosthesis. These data indicate that psoriasis is a risk factor for hip prostheses infection.</t>
  </si>
  <si>
    <t>SCOPUS_ID:84946882306</t>
  </si>
  <si>
    <t>10.1136/jech-2015-206173</t>
  </si>
  <si>
    <t>Wealth and mortality at older ages: A prospective cohort study</t>
  </si>
  <si>
    <t>Background Despite the importance of socioeconomic position for survival, total wealth, which is a measure of accumulation of assets over the life course, has been underinvestigated as a predictor of mortality. We investigated the association between total wealth and mortality at older ages. Methods We estimated Cox proportional hazards models using a sample of 10 305 community-dwelling individuals aged â‰¥ 50 years from the English Longitudinal Study of Ageing. Results 2401 deaths were observed over a mean follow-up of 9.4 years. Among participants aged 50-64 years, the fully adjusted HRs for mortality were 1.21 (95% CI 0.92 to 1.59) and 1.77 (1.35 to 2.33) for those in the intermediate and lowest wealth tertiles, respectively, compared with those in the highest wealth tertile. The respective HRs were 2.54 (1.27 to 5.09) and 3.73 (1.86 to 7.45) for cardiovascular mortality and 1.36 (0.76 to 2.42) and 2.53 (1.45 to 4.41) for other non-cancer mortality. Wealth was not associated with cancer mortality in the fully adjusted model. Similar but less strong associations were observed among participants aged â‰¥ 65 years. The use of repeated measurements of wealth and covariates brought about only minor changes, except for the association between wealth and cardiovascular mortality, which became less strong in the younger participants. Wealth explained the associations between paternal occupation at age 14 years, education, occupational class, and income and mortality. Conclusions There are persisting wealth inequalities in mortality at older ages, which only partially are explained by established risk factors. Wealth appears to be more strongly associated with mortality than other socioeconomic position measures.</t>
  </si>
  <si>
    <t>SCOPUS_ID:85130976002</t>
  </si>
  <si>
    <t>10.1016/j.ypmed.2022.107044</t>
  </si>
  <si>
    <t>Adverse childhood experiences, diabetes and associated conditions, preventive care practices and health care access: A population-based study</t>
  </si>
  <si>
    <t>['Access to care', 'Adverse Childhood Experiences (ACEs)', 'Behavioral Risk Factor Surveillance System', 'BRFSS', 'Diabetes', 'Early adversity', 'Early life stress', 'Prevention', 'Preventive care', 'Toxic stress']</t>
  </si>
  <si>
    <t>Our objective was to examine how Adverse Childhood Experiences (ACEs) are associated with diabetes mellitus, diabetes-related conditions, and preventive care practices. We used data from the Behavioral Risk Factor Surveillance System (BRFSS) 2009â€“2012, a cross-sectional, population-based survey, to assess ACEs, diabetes, and health care access in 179,375 adults. In those with diabetes (n = 21,007), we assessed the association of ACEs with myocardial infarction, stroke, and five Healthy People 2020 (HP2020) diabetes-related preventive-care objectives (n = 13,152). Healthcare access indicators included lack of a regular health care provider, insurance, and difficulty affording health care. Regression analyses adjusted for age, sex, and race. The adjusted odds ratio (AOR) of diabetes increased in a stepwise fashion by ACE exposure, ranging from 1.2 (95% CI 1.1â€“1.3) for 1 ACE to 1.7 (95% CI 1.6â€“1.9) for â‰¥4 ACEs, versus having no ACEs. In persons with diabetes, those with â‰¥4 ACEs had an elevated adjusted odds of myocardial infarction (AOR = 1.6, 95% CI 1.2â€“2.0) and stroke (AOR = 1.8, 95% CI 1.3â€“2.4), versus having no ACEs. ACEs were also associated with a reduction in the adjusted percent of HP2020 diabetes objectives met: 72.9% (95% CI 71.3â€“74.5) for those with no ACEs versus only 66.5% (95% CI 63.8â€“69.3%) for those with â‰¥4 ACEs (p = 0.0002). Finally, ACEs predicted worse health care access in a stepwise fashion for all indicators. In conclusion, ACEs are associated with greater prevalence of diabetes and associated disease conditions, and with meeting fewer HP2020 prevention goals. Implementing ACE screening and trauma-informed health care practices are thus recommended.</t>
  </si>
  <si>
    <t>SCOPUS_ID:41149158772</t>
  </si>
  <si>
    <t>10.1016/j.ypmed.2007.10.002</t>
  </si>
  <si>
    <t>Application of novel communication technologies to the study of farm families: A randomized controlled trial</t>
  </si>
  <si>
    <t>['Agriculture', 'Computer telephony', 'Epidemiology', 'Farm', 'Survey methods']</t>
  </si>
  <si>
    <t>Objective.: The objective of this pilot study was to evaluate the efficacy of three different communication technologies for collection of health outcomes from farm households. Methods.: A randomized controlled trial was conducted in central Saskatchewan, Canada in 2006. The 94 farms completing the baseline questionnaire were randomly assigned to follow-up by regular mail (n = 30), computer telephony (n = 32), or their choice of regular mail, computer telephony, or e-mail follow-up (n = 32). The primary endpoints were absolute differences in the proportions of farms using the assigned method to provide follow-up data, 2Â months post-recruitment. Results.: Of the total study population, 51 (54.3%) provided follow-up information. Farms in the regular mail arm were more likely to submit follow-up data than farms in the other arms (27/30 regular mail vs. 23/32 choice vs. 2/32 computer telephony). The differences in proportions between the computer telephony and other study arms were highly significant (e.g., absolute difference between regular mail and computer telephony 83.7% [95% CI: 70.1%, 97.3%; p &lt; 0.001]). Conclusion.: The optimal method for health outcome data collection from farm households in our study is regular mail. Despite their novelty and attractiveness, caution is warranted when adopting modern communication technologies in population health research. Â© 2007 Elsevier Inc. All rights reserved.</t>
  </si>
  <si>
    <t>SCOPUS_ID:85024400377</t>
  </si>
  <si>
    <t>10.2105/AJPH.2017.303820</t>
  </si>
  <si>
    <t>Dust exposure and coccidioidomycosis prevention among solar power farm construction workers in California</t>
  </si>
  <si>
    <t>Objectives. To investigate if work activities, dust exposure, and protection measures were associated with a 2011 to 2014 coccidioidomycosis outbreak among workers constructing 2 solar farms in California. Methods. In 2013,wemailed self-administered questionnaires to employees who were onsite at the solar farms where the outbreak occurred to identify cases of clinical coccidioidomycosis and compare with asymptomatic workers by using multivariate logistic regression. Results. When we compared 89 workers with clinical coccidioidomycosis to 325 asymptomatic workers, frequently being in a dust cloud or storm (odds ratio [OR] = 5.93; 95% confidence interval [CI] = 3.18, 11.06) significantly increased the odds of clinical coccidioidomycosis, whereas frequently wetting soil before soil-disturbing activity (OR = 0.42; 95% CI = 0.24, 0.75) was protective. When we controlled for being in a dust cloud or storm, frequent soil disturbance significantly increased the odds of clinical coccidioidomycosis only among those who reported wearing a respirator infrequently (OR = 2.31; 95% CI = 1.27, 4.21). Conclusions. Utilization of personal and employer-driven safety practices and increased coccidioidomycosis awareness among construction workers should be considered during the planning of any construction work in coccidioidomycosis-endemic regions to prevent occupational infections and outbreaks.</t>
  </si>
  <si>
    <t>SCOPUS_ID:84875189458</t>
  </si>
  <si>
    <t>10.2105/AJPH.2012.301209</t>
  </si>
  <si>
    <t>Longitudinal effects of universal preventive intervention on prescription drug misuse: Three randomized controlled trials with late adolescents and young adults</t>
  </si>
  <si>
    <t>Objectives: We examined long-term prescription drug misuse outcomes in 3 randomized controlled trials evaluating brief universal preventive interventions conducted during middle school. Methods: In 3 studies, we tested the Iowa Strengthening Families Program (ISFP); evaluated a revised ISFP, the Strengthening Families Program: For Parents and Youth 10-14 plus the school-based Life Skills Training (SFP 10-14 + LST); and examined the SFP 10-14 plus 1 of 3 school-based interventions. Self-reported outcomes were prescription opioid misuse (POM) and lifetime prescription drug misuse overall (PDMO). Results: In study 1, ISFP showed significant effects on POM and PDMO, relative reduction rates (RRRs; age 25 years) of 65%, and comparable benefits for higher- and lower-risk subgroups. In study 2, SFP 10-14 + LST showed significant or marginally significant effects on POM and PDMO across all ages (21, 22, and 25 years); higher-risk participants showed stronger effects (RRRs = 32%-79%). In study 3, we found significant results for POM and PDMO (12th grade RRRs = 20%-21%); higher-risk and lower-risk participants showed comparable outcomes. Conclusions: Brief universal interventions have potential for public health impact by reducing prescription drug misuse among adolescents and young adults.</t>
  </si>
  <si>
    <t>SCOPUS_ID:85108123603</t>
  </si>
  <si>
    <t>10.1016/j.ypmed.2021.106614</t>
  </si>
  <si>
    <t>Facilitators to referrals to CDC's National Diabetes Prevention Program in primary care practices and pharmacies: DocStyles 2016â€“2017</t>
  </si>
  <si>
    <t>['Bi-directional referral', 'Clinical-community linkages', 'Diabetes prevention program', 'Electronic health records', 'Referral', 'Type 2 diabetes prevention']</t>
  </si>
  <si>
    <t>Despite evidence of the effectiveness of behavioral change interventions for type 2 diabetes prevention, health care provider referrals to organizations offering the National Diabetes Prevention Program (National DPP) lifestyle change program (LCP) remain suboptimal. This study examined facilitators of LCP referrals among primary care providers and pharmacists (providers). We analyzed data on 1956 providers from 2016 to 2017 DocStyles web-based surveys. Pearson chi-square or Fisher's exact tests were used for bivariate associations between facilitators, provider characteristics, and their self-reported referral and bi-directional referral (where they received patient status updates back from the LCPs) to an LCP. Multiple logistic regressions were used to estimate the effects of facilitators to referral practices, controlling for providers' characteristics. Geocoding was done at the street level for in-person, public LCP class locations and at the zip code level for survey respondents to create a density measure for LCP availability within 10 miles. Overall, 21% of providers referred their patients with prediabetes to LCPs, and 6.4% engaged in bi-directional referral. Provider practices that established clinical-community linkages (CCLs) with LCPs (AOR = 4.88), used electronic health records (EHRs) to manage patients (AOR = 2.94), or practiced within 10 miles of an in-person, public LCP class location (AOR = 1.49) were more likely to refer. Establishing CCLs with LCPs (AOR = 8.59) and using EHRs (AOR = 1.86) were also facilitators of bi-directional referral. This study highlights the importance of establishing CCLs between provider settings and organizations offering the National DPP LCP, increasing use of EHRs to manage patients, and increasing availability of in-person LCP class locations near provider practices.</t>
  </si>
  <si>
    <t>SCOPUS_ID:0026351269</t>
  </si>
  <si>
    <t>10.1097/00001648-199111000-00005</t>
  </si>
  <si>
    <t>The importance of employment status in occupational cohort mortality studies</t>
  </si>
  <si>
    <t>['Coronary disease', 'Employment status', 'Epidemiology', 'Mortality', 'Neoplasms', 'Occupation']</t>
  </si>
  <si>
    <t>Person-years at risk in occupational cohort mortality studies may be defined asâ€œactiveâ€ (when a person is working) orâ€œinactiveâ€ (after a person has left employment at the plant under study). To investigate the effects of employment status (active/inactive) both across studies and within them, we have analyzed ten large cohort studies conducted by the National Institute for Occupational Safety and Health in which no occupational risk had been observed. These ten data sets included 89,376 workers, 1,984,505 person-years, and 18,840 deaths. In these ten studies, the SMR for all causes was positively correlated with the percentage of inactive person-years in the study (r = 0.57, p = 0.08). Considering only inactive person-years, the all-causes SMR was 1.12 (approximately 1.25 before age 65, dropping to 1.00 after age 65). Stratification of inactive person-years by time-since-last-employment showed markedly increased mortality during the first year following employment. The all-causes SMR during active person-years was 0.40 and was fairly constant across age categories. With active and inactive person-years combined, a strong negative trend in SMRs with duration of employment was observed for all causes and for heart disease. These trends were not apparent when person-years were stratified by employment status. These results indicate that investigators should evaluate the effects of employment status when comparing SMRs between multiple cohorts or when interpreting trends in rate ratios within cohorts. Â© 1991 Epidemiology Resources Inc.</t>
  </si>
  <si>
    <t>SCOPUS_ID:34047233925</t>
  </si>
  <si>
    <t>10.1093/eurpub/ckl086</t>
  </si>
  <si>
    <t>General health and tobacco habits among middle-aged Swedes</t>
  </si>
  <si>
    <t>['Epidemiologic survey', 'General health', 'Middle-aged men and women', 'Tobacco habits']</t>
  </si>
  <si>
    <t>Background: Convincing scientific evidence exists that smoking has devastating effects on health. The use of smokeless tobacco (snuff) as a tobacco habit has been reported to be considerably less harmful, and has been suggested as an aid to smoking cessation, among other things. Methods: Cross-sectional data on general health and tobacco habits were obtained through a self-administered mail questionnaire in 2002 representing 50-year-old (n = 6236) and 60-year-old (n = 6232) Swedes in two counties. Participation rates were 70.2 and 75.7% in the both age cohorts, respectively. Of all participants 46.2% were male and 53.8% female. A general health index encompassing five items (score 0-5) was designed, with the best general health attributed to those scoring 5. Results: Male daily smokers accounted for 15.6% of the 50-year-olds and 18.7% of the 60-years-olds compared with 21.1 and 16.6%, respectively, for females. Corresponding figures for daily snuffing were 21.1 and 11.9% for men and 1.7 and 0.4% for women. When adjusting for age, sex, place of living, social network, education, and marital status, and related to subjects who never used tobacco, 'best general health' score 5, significant differences were found for ex-smokers (OR 0.82; 95% CI 0.74-0.90; P &lt; 0.001) and ex-snuffers (OR 0.74; 95% CI 0.61-0.90; P &lt; 0.01). Conclusion: Those who have stopped smoking or snuffing seem to be in a vulnerable condition with respect to general health and in need of extra support and health-promoting activities. Â© The Author 2006. Published by Oxford University Press on behalf of the European Public Health Association. All rights reserved.</t>
  </si>
  <si>
    <t>SCOPUS_ID:84923999106</t>
  </si>
  <si>
    <t>10.1097/EDE.0000000000000234</t>
  </si>
  <si>
    <t>Mediators of the effect of body mass index on coronary heart disease</t>
  </si>
  <si>
    <t>Background: The prevalence of overweight and obesity is rising globally and together they constitute a major risk factor for coronary heart disease (CHD). Previous estimates of direct effects of high body mass index (BMI) on CHD did not consider an interaction between BMI and its mediators and did not include inflammatory biomarkers as potential mediators.</t>
  </si>
  <si>
    <t>SCOPUS_ID:0029356611</t>
  </si>
  <si>
    <t>10.2105/AJPH.85.8_Pt_1.1133</t>
  </si>
  <si>
    <t>Women's receptivity to testing for a genetic susceptibility to breast cancer</t>
  </si>
  <si>
    <t>Four hundred eighty-four patients undergoing mammography and 498 patients visiting their obstetrician-gynecologist were asked whether they would take a breast cancer 1 (BRCA1) test to detect a genetic susceptibility to breast cancer. More than 90% in both groups said they would take the test. Women were more likely to accept if they were regularly having breast examinations by a physician, believed that mammography effectively detects early breast cancer, and believed that early breast cancer is curable. If shown to have inherited a susceptibility, many reported that they would be very anxious, would want the test repeated, would examine their breasts more often than monthly, and would want mammography more often than yearly. Many also reported that they would recommend testing to relatives.</t>
  </si>
  <si>
    <t>SCOPUS_ID:85141888492</t>
  </si>
  <si>
    <t>10.1093/aje/kwac117</t>
  </si>
  <si>
    <t>Using Machine Learning Techniques and National Tuberculosis Surveillance Data to Predict Excess Growth in Genotyped Tuberculosis Clusters</t>
  </si>
  <si>
    <t>['cluster growth', 'machine learning', 'surveillance data', 'tuberculosis']</t>
  </si>
  <si>
    <t>The early identification of clusters of persons with tuberculosis (TB) that will grow to become outbreaks creates an opportunity for intervention in preventing future TB cases. We used surveillance data (2009-2018) from the United States, statistically derived definitions of unexpected growth, and machine-learning techniques to predict which clusters of genotype-matched TB cases are most likely to continue accumulating cases above expected growth within a 1-year follow-up period. We developed a model to predict which clusters are likely to grow on a training and testing data set that was generalizable to a validation data set. Our model showed that characteristics of clusters were more important than the social, demographic, and clinical characteristics of the patients in those clusters. For instance, the time between cases before unexpected growth was identified as the most important of our predictors. A faster accumulation of cases increased the probability of excess growth being predicted during the follow-up period. We have demonstrated that combining the characteristics of clusters and cases with machine learning can add to existing tools to help prioritize which clusters may benefit most from public health interventions. For example, consideration of an entire cluster, not only an individual patient, may assist in interrupting ongoing transmission.</t>
  </si>
  <si>
    <t>SCOPUS_ID:85021709104</t>
  </si>
  <si>
    <t>10.1007/s10654-017-0280-9</t>
  </si>
  <si>
    <t>The association between leisure-time physical activity, low HDL-cholesterol and mortality in a pooled analysis of nine population-based cohorts</t>
  </si>
  <si>
    <t>['Biological interaction', 'Cholesterol', 'Mortality', 'Physical activity']</t>
  </si>
  <si>
    <t>The objective of this study was to investigate associations between leisure-time physical activity, low high-density lipoprotein cholesterol (HDL-C) and mortality. Self-reported leisure-time physical activity, HDL-C concentration, and mortality were assessed in 37,059 adults in Health Survey for England and Scottish Health Survey. Meeting physical activity guidelines was defined as â‰¥150 minÂ wkâˆ’1 of moderate-intensity activity, â‰¥75 minÂ wkâˆ’1 of vigorous-intensity activity, or equivalent combinations. Low HDL-C was defined as &lt;1.03 mmolÂ Lâˆ’1. Cox proportional hazard models were adjusted for age, sex, smoking, total cholesterol, systolic blood pressure, body mass index, longstanding illness, and socioeconomic status. There were 2250 deaths during 326,016 person-years of follow-up. Compared with those who met physical activity guidelines and whose HDL-C was normal (reference group), all-cause mortality risk was not elevated in those who met physical activity guidelines and whose HDL-C concentration was low (hazard ratio: 1.07; 95% confidence interval: 0.75, 1.53). Compared with the reference group, all-cause mortality risk was elevated in those who did not meet physical activity guidelines and whose HDL-C was normal (1.37; 1.16, 1.61), and in those who did not meet physical activity guidelines and whose HDL-C was low (1.65; 1.37, 1.98). Cardiovascular disease mortality hazard ratios were similar, although confidence intervals were wider. There was no statistically significant evidence of biological interaction between physical inactivity and low HDL-C. This novel study supports the notion that leisure-time physical activity be recommended in those with low HDL-C concentration who may be resistant to the HDL-raising effect of exercise training.</t>
  </si>
  <si>
    <t>SCOPUS_ID:85058244836</t>
  </si>
  <si>
    <t>10.1016/j.amepre.2018.08.019</t>
  </si>
  <si>
    <t>Disparities in Preventable Hospitalizations Among Public Housing Developments</t>
  </si>
  <si>
    <t>Introduction: This study assesses preventable hospitalization rates among New York City residents living in public housing developments compared with all New York City residents and residents in low-income areas. Additionally, preventable hospitalization rates by development (one or multiple buildings in close proximity and served by the same management office) were determined. Methods: The 2010â€“2014 New York City hospital discharge data were geocoded and linked with New York City Housing Authority records using building-level identifiers. Preventable hospitalizations resulting from ambulatory careâ€“sensitive conditions were identified for public housing residents, citywide, and residents of low-income areas. Age-adjusted overall and ambulatory careâ€“sensitive, conditionâ€“specific preventable hospitalization rates (11 outcomes) were determined and compared across groups to assess potential disparities. Additionally, rates were ranked and compared among public housing developments by quartiles. The analysis was conducted in 2016 and 2017. Results: The age-adjusted rate of preventable hospitalization was significantly higher among public housing residents than citywide (rate ratio [RR]=2.67, 95% CI=2.65, 2.69), with the greatest disparities in hospitalizations related to diabetes (RR=3.12, 95% CI=3.07, 3.18) and asthma (RR=4.14, 95% CI=4.07, 4.21). The preventable hospitalization rate was also higher among residents of public housing than low-income areas (RR=1.33, 95% CI=1.31, 1.35). There were large differences between developments ranked in the top and bottom quartiles of preventable hospitalization (RR=1.81, 95% CI=1.76, 1.85) with the largest difference related to chronic obstructive pulmonary disease (RR=3.38, 95% CI=3.08, 3.70). Conclusions: Preventable hospitalization rates are high among public housing residents, and vary significantly by development and condition. By providing geographically granular information, geocoded hospital discharge data can serve as a valuable tool for health assessment and engagement of the healthcare sector and other stakeholders in interventions that address health inequities.</t>
  </si>
  <si>
    <t>SCOPUS_ID:34548768854</t>
  </si>
  <si>
    <t>10.1093/aje/kwm136</t>
  </si>
  <si>
    <t>Time to pregnancy and secondary sex ratio in men exposed prenatally to diethylstilbestrol</t>
  </si>
  <si>
    <t>['Diethylstilbestrol', 'Estrogens', 'Fertility', 'Males', 'Reproduction', 'Sex ratio']</t>
  </si>
  <si>
    <t>Little is known about the influence of prenatal diethylstilbestrol (DES) exposure on time to pregnancy or secondary sex ratio in men. The authors evaluated these associations among men participating in the DES Combined Cohort Follow-up Study for whom exposure status was confirmed by medical record. In 2001, men provided data on their reproductive histories. Demographic, behavioral, and medical data were collected in 1994, 1997, and 2001. Cox's proportional hazards models with frailty were used to estimate fecundability ratios for time to pregnancy in relation to DES. Generalized estimating equations were used to estimate odds ratios for fathering a male birth in relation to DES. Models included potential confounders and accounted for multiple pregnancies contributed by each man. Overall, DES was not associated with a delay in time to pregnancy (fecundability ratio = 0.95, 95% confidence interval: 0.86, 1.06). The odds ratio for fathering a male birth was 0.92 (95% confidence interval: 0.80, 1.04) comparing the exposed with the unexposed. In conclusion, prenatal DES exposure was not associated with a significant decrease in either fecundability or secondary sex ratio. Â© The Author 2007. Published by the Johns Hopkins Bloomberg School of Public Health. All rights reserved.</t>
  </si>
  <si>
    <t>SCOPUS_ID:77950861367</t>
  </si>
  <si>
    <t>10.1007/s10654-010-9436-6</t>
  </si>
  <si>
    <t>Is the high mortality risk in sentenced offenders independent of previous imprisonment?</t>
  </si>
  <si>
    <t>['Cause specific mortality', 'Criminal offenders', 'Drug abuse', 'Incarceration', 'Mortality', 'Suicide']</t>
  </si>
  <si>
    <t>The mortality in prisoners is high. However, our knowledge about the mortality in convicted offenders, irrespective of incarceration history, is limited. Our aim was to investigate possible predictors for over-all and cause specific mortality in a nation-wide study of convicted offenders with and without previous imprisonment. This case-control study drew random samples of deceased and living offenders (N = 1,112) from four complete cohorts of convicted offenders, two male (born 1967 and 1977, respectively), and two female (born 1967-70 and 1977-80, respectively). All criminal records were systematized and information about date and cause of death was collected on those deceased. Multivariable analyses demonstrated that age at first court conviction (OR = 0.88, 95% CI = 0.84-0.93), drug related crimes (OR = 1.99, 95% CI = 1.23-3.22), and crime diversity (1.51, 95% CI = 1.07-2.13) were significant predictors of premature death in males. In females, age at first court conviction (OR = 0.92, 95% CI = 0.88-0.97), drug related crimes (OR = 2.24, 95% CI = 1.37-3.69) and belonging to the oldest cohort (OR = 2.10, 95% CI = 1.35-3.26) were significant predictors of premature death. Age at first court conviction remained a significant predictor for death in all cause specific multivariable mortality analyses. In addition, having committed drug related crimes and high crime diversity were strong predictors for substance related deaths. Males did more often die in accidents or commit suicide. Somatic deaths were most often encountered in the oldest cohort. Incarceration did not remain a significant predictor for premature death in any of the multivariable analyses. Measures intended to prevent premature death in convicted offenders should target wider populations than hitherto acknowledged. Â© 2010 Springer Science+Business Media B.V.</t>
  </si>
  <si>
    <t>SCOPUS_ID:84897387122</t>
  </si>
  <si>
    <t>10.1093/eurpub/ckt040</t>
  </si>
  <si>
    <t>Examining self-rated health of young Central and Eastern Europeans in the context of other world regions</t>
  </si>
  <si>
    <t>Background: Poor health is more prevalent in the East of Europe as compared with the West. This variation is often attributed to Soviet communism. Few studies investigate this health discrepancy within young adults who were children during this period. We studied the health of young adults by examining variations between world regions in general health between generations (18-65+). The individual and contextual mechanisms that might influence their health were also investigated. Methods: World Health Survey data were analysed on young adults aged 18-34 (n = 91 823) and their elders aged 35+ (n = 132 362) from 59 countries. Main outcome was self-reported general health. Multi-level logistic regression was used to assess associations between general health and regions, while accounting for individual-and country-level socio-economic factors across age ranges. Results: The prevalence of poor health was much higher for young adults in the Former Soviet Union region than in Western Europe, with the Central European region being in-between.This pattern remained even after full adjustments, for the Former Soviet Union citizens [odds ratio 4.26 (95% confidence interval 1.77-10.24)] and for Central Europeans [odds ratio 1.73 (95% confidence interval 0.90-3.32)] as compared with Western Europe. Age-specific analyses showed East-West health differences usually being larger as age increases (up to 65+). This age pattern seemed reversed for the South-West divide. Conclusions: The East-West health gap seems more pronounced for the Former Soviet Union young adults, rather than Central Europeans. It appears as though young adults from Central Europe might have been somewhat insulated from the ill-health effects of communism. Â© 2013 The Author.</t>
  </si>
  <si>
    <t>SCOPUS_ID:0029831310</t>
  </si>
  <si>
    <t>10.1016/s0749-3797(18)30323-4</t>
  </si>
  <si>
    <t>Counseling strategies for obese patients</t>
  </si>
  <si>
    <t>Counseling strategies usually assume that an individual is ready to change; however this assumption is probably not true for many obese individuals seeking medical care. Since individuals progress through a series of stages of change, some may not yet be ready to change. The transtheoretical model of behavior change proposes that individuals move through stages of change: precontemplation, contemplation, preparation, action, and maintenance. This model has been successfully applied to a range of addictive behaviors. The application of the transtheoretical model of behavior change to obesity treatment holds promise because interventions that match treatment strategies to an individual's stage of change may be more effective than current treatments. This article reviews the potential benefits of using the transtheoretical model for weight management in the primary care setting. Medical Subject Headings (MeSH): obesity, counseling, behavior.</t>
  </si>
  <si>
    <t>SCOPUS_ID:0026460176</t>
  </si>
  <si>
    <t>10.1093/ije/21.5.1014</t>
  </si>
  <si>
    <t>The measurement and interpretation of age-specific vaccine efficacy</t>
  </si>
  <si>
    <t>Farrington C P (Communicable Disease Surveillance Centre, 61 Cotindale Avenue, London NW9 5EQ, UK). The measurement and interpretation of age-specific vaccine efficacy. International Journal of Epidemiology 1992; 21: 1014-1020. The age-specific efficacy of a vaccine depends upon the mechanism of vaccine action and the force of infection in the unvaccinated subpopulation. Consequently, inferences concerning the persistence of vaccine-induced immunity cannot in general be made directly from age-specific vaccine efficacy estimates. The definition, estimation and interpretation of age-specific vaccine efficacy measures are discussed using simple models of vaccine action. The methods are applied to data on measles and pertussis vaccines. Â© 1992 International Epidemiological Association.</t>
  </si>
  <si>
    <t>SCOPUS_ID:33745052984</t>
  </si>
  <si>
    <t>10.1093/eurpub/3.3.172</t>
  </si>
  <si>
    <t>A case control study of female systemic lupus erythematosus in Japan</t>
  </si>
  <si>
    <t>['Case-control study', 'Odds ratio', 'Risk factor', 'Systemic lupus erythematosus']</t>
  </si>
  <si>
    <t>In a multi-institutional case-control study, we investigated risk factors for systemic lupus erythematosus (SLE) in 151 Japanese women treated for SLE during the period September 1988 to August 1990. We used two control groups: sisters of SLE patients and sisters of female patients with another disease. Information was obtained by a self-administered questionnaire. Our findings suggest that having a history of operations and blood transfusions and working in a cold environment may be risk factors for SLE. Viral infections, psychological stress, and pet ownership were not risk factors for SLE in our study. In addition, smoking was not protective for SLE. Skin sensitivity to sunlight and cold feet, which may be symptoms of SLE that occurred before the diagnosis, were also positively associated with SLE. Â© 1993 European Journal of Public Health.</t>
  </si>
  <si>
    <t>SCOPUS_ID:59049097982</t>
  </si>
  <si>
    <t>10.2105/AJPH.2007.128702</t>
  </si>
  <si>
    <t>Influences of physical and social neighborhood environments on children's physical activity and obesity</t>
  </si>
  <si>
    <t>Objectives. We investigated the association between physical and social neighborhood environments and fifth-grade students' physical activity and obesity. Methods. We collected data on 650 children and their primary caregivers during phase 1 of Healthy Passages, a multisite, community-based, cross-sectional study of health risk behaviors and health outcomes in children. We conducted independent systematic neighborhood observations to measure neighborhood physical characteristics, and we analyzed survey data on social processes. We modeled children's physical activity and obesity status with structural equation models that included latent variables for the physical and social environments. Results. After we controlled for children's sociodemographic factors, we found that a favorable social environment was positively associated with several measures of physical activity and that physical activity was negatively associated with obesity in these children. Physical environment was not significantly associated with physical activity. Conclusions. Our findings suggest that neighborhood social factors as well as the physical environment should be considered in the development of health policy and interventions to reduce childhood obesity.</t>
  </si>
  <si>
    <t>SCOPUS_ID:0037100444</t>
  </si>
  <si>
    <t>10.1093/aje/kwf021</t>
  </si>
  <si>
    <t>Physical inactivity is associated with lower forced expiratory volume in 1 second: European prospective investigation into cancer-norfolk prospective population study</t>
  </si>
  <si>
    <t>['Exercise', 'Lung', 'Television']</t>
  </si>
  <si>
    <t>Forced expiratory volume in 1 second (FEV1) is a strong risk factor for cardiovascular disease, stroke, lung cancer, and all-cause mortality. One possible explanation for this association is that FEV1 is a marker of other determinants of mortality risk, such as obesity and physical inactivity. In a population-based cohort study of 12,283 men and women aged 45-74 years from the European Prospective Investigation into Cancer-Norfolk Study recruited in 1993-1997, the cross-sectional association between physical activity and FEV1 and that between physical activity and change in FEV1 were analyzed. Indices of physical activity, including participation in vigorous recreational activity, stair climbing, and television viewing, were assessed with a validated questionnaire designed to assess activity in the previous year. Television viewing was negatively associated with FEV1 in men and women (p &lt; 0.001), whereas stair climbing and participation in vigorous leisure time activities were positively associated with FEV1 in men and women (p &lt; 0.001). The associations remained after adjustment for known confounders, including age, height, vitamin C, and smoking. Climbing more stairs and participating in vigorous leisure-time activity predicted a slower rate in annual percent decline in FEV1 (p &lt; 0.004 and p &lt; 0.002, respectively). In conclusion, physical activity is associated with higher levels of FEV1, whereas television viewing is associated with lower levels.</t>
  </si>
  <si>
    <t>SCOPUS_ID:85138014656</t>
  </si>
  <si>
    <t>10.1016/j.amepre.2022.06.020</t>
  </si>
  <si>
    <t>Excess Mortality in California by Education During the COVID-19 Pandemic</t>
  </si>
  <si>
    <t>Introduction: Understanding educational patterns in excess mortality during the coronavirus disease 2019 (COVID-19) pandemic may help to identify strategies to reduce disparities. It is unclear whether educational inequalities in COVID-19 mortality have persisted throughout the pandemic, spanned the full range of educational attainment, or varied by other demographic indicators of COVID-19 risks, such as age or occupation. Methods: This study analyzed individual-level California Department of Public Health data on deaths occurring between January 2016 and February 2021 among individuals aged â‰¥25 years (1,502,202 deaths). Authors applied ARIMA (autoregressive integrated moving average) models to subgroups defined by the highest level of education and other demographics (age, sex, race/ethnicity, U.S. nativity, occupational sector, and urbanicity). Authors estimated excess deaths (the number of observed deaths minus the number of deaths expected to occur under the counterfactual of no pandemic) and excess deaths per 100,000 individuals. Results: Educational inequalities in excess mortality emerged early in the pandemic and persisted throughout the first year. The greatest per-capita excess occurred among people without high-school diplomas (533 excess deaths/100,000), followed by those with a high-school diploma but no college (466/100,000), some college (156/100,000), and bachelor's degrees (120/100,000), and smallest among people with graduate/professional degrees (101/100,000). Educational inequalities occurred within every subgroup examined. For example, per-capita excess mortality among Latinos with no college experience was 3.7 times higher than among Latinos with at least some college experience. Conclusions: Pervasive educational inequalities in excess mortality during the pandemic suggest multiple potential intervention points to reduce disparities.</t>
  </si>
  <si>
    <t>SCOPUS_ID:34248996215</t>
  </si>
  <si>
    <t>10.1016/j.amepre.2007.02.001</t>
  </si>
  <si>
    <t>Youth Internet Users at Risk for the Most Serious Online Sexual Solicitations</t>
  </si>
  <si>
    <t>Background: This article explores changes in the prevalence of youth Internet users reporting unwanted sexual solicitations between 2000 and 2005, as well as the risk factors related to reports of the most serious solicitations, aggressive solicitations, in which solicitors attempted or made offline contact with youth. Methods: Data were collected from two cross-sectional random-digit-dial telephone surveys of Internet-using youth (aged 10 to 17) in the United States. Results: Although sexual solicitations declined overall since 2000, in 2005 youth were 1.7 times more likely to report aggressive solicitations, even when adjusting for changes in demographic and Internet-use characteristics. Risk factors for aggressive solicitations included being female, using chat rooms, using the Internet with a cell phone, talking with people met online, sending personal information to people met online, talking about sex online, and experiencing offline physical or sexual abuse. Conclusions: Further research is warranted into the implications of aggressive online sexual solicitation and how to address and prevent such experiences. Â© 2007 American Journal of Preventive Medicine.</t>
  </si>
  <si>
    <t>SCOPUS_ID:0029613730</t>
  </si>
  <si>
    <t>10.1136/jech.49.Suppl_2.S30</t>
  </si>
  <si>
    <t>Measuring disadvantage: Changes in the underprivileged area, Townsend, and Carstairs scores 1981-91</t>
  </si>
  <si>
    <t>Objective - To compare the intercensal change for each of the underprivileged area (UPA), Townsend, and Carstairs scores calculated from 1981 and 1991 census data. Setting - England and Wales. Methods - The method described enables comparison of change in composite scores such as the UPA, Townsend, and Carstairs scores which are derived from normalized variables. The national values of equivalent variables derived from the censuses are calculated and normalised on the same baseline of the 1981 electoral ward mean and SD values. The resultant change in composite scores for different censuses can then be compared directly. Main outcome measure - Change in the composite score values for the 1991 census when compared with the 1981 census. Results - For England and Wales, the UPA score increased by 5 62 units (0.35 of the SD) but the Townsend and Carstairs scores fell by 2*39 and 1*13 units respectively) 0-71 and 0-33 of the SDs). Conclusion - The Townsend and Carstairs scores are good measures ofmaterial deprivation and show a general improvement as such between 1981 and 1991. The UPA score, however, includes additional factors relating to family structure, social deprivation, and health need and shows a decline in the overall situation.</t>
  </si>
  <si>
    <t>SCOPUS_ID:85118285835</t>
  </si>
  <si>
    <t>10.2105/AJPH.2021.306432</t>
  </si>
  <si>
    <t>A Novel Imputation Approach for Sharing Protected Public Health Data</t>
  </si>
  <si>
    <t>Objectives. To develop an imputation method to produce estimates for suppressed values within a shared government administrative data set to facilitate accurate data sharing and statistical and spatial analyses. Methods. We developed an imputation approach that incorporated known features of suppressed Massachusetts surveillance data from 2011 to 2017 to predict missing values more precisely. Our methods for 35 de-identified opioid prescription data sets combined modified previous or next substitution followed by mean imputation and a count adjustment to estimate suppressed values before sharing. We modeled 4 methods and compared the results to baseline mean imputation. Results. We assessed performance by comparing root mean squared error (RMSE), mean absolute error (MAE), and proportional variance between imputed and suppressed values. Our method outperformed mean imputation; we retained 46% of the suppressed valueâ€™s proportional variance with better precision (22% lower RMSE and 26% lower MAE) than simple mean imputation. Conclusions. Our easy-to-implement imputation technique largely overcomes the adverse effects of low count value suppression with superior results to simple mean imputation. This novel method is generalizable to researchers sharing protected public health surveillance data.</t>
  </si>
  <si>
    <t>SCOPUS_ID:70349129432</t>
  </si>
  <si>
    <t>10.2105/AJPH.2008.159236</t>
  </si>
  <si>
    <t>Globalized research and "national science": The case of Peru</t>
  </si>
  <si>
    <t>Issues in the area of international health research are insufficiently discussed in Latin America. We examine the practices of stakeholders such as the state and the academic community regarding research policy processes and funding sources in Peru. Our findings showed that research policy development and evaluation processes are poor in Peru, most of the country's academic research is published in English only, and researchers' access to funding is limited. Given that the relationship between local academic institutions and foreign research centers is key in developing a "national science," there is a clear need to reinforce the state's capacities for management and research oversight and implementation and to encourage the academic community to improve their institutional policies and research frameworks.</t>
  </si>
  <si>
    <t>Peru</t>
  </si>
  <si>
    <t>SCOPUS_ID:0032874493</t>
  </si>
  <si>
    <t>10.1023/A:1007695625868</t>
  </si>
  <si>
    <t>An echovirus 30 outbreak with a high meningitis attack rate among children and household members at four day-care centers</t>
  </si>
  <si>
    <t>['Aseptic meningitis', 'Day care center', 'Disease outbreaks', 'Echovirus 30', 'Epidemiology']</t>
  </si>
  <si>
    <t>Echovirus 30 (E 30) outbreaks in defined cohorts have rarely been reported. In June 1996, an outbreak of E 30 occurred in four day-care centers (DCCs) in neighboring villages in Germany. A retrospective cohort study of DCC children, employees and household members was done to determine the extent of the outbreak and risk factors for illness. Forty-two percent (39/92) of DCC children, 13% (30/228) of their household members, 5% (1/19) of employees and 2% (1/49) of household members of employees were ill. Onsets occurred over 31 days. Thirteen percent (12/92) of DCC children had meningitis. In only one of 16 households with multiple family members ill, illness in a family member preceeded that of the DCC child. Household members of ill DCC children were 15 times more likely to report illness than those of non-ill DCC children. We conclude that this outbreak was associated with a very high incidence of meningitis, the outbreak began in the DCCs and then spread to household members, and that household members of ill children compared to those of non-ill children were much more likely to report illness.</t>
  </si>
  <si>
    <t>SCOPUS_ID:85092517281</t>
  </si>
  <si>
    <t>10.1097/EDE.0000000000001239</t>
  </si>
  <si>
    <t>Quantitative Bias Analysis for a Misclassified Confounder: A Comparison Between Marginal Structural Models and Conditional Models for Point Treatments</t>
  </si>
  <si>
    <t>['Inverse probability weighting', 'Marginal structural models', 'Misclassification', 'Point-treatment study', 'Quantitative bias analysis']</t>
  </si>
  <si>
    <t>Observational data are increasingly used with the aim of estimating causal effects of treatments, through careful control for confounding. Marginal structural models estimated using inverse probability weighting (MSMs-IPW), like other methods to control for confounding, assume that confounding variables are measured without error. The average treatment effect in an MSM-IPW may however be biased when a confounding variable is error prone. Using the potential outcome framework, we derive expressions for the bias due to confounder misclassification in analyses that aim to estimate the average treatment effect using an marginal structural model estimated using inverse probability weighting (MSM-IPW). We compare this bias with the bias due to confounder misclassification in analyses based on a conditional regression model. Focus is on a point-treatment study with a continuous outcome. Compared with bias in the average treatment effect in a conditional model, the bias in an MSM-IPW can be different in magnitude but is equal in sign. Also, we use a simulation study to investigate the finite sample performance of MSM-IPW and conditional models when a confounding variable is misclassified. Simulation results indicate that confidence intervals of the treatment effect obtained from MSM-IPW are generally wider, and coverage of the true treatment effect is higher compared with a conditional model, ranging from overcoverage if there is no confounder misclassification to undercoverage when there is confounder misclassification. Further, we illustrate in a study of blood pressure-lowering therapy, how the bias expressions can be used to inform a quantitative bias analysis to study the impact of confounder misclassification, supported by an online tool.</t>
  </si>
  <si>
    <t>SCOPUS_ID:38449114539</t>
  </si>
  <si>
    <t>10.2105/AJPH.2006.094482</t>
  </si>
  <si>
    <t>Comparing diabetes prevalence between African Americans and Whites of similar socioeconomic status</t>
  </si>
  <si>
    <t>Objectives. We investigated whether racial disparities in the prevalence of type 2 diabetes exist beyond what may be attributable to differences in socioeconomic status (SES) and other modifiable risk factors. Methods. We analyzed data from 34331 African American and 9491 White adults aged 40 to 79 years recruited into the ongoing Southern Community Cohort Study. Participants were enrolled at community health centers and had similar socioeconomic circumstances and risk factor profiles. We used logistic regression to estimate the association between race and prevalence of self-reported diabetes after taking into account age, SES, health insurance coverage, body mass index, physical activity, and hypertension. Results. Multivariate analyses accounting for several diabetes risk factors did not provide strong support for higher diabetes prevalence rates among African Americans than among Whites (men: odds ratio [OR]=1.07; 95% confidence interval [CI]=0.95, 1.20); women: OR=1.13, 95% CI=1.04, 1.22). Conclusions. Our findings suggest that major differences in diabetes prevalence between African Americans and Whites may simply reflect differences in established risk factors for the disease, such as SES, that typically vary according to race.</t>
  </si>
  <si>
    <t>SCOPUS_ID:0031799432</t>
  </si>
  <si>
    <t>10.1136/jech.52.5.293</t>
  </si>
  <si>
    <t>Socio-cultural factors in maternal morbidity and mortality: A study of a semi-urban community in southern Nigeria</t>
  </si>
  <si>
    <t>Study objective - To understand community based or socio-cultural factors that determine maternal morbidity and mortality in a semi-urban setting. Design - The study is an exploratory multidisciplinary operations research and the instruments were focus groups and interviews. Setting - Ekpoma, a semi-urban community with a population of 70,000 in central part of Edo state in southern Nigeria. Participants - Thirteen groups of women, two groups of men, and two groups of traditional birth attendants. Results - There is a fairly good knowledge of haemorrhage but this is circumscibed by attitudes, practices, and situations that keep women away from or delay the decision to seek modern obstetric care. Conclusions - For a fuller understanding of maternal morbidity and mortality, it is important to consider factors outside the hospital and formal medical practice. Furthermore, a change of existing knowledge, attitudes, practices, and situations can be enhanced through modelling on them.</t>
  </si>
  <si>
    <t>Nigeria</t>
  </si>
  <si>
    <t>SCOPUS_ID:0025755324</t>
  </si>
  <si>
    <t>10.1016/0091-7435(91)90034-2</t>
  </si>
  <si>
    <t>Screening mammography rates and barriers to use: A Los Angeles county survey</t>
  </si>
  <si>
    <t>The use of screening mammography among women 40 years of age and older in Los Angeles County was assessed through a random digit dial telephone interview. The sample of 802 women represents a large urban population with substantial proportions of blacks, Hispanics, and Asians. The survey obtained information regarding adherence to the ACS/NCI screening mammography guidelines, perceived benefits of early detection and mammography, perceived threat of developing breast cancer, and barriers to utilization. The results showed that 71% of the women had had at least one mammogram, with 49% having received a screening mammogram according to the guidelines for their age. Less than half the respondents knew the screening guidelines for their age, with women ages 40-49 years being less knowledgeable than women â‰¥50 years old (29 vs 58% answering correctly). A logistic regression analysis predicting the likelihood of having obtained a screening mammogram according to the guidelines found the following to be predictive: concern over radiation (negative association), age (negative association), family history, knowledge of guidelines, and cost of a mammogram (negative association). Other demographic factors and beliefs were not significantly related to this dependent variable. Â© 1991.</t>
  </si>
  <si>
    <t>SCOPUS_ID:0029082410</t>
  </si>
  <si>
    <t>10.1136/jech.49.Suppl_1.4</t>
  </si>
  <si>
    <t>Measles, mumps, and rubella: Monitoring in Switzerland through a sentinel network, 1986-94</t>
  </si>
  <si>
    <t>Study objectives - Since 1986, the national sentinel network in Switzerland (Sentinella) has collected reports of measles, mumps, and rubella cases in order to evaluate the impact of the Swiss MMR vaccination campaign (started in 1987) on disease frequency. Design - Passive surveillance of clinical measles, mumps, and rubella cases through a voluntary physician based sentinel network in Switzerland. Setting - Each year between June 1986 and May 1994, 150 to 200 general practitioners, specialists in internal medicine, and paediatricians in private practice covering the whole country have reported weekly numbers of consultations. Patients - Every patient who fulfilled the case definition and consulted a physician participating in the Sentinella network was reported. Main results - Since 1986, the annual number of reported measles cases per physician has fallen - from 1.3 (95% confidence interval (CI) 1-11, 1-50) in 1986-87 to 0-4 (95% CI 0-30, 0-50) in 1993-94. A decreasing trend, although less pronounced, was also observed for rubella. An initial decrease in mumps cases was reported - from 1-8 (95% CI 1-57, 2-03) annually reported cases per physician in 1986-87 to 0-7 (95% CI 0-55, 0-83) in 1989-90. This was followed, however, by a net and sustained increase. In 1993-94, the mean annual number of reported mumps cases per practitioner reached 4-7 (95% CI 4-34, 5-01) which was the highest level since surveillance had started. Over the whole eight year period, reported mumps cases, in terms of the percentage of consultations, were four times more frequent in the French speaking part of Switzerland than in the rest of the country. The proportion of mumps cases in people reported to have been vaccinated also increased - from 10% in 1986-87 to 60% in 1993-94. Conclusions - Reductions in cases of measles and rubella but an appreciable increase in mumps cases have been observed in the past three years in Switzerland. This finding, combined with increasing vaccination coverage and the fact that 60% of mumps cases are reported in vaccinated people, suggests that the overall efficacy of the mumps vaccines used in Switzerland is probably below 80%. Under these conditions the goal of eliminating mumps will probably not be reached. Further studies are needed to evaluate the efficacy of the different mumps vaccines used.</t>
  </si>
  <si>
    <t>SCOPUS_ID:34547666466</t>
  </si>
  <si>
    <t>10.1093/aje/kwm073</t>
  </si>
  <si>
    <t>Influence of maternal smoking on placental abruption in successive pregnancies: A population-based prospective cohort study in Sweden</t>
  </si>
  <si>
    <t>['Abruptio placentae', 'Pregnancy', 'Recurrence', 'Risk', 'Smoking']</t>
  </si>
  <si>
    <t>The authors examined associations between cumulative smoking during a woman's first and second pregnancies and risk of placental abruption in the second pregnancy. They performed a population-based prospective cohort study of 526,690 women who delivered their first two consecutive singletons in Sweden in 1983-2001. Using logistic regression models, the authors found that, among women without placental abruption in the first pregnancy, smoking was associated with increased risk of abruption in the second pregnancy; however, this effect was confined to exposure occurring during the second pregnancy (adjusted odds ratio (OR) = 1.8, 95% confidence interval (CI): 1.4, 2.3) but not the first (adjusted OR = 1.1, 95% CI: 0.9, 1.3). Among women with a prior abruption, the risk of repeating abruption was increased irrespective of smoking habits. When women smoked during both pregnancies, there was an almost 11-fold increase in risk (adjusted OR = 10.9, 95% CI: 7.3, 16.3). These findings suggest that women who quit smoking before pregnancy may benefit from reduced risk of abruption. The observation that the recurrence of abruption is substantially increased regardless of changes in smoking habits suggests that factors other than smoking may influence the recurrence of placental abruption. Â© The Author 2007. Published by the Johns Hopkins Bloomberg School of Public Health. All rights reserved.</t>
  </si>
  <si>
    <t>SCOPUS_ID:0027319780</t>
  </si>
  <si>
    <t>10.1006/pmed.1993.1024</t>
  </si>
  <si>
    <t>Indexes of Obesity and All-Causes Mortality in Italian Epidemiologic Data</t>
  </si>
  <si>
    <t>Background. The relationships of body mass index and skinfold thickness to all-causes mortality during a 10-year follow-up were assessed in 8,341 men and 1,100 women ages 30-69 years from different Italian population samples. Results. Among men, both univariate and multivariate analyses showed a clear-cut parabolic (inverse J-shaped) relationship, whose left branch became less steep after the exclusion of smokers, people carrying severe diseases at entry, those who died during the first 5 years, or all of them. The minimum risk was almost always located around 28 units of body mass index, and it decreased to smaller levels of body mass index when the exclusions were adopted. The analysis of skinfold thickness showed similar but less clear-cut results. Among women, due to the limited number of fatal events, the analysis was unable to show any clear relationship of body mass index or skinfold thickness to all-causes mortality. The multivariate analysis showed a similar parabolic relationship of body mass index to all-causes mortality. The estimated multivariate risk of death broken down into five quintiles was unrelated to the mean level of body mass index for each quintile. From the multivariate model it was estimated that an excess of 10 kg in body weight (above the body mass index corresponding to the minimum risk level and everything else being equal) carries the same excess of risk produced by 5 mm Hg of systolic blood pressure or by less than 5 cigarettes smoked per day. Conclusion. These results suggest that high levels of obesity indicators are only slightly associated with an excess mortality and that overweight and obesity are health hazards only if they are accompanied by an elevation of other risk factors, mainly of blood pressure. Â© 1993 American Health Foundation and Academic Press.</t>
  </si>
  <si>
    <t>SCOPUS_ID:85107390500</t>
  </si>
  <si>
    <t>10.1093/aje/kwaa288</t>
  </si>
  <si>
    <t>Active Surveillance of the Safety of Medications Used during Pregnancy</t>
  </si>
  <si>
    <t>['drug safety', 'opioids', 'pregnancy', 'systematic surveillance', 'TreeScan', 'valproate']</t>
  </si>
  <si>
    <t>The scientific community relies on postmarketing approaches to define the risk of using medications in pregnancy because information available at the time of drug approval is limited. Most studies carried out in pregnancy focus on a single outcome or selected outcomes. However, women must balance the benefit of treatment against all possible adverse effects. We aimed to apply and evaluate a tree-based scan statistic data-mining method (TreeScan; Martin Kulldorff, Harvard Medical School, Boston, Massachusetts) as a safety surveillance approach that allows for simultaneous evaluation of a comprehensive range of adverse pregnancy outcomes, while preserving the overall rate of false-positive alerts. We evaluated TreeScan with a cohort design and adjustment via propensity score techniques, using 2 test cases: 1) opioids and neonatal opioid withdrawal syndrome and 2) valproate and congenital malformations, implemented in pregnancy cohorts nested within the Medicaid Analytic eXtract (January 1, 2000-December 31, 2014) and the IBM MarketScan Research Database (IBM, Armonk, New York) (January 1, 2003-September 30, 2015). In both cases, we identified known safety concerns, with only 1 previously unreported alert at the preset statistical alerting threshold. This evaluation shows the promise of TreeScan-based approaches for systematic drug safety monitoring in pregnancy. A targeted screening approach followed by deeper investigation to refine understanding of potential signals will ensure that pregnant women and their physicians have access to the best available evidence to inform treatment decisions.</t>
  </si>
  <si>
    <t>SCOPUS_ID:85116803307</t>
  </si>
  <si>
    <t>10.1097/EDE.0000000000001411</t>
  </si>
  <si>
    <t>Marginal Sufficient Component Cause Model: An Emerging Causal Model with Merits?</t>
  </si>
  <si>
    <t>['Agonism', 'Causality', 'Counterfactual model', 'Mediation', 'Potential outcomes', 'Sufficient cause model']</t>
  </si>
  <si>
    <t>For decades, the sufficient cause model and the counterfactual model have shaped our understanding of causation in biomedical science, and the link between these two models has enabled us to obtain a deeper understanding of causality. Recently, a new causal model - the marginal sufficient component cause model - was proposed and applied in the context of interaction or mediation. The proponents of this model have emphasized its utility in visualizing the presence of "agonism" (a subtype of mechanistic interaction) in the counterfactual framework, claiming that the concept of agonism has not been clearly defined in causal inference and that agonistic interaction cannot be visualized by the conventional sufficient cause model. In this article, we illustrate that careful scrutiny based on the conventional sufficient cause model yields further insights into the concept of agonism in a more biologic sense. We primarily focus on the following three points: (1) "agonism" defined in the counterfactual model can be visualized as sets of sufficient causes in the conventional sufficient cause model; (2) although the so-called independent competing assumption or no redundancy assumption may seem irrelevant in the marginal sufficient component cause model, researchers do need to assume that potential completion times of relevant marginal sufficient causes differ; and (3) possibly differing potential completion times of marginal sufficient causes cannot be discerned until their hidden mechanistic paths are considered in the conventional sufficient cause model. In this rapidly progressing field of research, decades after its introduction, the sufficient cause model retains its worth.</t>
  </si>
  <si>
    <t>SCOPUS_ID:84992499025</t>
  </si>
  <si>
    <t>10.1016/j.amepre.2016.05.014</t>
  </si>
  <si>
    <t>Primary Health Care: Potential Home for Family-Focused Preventive Interventions</t>
  </si>
  <si>
    <t>Family-focused prevention programs have been shown to effectively reduce a range of negative behavioral health outcomes but have had limited reach. Three key barriers must be overcome to expand the reach of family-focused prevention programs and thereby achieve a significant public health impact. These barriers are (1) current social norms and perceptions of parenting programs; (2) concerns about the expertise and legitimacy of sponsoring organizations to offer parenting advice; and (3) a paucity of stable, sustainable funding mechanisms. Primary healthcare settings are well positioned to overcome these barriers. Recent changes within health care make primary care settings an increasingly favorable home for family-focused prevention and suggest possibilities for sustainable funding of family-focused prevention programs. This paper discusses the existing advantages of primary care settings and lays out a plan to move toward realizing the potential public health impact of family-focused prevention through widespread implementation in primary healthcare settings.</t>
  </si>
  <si>
    <t>SCOPUS_ID:0025973353</t>
  </si>
  <si>
    <t>10.2105/AJPH.81.1.90</t>
  </si>
  <si>
    <t>Trends in the content and use of oral contraceptives in the United States, 1964-88</t>
  </si>
  <si>
    <t>Drug marketing and physician survey data were used to examine trends in the use and hormonal content of oral contraceptives in the United States between 1964 and 1988. Retail prescriptions for oral contraceptives peaked at approximately 68 million in 1973 and have remained between 50 million and 60 million since 1981. Despite this relative consistency in the number of prescriptions, physician ''mentions'' of oral contraceptives have increased by approximately 75 percent. This increase may reflect closer monitoring of women on oral contraceptives. Use of multiphasic formulations has steadily risen, accounting for 37 percent of the oral contraceptive prescriptions in 1988. Mean estrogen and progestin doses in all types of formulations have steadily declined. A change in the type of estrogen and progestin used in preparations has coincided with this decline in dose. The association between age and use of high-dose formulations seen in the past was no longer evident in 1988. The data demonstrate that oral contraceptive formulations in wide use today differ in hormone content from those of the past, when most of the major studies addressing the risks associated with oral contraceptive use were completed. There is therefore a need to determine the risks and long-term effects associated with these newer formulations.</t>
  </si>
  <si>
    <t>SCOPUS_ID:80052621145</t>
  </si>
  <si>
    <t>10.1136/jech.2009.098293</t>
  </si>
  <si>
    <t>Increasing railway suicide acts after media coverage of a fatal railway accident? An ecological study of 747 suicidal acts</t>
  </si>
  <si>
    <t>Background While coverage of a celebrity suicide in the mass media may trigger copycat suicides, evidence for the effect of media reports of non-prominent suicides is moderate. Diversification of current media may raise further doubts as to whether their influence on suicidal acts is still present. We examined whether widespread media coverage of a railway accident, in which several people were killed while investigating a presumed railway suicide, subsequently increased the number of railway suicides. Methods The daily incidence of railway suicides was derived from the national accident registry on the German railway net. We estimated incidence ratios by Poisson regression, adjusting for relevant confounders (eg, outdoor temperature, unemployment rate), for the 2 months following the accident (predefined index period) and predefined control periods (preceding 2 years of the same period and 1 month before/after the index period). Results The mean number of railway suicides per day in the index period increased significantly to 2.66 (95% CI 2.19 to 3.13) compared to 1.94 (95% CI 1.78 to 2.10) during both control periods. Fully adjusted Poisson regression showed a 44% daily increase in railway suicides in the index period compared to the control periods (incidence ratio 1.44, 95% CI 1.02 to 2.03). A maximum of eight suicides per day was reached about 1 week after the accident. Conclusions Non-fictional media coverage of a fatal accident appears to affect subsequent railway suicide numbers. Supposedly, media reports drew attention to railways as a means of suicide.</t>
  </si>
  <si>
    <t>SCOPUS_ID:0036832373</t>
  </si>
  <si>
    <t>10.1097/00001648-200211000-00012</t>
  </si>
  <si>
    <t>Ovarian hormones in premenopausal women: Variation by demographic, reproductive and menstrual cycle characteristics</t>
  </si>
  <si>
    <t>['Breast cancer', 'Estrogen', 'Hormones', 'Menstrual cycle', 'Progesterone', "Women's health"]</t>
  </si>
  <si>
    <t>Background. Ovarian function influences many areas of concern in women's health, including breast cancer and other chronic diseases. However, ovarian function has been little studied in healthy, premenopausal women, partly because of cyclical variation. Methods. We measured biomarkers of ovarian function (daily urinary metabolites of estrogen and progesterone) among 411 women age 18-39 years, who were Kaiser Permanente members in Northern California in 1990-1991. We have summarized the hormone metabolite levels of about 1,500 cycles and examined their associations with demographic and menstrual cycle characteristics. Results. Cycles with a short follicular phase showed elevations of 10-13% in both baseline (days 1-5) and average follicular-phase estrogen metabolite levels, as well as some elevations in progesterone metabolites. Progesterone metabolite levels were directly related to the length of the luteal phase. Compared with whites, Hispanics had estrogen metabolite levels that were 7-13% higher in the follicular and luteal phases, whereas nonwhite, non-Hispanic women (primarily Asians) had slightly lower levels. Generally, women with a prior pregnancy or those with a later age at menarche had lower estrogen metabolite levels, whereas women with prior induced abortions had higher levels. Luteal-phase progesterone metabolite levels tended to be lower among women who were overweight, were less educated, were older at their first livebirth, or had an induced abortion. Conclusions. Some menstrual cycle characteristics provide a crude surrogate of the hormonal milieu, particularly luteal-phase length and progesterone levels. Hormone levels varied by reproductive characteristics, potentially explaining their relevance to breast cancer risk. Copyright Â© 2002 by Lippincott Williams &amp; Wilkins, Inc.</t>
  </si>
  <si>
    <t>SCOPUS_ID:17844380488</t>
  </si>
  <si>
    <t>10.2105/AJPH.2003.037499</t>
  </si>
  <si>
    <t>"I have an evil child at my house": Stigma and HIV/AIDS managament in a South African community</t>
  </si>
  <si>
    <t>We examined the social roots of stigma by means of a case study of HIV/AIDS management among young people in a South African community (drawing from interviews, focus groups, and fieldworker diaries). We highlight the web of representations that sustain stigma, the economic and political contexts within which these representations are constructed, and the way in which they flourish in the institutional contexts of HIV/AIDS interventions. Stigma serves as an effective form of "social psychological policing" by punishing those who have breached unequal power relations of gender, generation, and ethnicity. We outline an agenda for participatory programs that promote critical thinking about stigma's social roots to stand alongside education and, where possible, legislation as an integral part of antistigma efforts.</t>
  </si>
  <si>
    <t>South Africa</t>
  </si>
  <si>
    <t>SCOPUS_ID:85197587805</t>
  </si>
  <si>
    <t>10.1093/eurpub/ckae036</t>
  </si>
  <si>
    <t>PHIRI: Lessons for an extensive reuse of sensitive data in federated health research</t>
  </si>
  <si>
    <t>Background: The extensive and continuous reuse of sensitive health data could enhance the role of population health research on public decisions. This paper describes the design principles and the different building blocks that have supported the implementation and deployment of Population Health Information Research Infrastructure (PHIRI), the strengths and challenges of the approach and some future developments. Methods: The design and implementation of PHIRI have been developed upon: (i) the data visiting principle - data does not move but code moves; (ii) the orchestration of the research question throughout a workflow that ensured legal, organizational, semantic and technological interoperability and (iii) a 'master-worker' federated computational architecture that supported the development of four uses cases. Results: Nine participants nodes and 28 Euro-Peristat members completed the deployment of the infrastructure according to the expected outputs. As a consequence, each use case produced and published their own common data model, the analytical pipeline and the corresponding research outputs. All the digital objects were developed and published according to Open Science and FAIR principles. Conclusion: PHIRI has successfully supported the development of four use cases in a federated manner, overcoming limitations for the reuse of sensitive health data and providing a methodology to achieve interoperability in multiple research nodes.</t>
  </si>
  <si>
    <t>SCOPUS_ID:85072059105</t>
  </si>
  <si>
    <t>10.1093/aje/kwz131</t>
  </si>
  <si>
    <t>The Problem with Mechanistic Risk of Bias Assessments in Evidence Synthesis of Observational Studies and a Practical Alternative: Assessing the Impact of Specific Sources of Potential Bias</t>
  </si>
  <si>
    <t>['evidence synthesis', 'meta-analysis', 'risk of bias']</t>
  </si>
  <si>
    <t>The trustworthiness of individual studies is routinely characterized in systemic reviews by evaluating risk of bias, often by mechanistically applying standardized algorithms. However, such instruments prioritize the repeatability of the process over a more thoughtful and informative but necessarily somewhat more subjective approach. In mechanistic risk of bias assessments, the focus is on determining whether specific biases are present, but these assessments do not provide insights into the direction, magnitude, and relative importance of individual biases. In such assessments, all potential biases are naively treated as equally important threats to validity and equally important across all research topics, potentially leading to inappropriate conclusions about the overall strength of the available evidence. Instead, risk of bias assessments be should focused on identifying a few of the most likely influential sources of bias, based on methodologic and subject matter expertise, classifying each specific study on the basis of on how effectively it has addressed each potential bias, and determining whether results differ across studies in relation to susceptibility to each hypothesized source of bias. This approach provides insight into the potential impact of each specific bias, identifies a subset of studies likely to best approximate the causal effect, and suggests design features needed to improve future research.</t>
  </si>
  <si>
    <t>SCOPUS_ID:20644433546</t>
  </si>
  <si>
    <t>10.1093/eurpub/cki075</t>
  </si>
  <si>
    <t>Environmental tobacco smoke in Norwegian homes, 1995 and 2001: Changes in children's exposure and parents attitudes and health risk awareness</t>
  </si>
  <si>
    <t>['Attitudes', 'Children', 'Health-risk awareness', 'Indoor environment', 'Parents', 'Passive smoking', 'Smoking', 'Tobacco']</t>
  </si>
  <si>
    <t>Background: The aims of the present study were to assess changes between 1995 and 2001 in the prevalence of child exposure to environmental tobacco smoke (ETS), attitudes towards ETS among parents of small children and awareness among parents regarding the potential hazards of passive smoking to children. Method: A questionnaire, along with a stamped, addressed envelope, was sent to a stratified random sample of 1000 households in Norway containing children aged 3 years old at the time of the investigation (May 1995 and August 2001). Results: The prevalence of households containing smokers was similar in the two study periods. However, households reporting exposure of children to ETS fell from 32% in 1995 to 18% in 2001. Health-risk awareness had significantly increased in households containing smokers. In both surveys, the probability of children being exposed to ETS was positively correlated with the number of parents smoking, and inversely correlated to strength of health-risk awareness, negative attitudes towards ETS and length of household education. Conclusions: Increasing parents' awareness of the health risk of ETS exposure to children may significantly reduce children's ETS exposure. Â© The Author 2005. Published by Oxford University Press on behalf of the European Public Health Association. All rights reserved.</t>
  </si>
  <si>
    <t>SCOPUS_ID:0026596751</t>
  </si>
  <si>
    <t>10.2105/AJPH.82.3.401</t>
  </si>
  <si>
    <t>Living arrangements and survival among middle-aged and older adults in the NHANES I epidemiologic follow-up study</t>
  </si>
  <si>
    <t>Background. There is concern about but little information on how living alone affects the health and survival of older adults. Methods. We examined the association between living arrangements (living alone, with a spouse, or with someone other than a spouse) and survival among 7651 adults, aged 45 to 74 years in the National Health and Nutrition Examination Survey (NHANES I) (1971-1975) and traced at the NHANES I Follow-up Study (1982-1984), to see whether certain sociodemographic factors (race, education, income, and employment), health behaviors (alcohol, smoking, physical activity, and obesity), or chronic medical conditions were influential in the association. Results. We found a stronger association of living arrangements with survival for men than for women, and for middle-aged men than for older men. For men, those living alone and those living with someone other than a spouse were equally disadvantaged in terms of survival. Income, race, employment, and physical activity influenced the association of living arrangements and survival, but their impact varied by age, gender, and living arrangement. Conclusion. Living arrangements had a weak impact on survival among men, but had no effect among women.</t>
  </si>
  <si>
    <t>SCOPUS_ID:84894091004</t>
  </si>
  <si>
    <t>10.2105/AJPH.2013.301566</t>
  </si>
  <si>
    <t>The onset of depression during the great recession: Foreclosure and older adult mental health</t>
  </si>
  <si>
    <t>Objectives. We examined neighborhood-level foreclosure rates and their association with onset of depressive symptoms in older adults. Methods. We linked data from the National Social Life, Health, and Aging Project (2005-2006 and 2010-2011 waves), a longitudinal, nationally representative survey, to data on zip code-level foreclosure rates, and predicted the onset of depressive symptoms using logit-linked regression. Results. Multiple stages of the foreclosure process predicted the onset of depressive symptoms, with adjustment for demographic characteristics and changes in household assets, neighborhood poverty, and visible neighborhood disorder. A large increase in the number of notices of default (odds ratio [OR] = 1.75; 95% confidence interval [CI] = 1.14, 2.67) and properties returning to ownership by the bank (OR = 1.62; 95% CI = 1.06, 2.47) were associated with depressive symptoms. A large increase in properties going to auction was suggestive of such an association (OR = 1.45; 95% CI = 0.96, 2.19). Age, fewer years of education, and functional limitations also were predictive. Conclusions. Increases in neighborhood-level foreclosure represent an important risk factor for depression in older adults. These results accord with previous studies suggesting that the effects of economic crises are typically first experienced through deficits in emotional well-being.</t>
  </si>
  <si>
    <t>SCOPUS_ID:0035198142</t>
  </si>
  <si>
    <t>10.1093/eurpub/11.4.420</t>
  </si>
  <si>
    <t>The association between socio-economic status and chest pain, focusing on self-rated health in a primary health care area of Sweden</t>
  </si>
  <si>
    <t>['Chest pain', 'Health', 'IHD', 'Self-rated', 'Sex', 'Socio-economic']</t>
  </si>
  <si>
    <t>Study objective: The study objective was to determine, first, the association between men's and women's chest pain and their socio-economic status (occupation, smoking) and, secondly, the association between their socio-economic status and self-rated health, in a primary health care area. Design and setting: A population-based cross-sectional survey was made in a primary health care area of Sweden. Primarily based on occupation according to Swedish standards, 4,238 men and women were divided into two socio-economic groups; blue-collar and white-collar workers. Methods: Odds ratios with 95% Cl were calculated by multivariate logistic regression, controlling for the variable age as confounding factor. Student's t-test was used to compare self-rated health, and the X2-test to determine any difference in smoking habits between the two groups. Main results: Both male and female blue-collar workers showed significantly more chest pain when excited than white-collar workers. In six of eight health indices, they also reported significantly worse self-rated health than the white-collar workers. Conclusions: These findings show that there are socio-economic inequalities in self-reported chest pain. Furthermore, socio-economic status has a major influence on self-rated health, acting across the working life of both sexes.</t>
  </si>
  <si>
    <t>SCOPUS_ID:85057523318</t>
  </si>
  <si>
    <t>10.1097/EDE.0000000000000906</t>
  </si>
  <si>
    <t>Estimating sizes of key populations at the national level: Considerations for study design and analysis</t>
  </si>
  <si>
    <t>['Epidemiologic methods', 'HIV', 'Sex workers', 'Sexual and gender minorities']</t>
  </si>
  <si>
    <t>Background: National estimates of the sizes of key populations, including female sex workers, men who have sex with men, and transgender women are critical to inform national and international responses to the HIV pandemic. However, epidemiologic studies typically provide size estimates for only limited high priority geographic areas. This article illustrates a two-stage approach to obtain a national key population size estimate in the Dominican Republic using available estimates and publicly available contextual information. Methods: Available estimates of key population size in priority areas were augmented with targeted additional data collection in other areas. To combine information from data collected at each stage, we used statistical methods for handling missing data, including inverse probability weights, multiple imputation, and augmented inverse probability weights. Results: Using the augmented inverse probability weighting approach, which provides some protection against parametric model misspecification, we estimated that 3.7% (95% CI = 2.9, 4.7) of the total population of women in the Dominican Republic between the ages of 15 and 49 years were engaged in sex work, 1.2% (95% CI = 1.1, 1.3) of men aged 15-49 had sex with other men, and 0.19% (95% CI = 0.17, 0.21) of people assigned the male sex at birth were transgender. Conclusions: Viewing the size estimation of key populations as a missing data problem provides a framework for articulating and evaluating the assumptions necessary to obtain a national size estimate. In addition, this paradigm allows use of methods for missing data familiar to epidemiologists.</t>
  </si>
  <si>
    <t>SCOPUS_ID:82355184648</t>
  </si>
  <si>
    <t>10.1093/eurpub/ckq160</t>
  </si>
  <si>
    <t>Changes in associations between psychosocial factors and suicide attempts by adolescents in Greece from 1984 to 2007</t>
  </si>
  <si>
    <t>['adolescents', 'Greece', 'psychosocial factors', 'school survey', 'self reports', 'suicide attempts', 'trends']</t>
  </si>
  <si>
    <t>Background: Suicide is the second commonest cause of death among adolescents and young adults aged 15-35 years in Europe. Suicide attempts are a strong risk indicator for suicide. This article examines psychosocial factors associated with self-reported suicide attempts in adolescents in Greece and whether the reported increase in suicide attempts from 1984 to 2007 was accompanied by changes in the pattern of related psychosocial factors. Methods: Data were taken from nationwide probability sample surveys of Greek high school students aged 14-18 years in 1984 (n=10507) and 2007 (n=9873). Logistic regression analysis was used to relate any self-reported suicide attempts to basic sociodemographic and psychosocial variables including family and psychological characteristics, and substance use. Results: Female gender, smoking, illicit drug use, low socio-economic status, not living with both parents, dissatisfaction with relationship with parents, visits to a doctor for psychological problems, depression, anti-social behaviour and low self-esteem were risk factors for self-reported attempted suicide by adolescents in both surveys. Significant interaction terms showed that the effects of gender and illicit drug use were smaller in 2007 than in 1984. However, low self-esteem became significantly more important. Conclusions: Several common psychosocial factors seem to be steadily related to self-reported suicide attempts by Greek adolescents in 1984 and 2007. However, the increase in self-reported suicide attempts between 1984 and 2007 has been accompanied by changes in the relative importance of correlates. The Author 2010. Published by Oxford University Press on behalf of the European Public Health Association.</t>
  </si>
  <si>
    <t>SCOPUS_ID:0642375940</t>
  </si>
  <si>
    <t>10.2105/AJPH.93.10.1753</t>
  </si>
  <si>
    <t>Stage at Diagnosis and Survival in a Multiethnic Cohort of Prostate Cancer Patients</t>
  </si>
  <si>
    <t>Objectives. We evaluated the effects of socioeconomic status and comorbidity on stage of disease and survival among 1,509 population-based prostate cancer patients. Methods. We applied logistic regression and Cox proportional hazards regression to data from Whites, African Americans, and Asian Americans who were diagnosed from 1987 to 1991. Results. Patients with existing comorbid conditions were less likely than those without these conditions to be diagnosed with advanced cancer. Compared with Whites, African Americans (odds ratio [OR] = 1.5; 95% confidence interval [CI] = 1.1, 2.2) and foreign-born Asian Americans (OR = 1.6; 95% CI = 1.0, 2.4) were more likely to be diagnosed with advanced cancer. Among men with localized disease, prostate cancer death rates were higher for African Americans than for Whites (death rate ratio = 2.3; 95% CI = 1.2, 4.7). Conclusions. These findings support the need for further investigation of factors that affect access to and use of health care among African Americans and Asian Americans.</t>
  </si>
  <si>
    <t>SCOPUS_ID:2342514215</t>
  </si>
  <si>
    <t>10.1093/ije/dyh043</t>
  </si>
  <si>
    <t>Childhood cognitive ability and deaths up until middle age: A post-war birth cohort study</t>
  </si>
  <si>
    <t>['Birth cohort', 'IQ', 'Life course', 'Mortality', 'Socioeconomic conditions']</t>
  </si>
  <si>
    <t>Background. Childhood IQ has been related to mortality in later life in four studies. Cognitive ability may be a mediator between early disadvantage and mortality, a marker of the efficiency of information processing in the central nervous system, or predict entry to safe adult environments or healthy behaviours. We examined mortality in relation to cognitive ability at age 8 years in a birth cohort and investigated these possible reasons. Methods. Cox's proportional hazards models were used to investigate the effect of early cognitive ability on all-cause mortality in 2057 women and 2192 men born in England, Scotland, and Wales in March 1946 and followed until age 54 years. We tested whether the relationship was accounted for by childhood socioeconomic conditions or serious illness, education, adult socioeconomic conditions, or smoking. Results. Cognitive ability was related to mortality in men but not women. The excess mortality rate in men was concentrated in the bottom quarter of the cognitive score (hazard ratio [HR] for bottom versus top quarter 1.8, 95% CI: 1.0, 3.0) and there was no gradient across the range of ability. Adjustment for childhood socioeconomic conditions and serious illness had a small effect on the HR for deaths between 9 and 54 years while adjustment for education or early adult socioeconomic conditions halved the HR for deaths from age 26 years. Smoking was not a mediator of the effect of early ability on adult mortality. Conclusions. Greater cumulative exposure to poor lifetime socioeconomic conditions is the most likely explanation for the observed relationship between low cognitive ability in childhood and mortality. This relationship may therefore be elucidated further by studying the causes of lifelong socioeconomic inequalities in health. Â© International Epidemiological Association 2004; all rights reserved.</t>
  </si>
  <si>
    <t>SCOPUS_ID:85059799927</t>
  </si>
  <si>
    <t>10.1016/j.amepre.2018.10.017</t>
  </si>
  <si>
    <t>Association Between Health Behaviors and Family History of Cancer According to Sex in the General Population</t>
  </si>
  <si>
    <t>Introduction: Family history of cancer and modifiable risk factors are each associated with cancer development, but no studies have assessed their association with each other by sex. This study aimed to examine modifiable risk factors in individuals with a family history of cancer compared with those without a family history of cancer, according to sex. Methods: This study recruited 166,810 participants aged 40â€“79 years from Korea's Health Examinee Study cohort between 2004 and 2014. Results were calculated as AORs and 95% CIs to determine the relationship between family history of cancer in first-degree relatives and modifiable risk factors. Data analyses were performed in 2018. Results: The prevalence of modifiable cancer risk factors, including current smoking, drinking alcohol, physical inactivity, obesity, and abdominal obesity, were different according to the presence of a family history of cancer, cancer type of such a family history, and sex. Male participants with a family history of cancer were less likely to be current smokers or obese (AOR=0.95, 95% CI=0.91, 0.99 and AOR=0.95, 95% CI=0.92, 0.99, respectively) than those without a family history of cancer, whereas female participants with a family history of cancer were more likely to be current smokers but less likely to be physically inactive (AOR=1.13, 95% CI=1.03, 1.23 and AOR=0.96, 95% CI=0.93, 0.98, respectively) than those without a family history of cancer. Conclusions: This study's findings suggest that, in general, males with a family history of cancer show better health behaviors, whereas females with a family history of cancer demonstrate worse health behaviors.</t>
  </si>
  <si>
    <t>South Korea</t>
  </si>
  <si>
    <t>SCOPUS_ID:0031963005</t>
  </si>
  <si>
    <t>10.1093/oxfordjournals.aje.a009369</t>
  </si>
  <si>
    <t>Nationwide oral poliovirus vaccination campaign and the incidence of Guillain-Barre syndrome</t>
  </si>
  <si>
    <t>['Poliovirus vaccine, oral', 'Polyradiculoneuritis', 'Vaccination']</t>
  </si>
  <si>
    <t>A retrospective analysis of the incidence of Guillain-Barre syndrome (GBS) in Finland in 1981-1986 was carried out by careful examination of medical records identified from nationwide Hospital Discharge Register data based on a mean total population of 5 million people. Records from 247 patients fulfilled the accepted criteria of GBS corresponding to a mean annual incidence of 0.82 per 100,000 population. Monthly rates showed an increased incidence of GBS in March 1985, following by a few weeks the onset of the nationwide oral poliovirus vaccine campaign and partly overlapping it. Analysis of the time series in depth suggested, however, that a change point in the occurrence of GBS had already taken place before the oral poliovirus vaccine campaign. Widespread circulation of wild-type 3 poliovirus in the population immediately preceded the oral poliovirus vaccine campaign and the peak occurrence of GBS. These results demonstrate a temporal association between poliovirus infection, caused by either wild virus or live attenuated vaccine, and an episode of increased occurrence of GBS, but they cannot prove the suspected cause-effect relation between GBS and oral poliovirus vaccine administration.</t>
  </si>
  <si>
    <t>SCOPUS_ID:85152255790</t>
  </si>
  <si>
    <t>10.1016/j.ypmed.2023.107485</t>
  </si>
  <si>
    <t>Differences in influenza vaccination by gender identity and state-level gender equity policies: Behavioral Risk Factor Surveillance System, 2015â€“2019</t>
  </si>
  <si>
    <t>['Gender', 'Health equity', 'Health policy', 'Immunization', 'Influenza', 'Non-binary', 'Transgender', 'Vaccination', 'Vaccine uptake']</t>
  </si>
  <si>
    <t>Background: It is estimated that there are one million transgender and over 340,000 gender non-conforming people in the United States, many of whom face significant health disparities including access to healthcare. Although previous studies have reported greater vaccine uptake in women compared to men, national-level estimates of influenza vaccine uptake among transgender and non-binary people are unknown. This study aims to characterize differences in influenza vaccine uptake by gender identity and examine associations between vaccination status and state-level gender equity policies. Methods: We used cross-sectional data from adults participating in the 2015â€“2019 United States Behavioral Risk Factors Surveillance System surveys. Weighted prevalence differences (PDs) and associated confidence intervals (CIs) of being unvaccinated against influenza by self-reported gender identity were estimated using generalized linear regression models. Results: Compared to cisgender women (unvaccinated prevalence = 57.3%), the prevalence of being unvaccinated was significantly higher among cisgender men (64.4%; PD = 7.0 per 100, 95% CI: 6.7â€“7.4), transgender women (65.4%; PD = 8.1 per 100, 95% CI 4.0â€“12.2), transgender men (64.6%; PD = 7.3 per 100, 95% CI: 2.7â€“11.8), and gender non-conforming individuals (64.6%; PD = 7.2 per 100, 95% CI: 1.3â€“13.2). This pattern was similar among individuals living in states with protective versus restrictive gender equity policies. Conclusions: Our results identified a disparity in influenza vaccine uptake among individuals across the gender spectrum. To improve vaccine equity, future research should explore barriers to and facilitators of vaccine uptake by gender identity, which could inform policies and health promotion interventions to improve uptake co-designed and implemented with the transgender and non-binary communities.</t>
  </si>
  <si>
    <t>SCOPUS_ID:80955137736</t>
  </si>
  <si>
    <t>10.1136/jech.2010.119172</t>
  </si>
  <si>
    <t>A comparison of green space indicators for epidemiological research</t>
  </si>
  <si>
    <t>Background The potential for natural environments to be salutogenic has received growing interest from epidemiologists, but there has been no critical examination of the extent to which associations between green space and health might vary according to the indicator of green space coverage used. Methods Three different indicators of green space coverage were derived for a set of 268 small areas in four cities within Britain. The indicators had different origins and provided a spectrum of sensitivity from larger spaces only, through to ambient greenery. Two indicators reproducible for anywhere in Europe were included. Agreement between the indicators on the quantity of green space in a small area, and their independent association with measures of mortality and self-reported morbidity, were compared. Results Overall, the indicators showed relatively close overall agreement (all r 2&gt;0.89, p&lt;0.001). However, agreement varied by level of area socioeconomic deprivation (p&lt;0.001). The indicator that detected larger spaces only found less green space in areas of socioeconomic deprivation than the other two. Despite this difference, all indicators showed similar protective associations with the risk of mortality and self-reported morbidity suggesting that larger green spaces may be more important for health effects than smaller spaces. Conclusions Associations between green space indicator and health were not sensitive to indicator origin and type. This raises the possibility of trans-European epidemiological studies. Larger green spaces may be the most important for health effects, but may also be less prevalent in more deprived areas.</t>
  </si>
  <si>
    <t>SCOPUS_ID:77958190687</t>
  </si>
  <si>
    <t>10.1016/j.amepre.2010.07.011</t>
  </si>
  <si>
    <t>Knowledge and adoption of community mitigation efforts in Mexico during the 2009 H1N1 pandemic</t>
  </si>
  <si>
    <t>Background The public's ability and willingness to adopt community mitigation efforts during a pandemic are debated in the literature. Purpose Awareness and adoption of community mitigation efforts in Mexico during the 2009 pandemic influenza A (H1N1) (pH1N1) outbreak were measured to evaluate if the population received, understood, and acted on public health messages. Methods A cross-sectional representative household survey in Mexico City; San Luis Potosi (high case ratio); and Queretaro (low case ratio) was conducted in May and June 2009. Accounting for the complex survey design, percentages and 95% CI for answers to all questions were generated and compared based on living inside or outside Mexico City, high versus low prevalence of infection in the community, and perceived severity and knowledge of the virus. Results Greater than 90% of respondents received community mitigation messages and adopted one or more community mitigation efforts. There were few differences among cities. Respondents reported high cost of masks, soaps, and gels as barriers to community mitigation-effort adoption. Nearly one fifth of respondents, disproportionally from the lower socioeconomic tertile, found some messages confusing. Half of all households reported a negative economic impact resulting from the outbreak. Conclusions Mexico's community mitigation campaign reached the majority of the population in three surveyed cities. Confusion regarding messages and economic barriers to community mitigation-effort adoption were sometimes reported.</t>
  </si>
  <si>
    <t>SCOPUS_ID:84861943303</t>
  </si>
  <si>
    <t>10.2105/AJPH.2011.300554</t>
  </si>
  <si>
    <t>Experiences and perceptions of medical discrimination among a multiethnic sample of breast cancer patients in the Greater San Francisco Bay Area, California</t>
  </si>
  <si>
    <t>Objectives. We conducted qualitative interviews with breast cancer survivors to identify themes related to institutional, personally mediated, and internalized discrimination in the medical setting. Methods. We conducted 7 focus groups and 23 one-on-one interviews with a multiethnic sample of breast cancer survivors randomly selected from a population- based registry covering the Greater San Francisco Bay Area, California. Results. Participants reported experiencing different forms of medical discrimination related to class, race, and language. Among African Americans, participants reported experiencing internalized discrimination and personal or group discrimination discrepancy-perceiving discrimination against them as a racial/ethnic group, yet not perceiving or discussing personal experiences of discrimination. Among Asian immigrants, participants reported experiencing institutional and personally mediated overt types of discrimination, including lack of access to quality and readily available translation services. Our results also indicated well-established coping mechanisms in response to discrimination experiences in both groups. Conclusions. Participants reported experiencing medical discrimination at all 3 levels, which may have deleterious health effects through the biopsychosocial stress pathway and through active coping mechanisms that could lead to delayed- or underutilization of the health care system to avoid discrimination.</t>
  </si>
  <si>
    <t>SCOPUS_ID:25144499067</t>
  </si>
  <si>
    <t>10.1093/eurpub/cki018</t>
  </si>
  <si>
    <t>Seasonal variation and hospital utilization for tuberculosis in Russia: Hospitals as social care institutions</t>
  </si>
  <si>
    <t>['Hospital', 'Russia', 'Season', 'Social care', 'Tuberculosis']</t>
  </si>
  <si>
    <t>Background: Clinical management of tuberculosis in Russia involves lengthy hospitalizations, in contrast to the recommended strategy advocated by the World Health Organization. Methods: We used Fourier transform, spectral analysis and Student's t-test to analyse periodic and seasonal variations in admission and discharge rates for tuberculosis hospitalizations in 1999-2002, using routinely captured data from the Samara Region, Russia. Results: Hospital admissions in colder months were significantly higher than in warmer months. The mean monthly adjusted number of admissions in colder and warmer months for all adults was 413 and 372 (P &lt; 0.01), for unemployed adults 218 and 198 (P &lt; 0.02) and for pensioners 104 and 82 (P &lt; 0.05). Hospital discharges varied seasonally. Maximum differences between admissions and discharges occurred in colder months and minimum differences were observed in warmer months. Conclusions: As hospitalizations of tuberculosis patients in colder months fulfil an important social need, shifts to ambulatory care must be carefully managed. Â© The Author 2005. Published by Oxford University Press on behalf of the European Public Health Association. All rights reserved.</t>
  </si>
  <si>
    <t>SCOPUS_ID:84876012188</t>
  </si>
  <si>
    <t>10.1093/eurpub/cks068</t>
  </si>
  <si>
    <t>The influence of municipal characteristics on the use of informal home care and home care services by the elderly Flemish</t>
  </si>
  <si>
    <t>Background: When explaining the use of care, the context of the care gains importance. This article focuses on the influence of the municipality on the lives of the elderly regarding the usage of different forms of care, whereas controlling for the effect of individual characteristics. Methods: Two databases on the individual characteristics of elderly Flemish people living at home were combined with a database on municipal characteristics. The effect of municipal characteristics was measured through multi-level logistic regression. Results: A higher mean income per inhabitant and a lower number of inhabitants/100 km 2 have a positive effect on the use of informal home care. The use of home care services is positively influenced by a higher family care index and an increasing relative number of hours of domestic care provided in the municipality. Receiving care from a general practitioner, medical specialist, dentist, emergency department, community nurse, physiotherapist, home aid, day-care centre or hospital with overnight stay is not influenced by the municipality's characteristics. The use of public welfare services, meals-on-wheels programs or hospital outpatients' services, however, are affected by the municipality, but cannot be fully explained by the model. Conclusion: The municipality that an elderly person lives in has an impact on the amount and the types of care an elderly person receives. Persons with similar care needs and similar individual characteristics can receive very different care when they live in different municipalities. This is quite a challenging finding for researchers, as well as for care providers and policy makers. Â© 2012 Published by Oxford University Press on behalf of the European Public Health Association. All rights reserved.</t>
  </si>
  <si>
    <t>SCOPUS_ID:85098131156</t>
  </si>
  <si>
    <t>10.1016/j.amepre.2020.08.023</t>
  </si>
  <si>
    <t>Impact of Restricting Sugar-Sweetened Beverages From the Supplemental Nutrition Assistance Program on Children's Health</t>
  </si>
  <si>
    <t>Introduction: Children enrolled in the Supplemental Nutrition Assistance Program are at higher risk of poor diet, including higher intake of sugar-sweetened beverages than nonâ€“Supplemental Nutrition Assistance Program participants. This study aims to identify the impact of restricting sugar-sweetened beverage purchases with Supplemental Nutrition Assistance Program benefits on children's consumption and health. Methods: Using Supplemental Nutrition Assistance Program participation and dietary data of children (aged 2â€“19 years) in the National Health and Nutrition Examination Survey (2009â€“2016), a microsimulation model was constructed to assess expected changes in daily sugar-sweetened beverage consumption, total calorie intake, BMI, incidence of dental caries, and obesity prevalence of 2019 U.S. children over a 10-year period, incorporating differences in food consumption and disease risks between the Supplemental Nutrition Assistance Program and the general U.S. populations. Sensitivity analyses were conducted with various food substitution patterns and Supplemental Nutrition Assistance Program participation characteristics. Analysis was performed in 2019. Results: Sugar-sweetened beverage restriction in the Supplemental Nutrition Assistance Program was estimated to reduce daily sugar-sweetened beverage intake by 112.5 g/person (95% CI= âˆ’115.9, âˆ’109.2), which was estimated to decrease the number of decayed teeth by 0.53/person (95% CI= âˆ’0.55, âˆ’0.51), an 8.0% decline from the baseline. If sugar-sweetened beverages were substituted with fruit juice and milk, the restriction would be expected to reduce daily total calorie intake by 39.2 kcal/person (95% CI= âˆ’39.8, âˆ’38.7), resulting 2.6 kg/m2 (95% CI= âˆ’2.9, âˆ’2.4) decrease in BMI and a 6.2 percentage point (95% CI= âˆ’6.5, âˆ’5.8) decrease in obesity prevalence among Supplemental Nutrition Assistance Program participants. Estimated changes in total calorie intake and obesity were subject to food substitution patterns. Conclusions: Restricting sugar-sweetened beverage purchases in Supplemental Nutrition Assistance Program could promote a healthier diet and significantly lower the incidence of dental caries and potentially obesity prevalence in children.</t>
  </si>
  <si>
    <t>SCOPUS_ID:85111588940</t>
  </si>
  <si>
    <t>10.1016/j.amepre.2021.03.017</t>
  </si>
  <si>
    <t>Characteristics Associated With Unsheltered Status Among Veterans</t>
  </si>
  <si>
    <t>Introduction: Unsheltered homelessness is a strongly debated public issue. The study objective is to identify personal and community characteristics associated with unsheltered homelessness in veterans and to test for interactions between these characteristics. Methods: In a 2018 national survey of U.S. veterans with homeless experiences; investigators assessed unsheltered time; psychosocial characteristics; and community measures of shelter access, weather, and rental affordability. Associations between these characteristics and unsheltered status were tested in Julyâ€“August 2020. This study also tested whether the count of personal risk factors interacted with community characteristics in predicting unsheltered status. Results: Among 5,406 veterans, 481 (8.9%) reported â‰¥7 nights unsheltered over 6 months. This group was more likely to report criminal justice history, poor social support, medical and drug problems, financial hardship, and being unmarried. Their communities had poorer shelter access and warmer temperatures. The likelihood of unsheltered experience rose with risk factor count from 2.0% (0â€“1) to 8.4% (2â€“3) and to 24.2% (4â€“11). Interaction tests showed that the increase was greater for communities with warmer weather and higher rents (p&lt;0.05). Conclusions: Among veterans experiencing homelessness, unsheltered experiences correlate with individual and community risk factors. Communities wishing to address unsheltered homelessness will need to consider action at both levels.</t>
  </si>
  <si>
    <t>SCOPUS_ID:67349244367</t>
  </si>
  <si>
    <t>10.1016/j.ypmed.2009.03.018</t>
  </si>
  <si>
    <t>Longitudinal evaluation of the effect of smoking initiation on body weight, blood pressure, and blood biochemistry</t>
  </si>
  <si>
    <t>['Blood pressure', 'Clinical chemistry tests', 'Obesity', 'Smoking initiation']</t>
  </si>
  <si>
    <t>Objective: To evaluate the effect of smoking initiation on annual changes in body weight, blood pressure, and blood biochemistry. Methods: This study analyzed the results of annual health examinations from 1991 to 2005 in male Japanese workers. Subjects who started smoking (n = 214) initially responded as non-smokers in a self-administered questionnaire (baseline year) and then answered consistently as smokers for 3 subsequent years. Out of 2547 non-smokers, we selected 1589 controls who had data available for at least four successive years. The time course of physiological and laboratory data was analyzed using a linear mixed model. Results: A significant temporal decrease from baseline in body mass index (first year, - 0.1Â kg/m2), diastolic blood pressure (second year, - 1.5Â mm Hg) and Î³-glutamyl transpeptidase (second year, - 3.5Â IU/L) was observed for subjects who started smoking. An opposite pattern was observed in non-smokers. On average, those who started smoking had significantly lower body mass index (first year, - 0.2Â kg/m2; second year, - 0.2Â kg/m2), systolic blood pressure (second year, - 2.1Â mm Hg), diastolic blood pressure (second year, - 2.0Â mm Hg), and Î³-glutamyl transpeptidase (second year, - 4.5Â IU/L) than non-smokers. Conclusion: In this study, smoking initiation did not yield clinically significant long-term benefits with respect to physiological or biochemical outcomes. These results are important because few studies have tracked these types of changes longitudinally from initiation through 3Â years of follow-up. Â© 2009 Elsevier Inc. All rights reserved.</t>
  </si>
  <si>
    <t>SCOPUS_ID:0035211416</t>
  </si>
  <si>
    <t>10.1097/00001648-200111000-00017</t>
  </si>
  <si>
    <t>Paradoxical relations of drug treatment with mortality in older persons</t>
  </si>
  <si>
    <t>['Aging', 'Bias', 'Confounding', 'Pharmacoepidemiology', 'Prescribing']</t>
  </si>
  <si>
    <t>Medication use patterns provide popular surrogate measures of disease, yet selective under-use of drugs by elderly patients with potentially unmeasured comorbidity may lead to artifactual "protective" associations between use of specific drugs and mortality. We examined the relation between use of 20 common classes of drugs and mortality among the 129,111 residents of New Jersey 65-99 years of age who had at least one hospitalization during the years 1991-1994 and filled prescriptions through either Medicaid or that state's Pharmacy Assistance for the Aged and Disabled program. Each study drug class was used by more than 5,000 subjects during the 120 days before hospitalization; 41,930 subjects died in the hospital or during the year after discharge. Users of drugs from each of seven therapeutic classes had reduced age- and sex-adjusted rates of death relative to non-users: lipid-lowering agents, nonsteroidal anti-inflammatory agents, beta blockers, thiazides, glaucoma drugs, calcium channel blockers, and antianxiety drugs. Adjustment for comorbidity and polypharmacy had little effect on these results. We found similar results in a separate nonhospitalized cohort of 132,071 elderly persons. Much of this observed association appears to be nonetiologic. These findings raise concerns about using observational studies in high-risk populations to infer associations between drug use and outcomes.</t>
  </si>
  <si>
    <t>SCOPUS_ID:85205334530</t>
  </si>
  <si>
    <t>10.1093/eurpub/ckae086</t>
  </si>
  <si>
    <t>Designing, piloting and evaluating (through a matched pre- and post-implementation survey) a targeted e-learning resource on antimicrobial resistance for public health professionals</t>
  </si>
  <si>
    <t>Background: Antimicrobial resistance (AMR) is a significant global public health threat and key priority for the public health, especially health protection, workforce to lead by example. There is a paucity of learning resources on this for public health professionals (PHPs) in the UK. This project aimed to develop and disseminate a tailored interactive learning resource and evaluate impact on self-reported intention to change behaviour. Methods: Learning objectives were agreed, content developed by the multi-disciplinary team and piloted by PHPs in 2022 alongside a matched pre- and post-implementation evaluation survey. Questions were mapped to the capability-opportunity-motivation-behaviour change model. Before and after responses were calculated to compare change in self-reported knowledge, understanding and behaviour. Significance of change in binary responses was estimated. Results: The resource was delivered using an interactive, user-friendly and cost-free internal platform. Thirty-one PHPs completed the pilot e-learning and survey. Perceived and actual knowledge increased in parallel. Actual knowledge on AMR burden increased from 6.45 to 35.48% (P = 0.004). Self-reported confidence to explain AMR to others improved by 0.71 (95% CI; 0.38-1.04: P = 0.0001) Likert points on a five-point scale. Motivation to advocate for antimicrobial stewardship (AMS) in day-to-day work, improved by 0.71 (95% CI; 0.34-1.08: P &lt; 0.00001) Likert points. Case scenarios were well-received as an effective way to apply theory to practice. Conclusion: Ensuring a well-informed and confident public health workforce is vital for reducing the AMR threat and advocating for AMS with the public and partner organizations. This targeted e-learning module is an effective additional learning medium in contributing to PHPs knowledge, understanding and self-reported intention to change behaviours.</t>
  </si>
  <si>
    <t>SCOPUS_ID:26444538010</t>
  </si>
  <si>
    <t>10.1093/ije/dyi125</t>
  </si>
  <si>
    <t>Cohort profile: The Boyd Orr lifegrid sub-sample - Medical sociology study of life course influences on early old age</t>
  </si>
  <si>
    <t>In summary, the initial sample had a low response rate and is biased conservatively, probably as a result of the stratified sampling. Nevertheless the sample is broadly representative of its age-peers within the British population. In this sense, it perhaps gives a unique insight into the generation that precedes the first of the prospective British birth cohorts, born in 1946. We returned to the sample, by postal survey, in the year 2000. Of the 294 people interviewed in 1997-98, 12 had died or were seriously ill or untraceable. The remaining 282 were mailed a self-completion questionnaire with, where appropriate, a second mailing after 14 days. Those who did not respond to either mailing were interviewed, if willing, by telephone. In total, 264 cohort members completed the questionnaire (182, first mailing; 74, second mailing; 8, telephone), representing a response rate of 90% of those interviewed in 1997-98 and 93% of those asked to complete the questionnaire. Those lost to study (died; seriously ill; untraceable; non-responders to postal and telephone survey) did not differ from the survey respondents in terms o fheir gender and social class composition, although their rate of limiting long-standing illness was somewhat higher. In parallel with the postal survey, in-depth interviews were conducted for the LINK Programme Eating, Food and Health. Purposive sampling was used to select potential interviewees. Interviewees were selected on the basis of age, gender, current living arrangements (with spouse or family vs alone), income, geographical location and health - all of which previous research had shown to be associated with variations in diet. Interviewees were selected also on the basis of their current diet, with half of those selected having a poor diet and half a good diet, as indicated by their Healthy Diet Index score. Potential interviewees were selected from the upper and lower one-thirds of the distribution of Healthy Diet Index scores to ensure that a wide range of eating habits was represented. Thirty-one people were interviewed: 16 with poor diets (9 men; 7 women) and 15 with good diets (8 men; 7 women), with the interviewer blind to each interviewee's Healthy Diet Index status. The present Cohort Profile is being written midway through the fieldwork for the 2004-05 survey, so we are unable to report on the numbers and characteristics of those in the latest sample. Â© The Author 2005; all rights reserved.</t>
  </si>
  <si>
    <t>SCOPUS_ID:59049103602</t>
  </si>
  <si>
    <t>10.2105/AJPH.2007.127498</t>
  </si>
  <si>
    <t>Neighborhood context and infant birthweight among recent immigrant mothers: A multilevel analysis</t>
  </si>
  <si>
    <t>Objectives. We compared the influence of the residential environment and maternal country of origin on birthweight and low birthweight of infants born to recent immigrants to urban Ontario. Methods. We linked delivery records (1993-2000) to an immigration database (1993-1995) and small-area census data (1996). The datawere analyzed with cross-classified random-effects models and standard multilevel methods. Higher-level predictors included 4 independent measures of neighborhood context constructed by factor analysis and maternal world regions of origin. Results. Births (N=22189) were distributed across 1396 census tracts and 155 countries of origin. The associations between neighborhood indices and birthweight disappeared after we controlled for the maternal country of origin in a cross-classified multilevel model. Significant associations between world regions and birthweight and low birthweight persisted after we controlled for neighborhood context and individual characteristics. Conclusions. The residential environment has little, if any, influence on birthweight among recent immigrants to Ontario. Country of origin appears to be amuchmore important factor in low birthweight among children of recent immigrants than current neighborhood. Findings of neighborhood influences among recent immigrants should be interpretedwith caution.</t>
  </si>
  <si>
    <t>SCOPUS_ID:23144468097</t>
  </si>
  <si>
    <t>10.1136/jech.2005.035915</t>
  </si>
  <si>
    <t>Framing pub smoking bans: An analysis of Australian print news media coverage, March 1996-March 2003</t>
  </si>
  <si>
    <t>Objective: To investigate framing strategies used by the Australian Hotels Association (AHA) and tobacco control groups to (respectively) resist or advocate laws providing smoke free bars. Methods: Online archives of Australian print media were searched 1996 to 2003. A thematic analysis of all statements made by AHA spokespeople and tobacco control advocates was conducted. Direct quotes or journalistic summaries of statements attributed to named people were coded into four broad themes and the slant of articles coded. Results: More than three times as many articles reported issues that were positive (n = 171) than negative (n = 48) for tobacco control objectives. The AHA emphasised negative economic issues and cultural/ideological frames about cultural identity, while tobacco control interests emphasised health concerns as well as cultural/ideological frames about threats to inequitable workplace policies. Conclusions: Smoke free bars have now been secured, suggesting that health advocates' position prevailed. The inability of the AHA to avoid the core health arguments, its wildly exaggerated economic predictions, and its frequent recourse to claiming smoke bans threatened nostalgic but outmoded vistas of Australian day to day life were decidedly backward looking and comparatively easily dismissed as being out of touch with views held by many in contemporary Australia. Health groups' emphasis on the unfairness in denying the most occupationally exposed group the same protection that all other workers enjoyed under law was powerfully and consistently argued. Australia's recent success in securing dates for the implementation of smoke free pubs is likely to have owed much to the enduring media advocacy by health groups.</t>
  </si>
  <si>
    <t>SCOPUS_ID:0034851684</t>
  </si>
  <si>
    <t>10.1093/ije/30.4.864</t>
  </si>
  <si>
    <t>Incidence of primary opportunistic infections in two human immunodeficiency virus-infected French clinical cohorts</t>
  </si>
  <si>
    <t>['France', 'HIV', 'Incidence rate', 'Natural history', 'Opportunistic infections']</t>
  </si>
  <si>
    <t>Background. Clinical guidelines for the prevention of opportunistic infections in human immunodeficiency virus (HIV)-infected individuals have been developed on the basis of natural history data collected in the USA. The objective of this study was to estimate the incidence of primary opportunistic infections in HIV-infected individuals in geographically distinct cohorts in France. Methods. We conducted our study on 2664 HIV-infected patients from the Tourcoing AIDS Reference Centre and the hospital-based information system of the Groupe d'EpidÃ©miologic Clinique du SIDA en Aquitaine enrolled from January 1987 to September 1995 and followed through December 1995. We estimated: (1) CD4-adjusted incidence rates of seven primary opportunistic infections in the absence of prophylaxis for that specific infection or any antiretroviral drugs other than zidovudine; and (2) CD4 lymphocyte count decline. Results. The highest incidence rates for all opportunistic infections studied occurred in patients with CD4 counts &lt;200/Î¼l. With CD4 counts &lt;50/Î¼l, the most common opportunistic infections were toxoplasmic encephalitis (12.6 per 100 person-years) and Pneumocystis carinii pneumonia (11.4 per 100 person-years). Mycobacterium tuberculosis was the least common opportunistic infection (&lt;5.0/100 person-years). Even with CD4 counts &gt;300/Î¼l, cases of Pneumocystis carinii pneumonia and toxoplasmic encephalitis were reported. The mean CD4 lymphocyte decline per month was 4.6 cells/Î¼l. There was a significant association between HIV risk behaviour and the incidence of cytomegalovirus infection, between calendar year and the incidence of Pneumocystis carinii pneumonia, toxoplasmic encephalitis and Candida esophagitis, and between geographical area and the incidence of Pneumocystis carinii pneumonia and cytomegalovirus infection. Conclusions. Geographical differences exist in the incidence of HIV-related opportunistic infections. These results can be used to define local priorities for prophylaxis of opportunistic infections.</t>
  </si>
  <si>
    <t>SCOPUS_ID:17844400051</t>
  </si>
  <si>
    <t>10.1016/j.ypmed.2004.09.005</t>
  </si>
  <si>
    <t>Testing a culturally appropriate, theory-based intervention to improve colorectal cancer screening among native Hawaiians</t>
  </si>
  <si>
    <t>['Cultural diversity', 'Health services research', 'Mass screening', 'Pacific Islander Americans', 'Psychological theory']</t>
  </si>
  <si>
    <t>Background. We tested an intervention based on social learning theory (SLT) to improve colorectal cancer (CRC) screening among Native Hawaiians, a group with low CRC screening rates. Method. Sixteen Hawaiian civic clubs agreed to randomization. Eight control clubs received a culturally targeted presentation, a free Fecal Occult Blood Test (FOBT), and a reminder call. Eight experimental clubs also received culturally targeted education and free testing; but, in line with SLT, education was delivered by a Native Hawaiian physician and Native Hawaiian CRC survivor, and members received an FOBT demo, were challenged to involve a family member in screening, and were telephoned multiple times to address change-related emotions and barriers. Results. One hundred twenty-one members age 50 and older from 16 clubs participated. At the club level, screening rates were modestly increased in four experimental clubs and six control clubs. Surprisingly, 64% of participants reported being up to date with CRC screening at baseline. Only 13 individuals (five in experimental arm and eight in the control arm) were screened for the first time through this intervention, increasing the percent screened from 59% to 67% in the experimental group and from 69% to 85% in the control group. Although individuals in the experimental arm were more likely to rate the intervention as culturally appropriate, both arms realized similar and significant gains in CRC knowledge, attitudes, intent, and self-efficacy. Conclusions. For Native Hawaiian individuals belonging to a network of civic clubs, an intervention based on SLT delivered by a Native Hawaiian physician and CRC survivor was less effective at further increasing compliance than was a culturally targeted educational session delivered by a non-Hawaiian nurse. That CRC screening compliance was high prior to our intervention suggests that we targeted a very health conscious segment of the Native Hawaiian population. Future work should focus on underserved segments of this indigenous group. Â© 2004 Elsevier Inc. All rights reserved.</t>
  </si>
  <si>
    <t>SCOPUS_ID:85163474810</t>
  </si>
  <si>
    <t>10.1016/S2468-2667(23)00121-4</t>
  </si>
  <si>
    <t>The health impact of Scotland's Baby Box Scheme: a natural experiment evaluation using national linked health data</t>
  </si>
  <si>
    <t>Background: Scotland's Baby Box Scheme (SBBS) is a national programme offering a box of essential items to all pregnant women in Scotland intended to improve infant and maternal health. We aimed to evaluate the effect of SBBS on selected infant and maternal health outcomes at population and subgroup levels (maternal age and area deprivation). Methods: Our complete-case, intention-to-treat evaluation used national health data (from the Scottish Morbidity Record [SMR] 01, SMR02, and the Child Health Surveillance Programme-Pre School), linking birth records to postnatal hospitalisation and universal health visitor records in Scotland. We considered maternalâ€“infant pairs of all live-singleton births 2 years either side of SBBS introduction (Aug 17, 2015, to Aug 11, 2019). We estimated step-changes and trend-changes in outcomes (hospital admission and self-reported exclusive breastfeeding, tobacco smoke exposure, and infant sleeping position) by week of birth using segmented Poisson regression, adjusting for over-dispersion and seasonality where necessary. Findings: The analysis comprised 182 122 maternalâ€“infant pairs. The prevalence of tobacco smoke exposure reduced after SBBS introduction: step decrease of 10% (prevalence ratio 0Â·904 [95% CI 0Â·865â€“0Â·946]; absolute decrease of 1Â·6% 1 month post-introduction) for infants and 9% (0Â·905 [0Â·862â€“0Â·950]; absolute decrease of 1Â·9% 1 month post-introduction) for the primary carer. There was no evidence of changes in infant and maternal all-cause hospital admissions or infant sleeping position. Among mothers younger than 25 years, there was a 10% step-increase in breastfeeding prevalence (1Â·095 [1Â·004â€“1Â·195]; absolute increase of 2Â·2% 1 month post-introduction) at 10 days and 17% (1Â·174 [1Â·037â€“1Â·328]) at 6â€“8 weeks postnatal. Although associations were robust to most sensitivity analyses, for smoke exposure associations were only observed early in the postnatal period. Interpretation: SBBS reduced infant and primary carer tobacco smoke exposure, and increased breastfeeding among young mothers in Scotland. However, absolute effects were small. Funding: Medical Research Council, Scottish Government Chief Scientist Office, and National Records of Scotland.</t>
  </si>
  <si>
    <t>SCOPUS_ID:0025072267</t>
  </si>
  <si>
    <t>10.1097/00001648-199001000-00007</t>
  </si>
  <si>
    <t>A family of mathematical models to describe the risk of infection by a sexually transmitted agent</t>
  </si>
  <si>
    <t>['Acquired immunodeficiency syn-drome (AIDS)', 'Biometry', 'Communicable disease control', 'Models', 'Theoretical', 'Venereal diseases']</t>
  </si>
  <si>
    <t>Several recent publications have used, without demonstrating its derivation, a mathematical model that describes the risk of being infected by a sexually transmitted agent as a function of four parameters: the number of partners, the number of contacts with each partner, the per-contact probability of transmission, and the probability of a partner being infected. The model is derived both from elementary probability concepts and, more formally, by using the binomial expansion and conditional probabilities. The assumptions involved in these derivations are brought out, as are the limitations they impose on the uses of the model. The model equations used so far in published studies are shown to be special cases of a general form that allows for more variability of the sexual behavior modeled. The different uses to which the model has been put are categorized, and some further ones are suggested. Â© 1990 Epidemiology Resources Inc.</t>
  </si>
  <si>
    <t>SCOPUS_ID:24144445065</t>
  </si>
  <si>
    <t>10.1097/01.ede.0000173039.79207.80</t>
  </si>
  <si>
    <t>Environmental tobacco smoke and risk of adult leukemia</t>
  </si>
  <si>
    <t>Background: The role of environmental tobacco smoke (ETS) in the causation of lung and breast cancer has been repeatedly evaluated over recent years. In contrast, its impact on the risk of adult leukemia has received little attention. Methods: We used the lifetime residential and occupational ETS exposure histories from a population-based sample of 1068 incident and histologically confirmed adult leukemia cases and 5039 population controls age 20 to 74 years to evaluate the relationship between ETS exposure and adult leukemia risk among nonsmokers in Canada. The duration of exposure and smoker-years index were used as indices of ETS exposure. We restricted our analysis to the 266 case and 1326 control subjects who reported being lifetime nonsmokers and provided residential ETS exposure history for at least 75% of their lifetime. Results: No association was found for most leukemia subtypes, and in particular for acute myeloid leukemia. In contrast, the risk for chronic lymphocytic leukemia was clearly associated with ETS exposure, with an adjusted odds ratio of 2.3 (95% confidence interval = 1.2-4.5) for more than 83 smoker-years of residential exposure and 2.4 (1.3-4.3) for more than 72 smoker-years of occupational exposure. There was a dose-response relationship for chronic lymphocytic leukemia with both indices of exposure. Risk was not higher with recent exposure, using time-window-exposure analyses. Conclusions: Regular long-term ETS exposure may be a risk factor for chronic lymphocytic leukemia. Copyright Â© 2005 by Lippincott Williams &amp; Wilkins.</t>
  </si>
  <si>
    <t>SCOPUS_ID:0032590067</t>
  </si>
  <si>
    <t>10.2105/AJPH.89.12.1832</t>
  </si>
  <si>
    <t>Outcomes of 17137 pregnancies in 2 urban areas of Ukraine</t>
  </si>
  <si>
    <t>Objectives: Frequent terminations of pregnancy and high rates of fetal loss have been reported, but not con firmed, in the former eastern bloc. A census of pregnancies in Ukraine, a former eastern bloc country, was conducted to determine the rates of these events. Methods. All pregnancies registered in 2 urban areas were enumerated. During a 19-month period between 1992 and 1994, 17137 pregnancies and their outcomes were recorded. Results. Sixty percent of the pregnancies were voluntarily terminated, generally before the 13th week. In pregnancies delivered at 20+ weeks, fetal mortality was 29 per 1000, nearly 5 times the rate among Whites in the United States. There was a greater proportion of very early deliveries (20-27 weeks) in Ukraine, as well as higher death rates at all gestational ages. Perinatal mortality was estimated to be 35 per 1000, about 3 times the US rate. Conclusions. This is believed to be the first study in the former eastern bloc to ascertain all of the clinically recognized pregnancies in a specified period and to determine their outcomes. The data document elevated reproductive risks in a former Soviet state.</t>
  </si>
  <si>
    <t>SCOPUS_ID:85055904726</t>
  </si>
  <si>
    <t>10.2105/AJPH.2018.304471</t>
  </si>
  <si>
    <t>Potential impact of HIV preexposure prophylaxis among black and white adolescent sexual minority males</t>
  </si>
  <si>
    <t>Objectives. To assess the potential impact of preexposure prophylaxis (PrEP) on the HIV epidemic among Black and White adolescent sexual minority males (ASMM). Methods. We used a network model and race-specific data from recent trials to simulate HIV transmission among a population of Black and White 13- to 18-year-old ASMM over 20 years. We estimated the number of infections prevented (impact) and the number needed to treat to prevent an infection (efficiency) under multiple coverage and adherence scenarios. Results. At modeled coverage and adherence, PrEP could avert 3% to 20% of infections among Black ASMM and 8% to 51% among White ASMM. A larger number, but smaller percentage, of infections were prevented in Black ASMM in all scenarios examined. PrEP was more efficient among Black ASMM (number needed to treat to avert an infection = 25-32) compared with White ASMM (146-237). Conclusions. PrEP can reduce HIV incidence among both Black and White ASMM but is far more efficient for Black ASMM because of higher incidence.</t>
  </si>
  <si>
    <t>SCOPUS_ID:77952312428</t>
  </si>
  <si>
    <t>10.1093/aje/kwq037</t>
  </si>
  <si>
    <t>Genetic and environmental influences on risk of death due to infections assessed in Danish twins, 1943-2001</t>
  </si>
  <si>
    <t>['cause of death', 'genetics', 'infection', 'twins']</t>
  </si>
  <si>
    <t>Genetic differences have been proposed to play a strong role in risk of death from infectious diseases. The study base of 44,005 included all same-sex twin pairs born in 1870-2001, with both twins alive on January 1, 1943, or those born thereafter. Cause of death was obtained from the Danish Cause of Death Register and was available for 18,359 deaths. The authors classified death due to infections by 3 definitions (narrow, broader, and broadest) and calculated concordance rates for same-sex monozygotic and dizygotic twin pairs. Heritability was estimated by using structural equation models. When the 3 definitions were applied, 211 (1.1%), 1,089 (5.9%), and 2,907 (15.8%) deaths, respectively, were due to infections. The probandwise concordance rates for monozygotic twin pairs were consistently higher than for dizygotic twin pairs regardless of the definition (9% vs. 0% (P = 0.04), 10% vs. 3% (P &lt; 0.01), and 19% vs. 15% (P = 0.07), respectively). For the broader and broadest definitions, heritability was 40% (95% confidence interval: 12, 50) and 19% (95% confidence interval: 3, 35), respectively. The concordance rates were generally low, and, although a genetic influence on the risk of death from infectious diseases could be demonstrated, the absolute effect of the genetic component on mortality was small. Â© The Author 2010.</t>
  </si>
  <si>
    <t>SCOPUS_ID:0033860594</t>
  </si>
  <si>
    <t>10.1093/ije/29.4.609</t>
  </si>
  <si>
    <t>Tobacco habits and risk of lung, oropharyngeal and oral cavity cancer: A population-based case-control study in Bhopal, India</t>
  </si>
  <si>
    <t>['Bidi smoking', 'Lung cancer', 'Oral cavity cancer', 'Oropharynx cancer', 'Tobacco quid chewing']</t>
  </si>
  <si>
    <t>Background. Tobacco habits in India are unique and vary in different regions. Few studies, and none from central India, have reported on type of tobacco used and risk of the most common cancer types in India. We conducted a population-based case-control study to evaluate the risk of tobacco particularly bidi smoking and tobacco quid chewing on the most common cancer sites among males in Bhopal. Methods. In all, 163 lung, 247 oropharyngeal and 148 oral cavity cancer cases from the Population-Based Cancer Registry records and 260 controls randomly selected from a tobacco survey conducted in the Bhopal population formed the study population. Results. A significant risk of bidi and cigarette smoking with a dose-response relationship was observed for lung and oropharyngeal cancer. Tobacco quid chewing showed no risk for lung, marginally increased risk for oropharyngeal and about a sixfold increased risk for oral cavity cancer. Population-attributable risk per cent (PARP) was observed to be 82.7% and 71.6% for smokers for the development of lung and oropharyngeal cancer, while the same was found to be 66.1% for tobacco chewers for the development of oral cavity cancer. Conclusions. These data provide strong evidence that smoking bidi is even more hazardous than cigarette smoking in the development of lung and oropharyngeal cancer. An intervention study to prevent the use of tobacco will be useful in this population as it also underwent gas exposure due to a chemical accident in 1984.</t>
  </si>
  <si>
    <t>India</t>
  </si>
  <si>
    <t>SCOPUS_ID:84961618490</t>
  </si>
  <si>
    <t>10.2105/AJPH.2016.303062</t>
  </si>
  <si>
    <t>Increase in naloxone prescriptions dispensed in US retail pharmacies since 2013</t>
  </si>
  <si>
    <t>Distribution of naloxone, traditionally through community-based naloxone programs, is a component of a comprehensive strategy to address the epidemic of prescription opioid and heroin overdose deaths in the United States. Recently, there has been increased focus on naloxone prescription in the outpatient setting, particularly through retail pharmacies, yet data on this practice are sparse.We found an 1170% increase in naloxone dispensing from US retail pharmacies between the fourth quarter of 2013 and the second quarter of 2015. These findings suggest that prescribing naloxone in the outpatient setting complements traditional community-based naloxone programs.</t>
  </si>
  <si>
    <t>SCOPUS_ID:84962252884</t>
  </si>
  <si>
    <t>10.1093/aje/kwv139</t>
  </si>
  <si>
    <t>Association of cognitive function with cause-specific mortality in middle and older age: Follow-up of participants in the english longitudinal study of ageing</t>
  </si>
  <si>
    <t>['aging', 'cancer', 'cardiovascular disease', 'cognitive function', 'mortality', 'respiratory illness']</t>
  </si>
  <si>
    <t>We examined the little-tested associations between general cognitive function in middle and older age and later risk of death from chronic diseases. In the English Longitudinal Study of Ageing (2002-2012), 11,391 study participants who were 50-100 years of age at study induction underwent a battery of cognitive tests and provided a range of collateral data. In an analytical sample of 9,204 people (4,982 women), there were 1,488 deaths during follow-up (mean duration, 9.0 years). When we combined scores from 4 cognition tests that represented 3 acknowledged key domains of cognitive functioning (memory, executive function, and processing speed), cognition was inversely associated with deaths from cancer (per each 1-standard-deviation decrease in general cognitive function score, hazard ratio = 1.21, 95% CI: 1.10, 1.33), cardiovascular disease (hazard ratio = 1.71, 95% CI: 1.55, 1.89), other causes (hazard ratio = 2.07, 95% CI: 1.79, 2.40), and respiratory illness (hazard ratio = 2.48, 95% CI: 2.12, 2.90). Controlling for a range of covariates, such as health behaviors and socioeconomic status, and left-censoring to explore reverse causality had very little impact on the strength of these relationships. These findings indicate that cognitive test scores can provide relatively simple indicators of the risk of death from an array of chronic diseases and that these associations appear to be independent of other commonly assessed risk factors.</t>
  </si>
  <si>
    <t>SCOPUS_ID:0034653164</t>
  </si>
  <si>
    <t>10.1093/oxfordjournals.aje.a010248</t>
  </si>
  <si>
    <t>Association of very low birth weight with exposures to environmental sulfur dioxide and total suspended particulates</t>
  </si>
  <si>
    <t>['Air pollution', 'Environmental exposure', 'Infant, very low birth weight', 'Sulfur dioxide']</t>
  </si>
  <si>
    <t>This paper presents results of a population-based case- control study of the association between maternal exposures to environmental sulfur dioxide and total suspended particulates (TSP) and risk for having a very low birth weight (VLBW) baby, i.e., one weighing less than 1,500 g at birth. The study, which took place between April 1, 1986 and March 30, 1988, comprised 143 mothers of VLBW babies and 202 mothers of babies weighing 2,500 g or more living in Georgia Health Care District 9. Environmental exposure estimates (Î¼g/m3) were obtained through environmental transport modeling that allowed us to assign environmental sulfur dioxide and TSP exposure estimates at the birth home of each study subject. Exposures less than or equal to 9.94 Î¼g/m3, the median of TSP and sulfur dioxide exposures for the controls, were considered as referent exposures. Exposures to atmospheric TSP and sulfur dioxide above the 95th percentile (56.75 Î¼g/m3) yielded an adjusted odds ratio of 2.88 (95% confidence interval (Cl): 1.16, 7.13), that from above the 75th to the 95th percentile (25.18-56.75 Î¼g/m3) yielded an adjusted odds ratio of 1.27 (95% Cl: 0.68, 2.37), and that from above the median (9.94 Î¼g/m3) to the 75th percentile, an adjusted odds ratio of 0.99 (95% Cl: 0.51, 1.72). The trend demonstrated in these adjusted estimates suggests an association between VLBW and maternal exposures to high levels of air pollution.</t>
  </si>
  <si>
    <t>SCOPUS_ID:0028927818</t>
  </si>
  <si>
    <t>10.2105/AJPH.85.3.387</t>
  </si>
  <si>
    <t>Preventive services for the elderly: Would coverage affect utilization and costs under Medicare?</t>
  </si>
  <si>
    <t>Objectives. This study was undertaken to determine whether adding a benefit for preventive services to older Medicare beneficiaries would affect utilization end costs under Medicare. Methods. The demonstration used an experimental design, enrolling 4195 older, community-dwelling Medicare recipients. Medicare claims data for the 2 years in which the preventive visits occurred were compared for the intervention (n = 2105) and control (n=2090) groups. Monthly allowable charges for Part A and Part B services and number of hospital discharges end ambulatory visits were compared. Results. There were no significant differences in the charges between the groups owing to the intervention, although total charges were somewhat lower for the intervention group even when the cost of the intervention was included. Charges for both groups rose significantly as would be expected for en aging population. A companion paper describes a modest health benefit. Conclusions. There appears to be a modest health benefit with no negative cost impact. This finding gives en early quantitative basis for the discussion of whether to extend Medicare benefits to include a general preventive visit from a primary care clinician.</t>
  </si>
  <si>
    <t>SCOPUS_ID:0035242622</t>
  </si>
  <si>
    <t>10.1093/aje/153.3.242</t>
  </si>
  <si>
    <t>Association between physical activity and markers of inflammation in a healthy elderly population</t>
  </si>
  <si>
    <t>['Atherosclerosis', 'C-reactive protein', 'Cardiovascular diseases', 'Exercise', 'Factor VIII', 'Fibrinogen', 'Inflammation', 'Leukocyte count']</t>
  </si>
  <si>
    <t>Higher levels of physical activity are associated with lower risk of cardiovascular disease. There is growing evidence that the development of the atherosclerotic plaque is associated with inflammation. In this study, the authors investigated the cross-sectional association between physical activity and markers of inflammation in a healthy elderly population. Data obtained in 1989-1990 and 1992-1993 from the Cardiovascular Health Study, a cohort of 5,888 men and women aged â‰¥65 years, were analyzed. Concentrations of the inflammation markers C-reactive protein, fibrinogen, Factor VIII activity, white blood cells, and albuminwere compared cross-sectionally by quartile of self-reported physical activity. Compared with persons in the lowest quartile, those in the highest quartile of physical activity had 19%, 6%, 4%, and 3% lower concentrations of C-reactive protein, white blood cells, fibrinogen, and Factor VIII activity, respectively, after adjustment for gender, the presence of cardiovascular disease, age, race, smoking, body mass index, diabetes, and hypertension. Multivariate regression models suggested that the association of higher levels of physical activity with lower levels of inflammation markers may be mediated by body mass index and glucose. There was no association between physical activity and albumin. Higher levels of physical activity were associated with lower concentrations of four out of five inflammation markers in this elderly cohort. These data suggest that increased exercise is associated with reduced inflammation. Prospective studies will be required for verification of these findings.</t>
  </si>
  <si>
    <t>SCOPUS_ID:84885372137</t>
  </si>
  <si>
    <t>10.1136/jech-2012-202182</t>
  </si>
  <si>
    <t>Smokers' increased risk for disability pension: Social confounding or health-mediated effects? Gender-specific analyses of the hordaland health study cohort</t>
  </si>
  <si>
    <t>Background: Studies indicate that cigarette smokers have an increased risk for disability pension, presumably mediated by adverse health effects. However, smoking is also related to socioeconomic status. The current study examined the association between smoking and subsequent disability pension, and whether the association is explained by social confounding and/or health-related mediation. Methods: A subsample of 7934 men and 8488 women, aged 40-46, from the Hordaland Health Study, Norway (1997-1999), provided baseline information on smoking status, self-reported health measures and socioeconomic status. Outcome was register-based disability pension from 12 months after baseline to end of 2004. Gender stratified Cox regression analyses were used adjusted for socioeconomic status, physical activity, self-reported health and musculoskeletal pain sites. Results: A total of 155 (2%) men and 333 (3.9%) women were granted disability pension during follow-up. The unadjusted disability risk associated with heavy smoking versus non-smoking was 1.88 (95% CI 1.23 to 2.89) among men and 3.06 (95% CI 2.23 to 4.20) among women. In multivariate analyses, adjusting for socioeconomic status, HRs were 1.33 (95% CI 0.84 to 2.11) among men and 2.22 (95% CI 1.58 to 3.13) among women. Final adjustment for physical activity, self-reported health and musculoskeletal pain further reduced the effect of heavy smoking in women (HR=1.53, 95% CI 1.09 to 2.16). Conclusions: Socioeconomic status confounded the smoking-related risk for disability pension; for female heavy smokers, however, a significant increased risk persisted after adjustment. Women may be particularly vulnerable to heavy smoking and to its sociomedical consequences, such as disability pension.</t>
  </si>
  <si>
    <t>SCOPUS_ID:85078420197</t>
  </si>
  <si>
    <t>10.1016/j.ypmed.2020.105996</t>
  </si>
  <si>
    <t>Gun ownership and sleep disturbance</t>
  </si>
  <si>
    <t>['Fear', 'Guns', 'Neighborhood', 'Sleep']</t>
  </si>
  <si>
    <t>Although there is no empirical evidence linking gun ownership with better sleep, speculation is widespread in gun culture. We assess the direct association between gun ownership and sleep disturbance and whether gun ownership moderates the association between neighborhood fear and sleep disturbance. We use four waves of cross-sectional data from the General Social Survey (2010â€“2018) and logistic regression to model sleep disturbance as a function of gun ownership and test the statistical interaction of gun ownership and neighborhood fear. Our analyses demonstrate that gun ownership is unrelated to sleep disturbance across sleep specifications. None of the statistical interactions between gun ownership and neighborhood fear reached statistical significance. Although being afraid to walk alone at night in one's neighborhood is associated with restless sleep, owning a gun is no consolation. In ancillary analyses, we observed that gun ownership is unrelated to sleep disturbance across survey years and a range of subpopulations. In the first empirical study of gun ownership and sleep, we find consistent evidence to suggest that people who own guns do not report better sleep in general or in the context of living in a dangerous neighborhood. Our analyses are important because they contribute to our understanding of the epidemiology of sleep. They also challenge theoretical perspectives and cultural narratives about how having a gun in the home helps individuals and their families to feel safe, secure, and protected. Additional research is needed to replicate our findings using longitudinal data and more reliable measures of sleep disturbance.</t>
  </si>
  <si>
    <t>SCOPUS_ID:0025816278</t>
  </si>
  <si>
    <t>10.1093/oxfordjournals.aje.a116073</t>
  </si>
  <si>
    <t>Association of indoor nitrogen dioxide with respiratory symptoms and pulmonary function in children</t>
  </si>
  <si>
    <t>['Air pollutants', 'Child', 'Household articles', 'Lung', 'Nitrogen dioxide', 'Respiratory function tests', 'Respiratory tract diseases']</t>
  </si>
  <si>
    <t>The effect of indoor nitrogen dioxide on the cumulative incidence of respiratory symptoms and pulmonary function level was studied in a cohort of 1,567 white children aged 7-11 years examined in six US cities from 1983 through 1988. Week-long measurements of nitrogen dioxide were obtained at three indoor locations over 2 consecutive weeks in both the winter and the summer months. The household annual average nitrogen dioxide concentration was modeled as a continuous variable and as four ordered categories. Multiple logistic regression analysis of symptom reports from a questionnaire administered after indoor monitoring showed that a 15-ppb increase in the household annual nitrogen dioxide mean was associated with an increased cumulative incidence of lower respiratory symptoms (odds ratio (OR) = 1.4, 95% confidence interval (95% Cl) 1.1-1.7). The response variable indicated the report of one or more of the following symptoms: attacks of shortness of breath with wheeze, chronic wheeze, chronic cough, chronic phlegm, or bronchitis. Girls showed a stronger association (OR = 1.7, 95% Cl 1.3-2.2) than did boys (OR = 1.2, 95% Cl 0.9-1.5). An analysis of pulmonary function measurements showed no consistent effect of nitrogen dioxide. These results are consistent with earlier reports based on categorical indicators of household nitrogen dioxide sources and provide a more specific association with nitrogen dioxide as measured in children's homes. Am J Epidemiol 1991; 134: 204-19. Â© 1991 by The Johns Hopkins University School of Hygiene and Public Health.</t>
  </si>
  <si>
    <t>SCOPUS_ID:84898669968</t>
  </si>
  <si>
    <t>10.2105/AJPH.2013.301726</t>
  </si>
  <si>
    <t>I did it for us and i would do it again: Perspectives of rural latinos on providing biospecimens for research</t>
  </si>
  <si>
    <t>Objectives. We elicited perspectives of rural Latino farmworkers and nonfarmworkers about their participation in a community-based participatory pesticides exposure study in which they provided multiple biospecimens. Methods. Between March and April 2012, we conducted semistructured, oneon- one interviews with 39 rural Latino farmworkers and non-farmworkers in Washington State (n = 39). Nineteen open-ended interview questions aimed to elicit participants' attitudes toward, expectations and experiences of biospecimen collection for research, and willingness to participate in future biomedical research studies. We reviewed and coded transcriptions using qualitative principles of grounded theory in which concepts were identified and themes derived from interview data. Results. We grouped themes into 3 major categories: (1) motivation to participate, (2) challenges of participation, and (3) perceived rewards of participation. Many participants were motivated by the perceived importance of the study topic and a desire to acquire and contribute to new knowledge. Respondents said that the benefits of participation outweighed the challenges, and many expressed satisfaction to be able to contribute to research that would benefit future generations. Conclusions. Our findings supported the use of community-based participatory research to engage minorities as participants and invested parties in such studies.</t>
  </si>
  <si>
    <t>SCOPUS_ID:25444464843</t>
  </si>
  <si>
    <t>10.2105/AJPH.2004.052993</t>
  </si>
  <si>
    <t>Effects of recreational physical activity and back exercises on low back pain and psychological distress: Findings from the UCLA low back pain study</t>
  </si>
  <si>
    <t>Objectives. We sought to estimate the effects of recreational physical activity and back exercises on low back pain, related disability, and psychological distress among patients randomized to chiropractic or medical care in a managed care setting. Methods. Low back pain patients (n = 681) were randomized and followed for 18 months. Participation in recreational physical activities, use of back exercises, and low back pain, related disability, and psychological distress were measured at baseline, at 6 weeks, and at 6, 12, and 18 months. Multivariate logistic regression modeling was used to estimate adjusted associations of physical activity and back exercises with concurrent and subsequent pain, disability, and psychological distress. Results. Participation in recreational physical activities was inversely associated-both cross-sectionally and longitudinally-with low back pain, related disability, and psychological distress. By contrast, back exercise was positively associated-both cross-sectionally and longitudinally-with low back pain and related disability. Conclusions. These results suggest that individuals with low back pain should refrain from specific back exercises and instead focus on nonspecific physical activities to reduce pain and improve psychological health.</t>
  </si>
  <si>
    <t>SCOPUS_ID:85117425917</t>
  </si>
  <si>
    <t>10.2105/AJPH.2021.306389</t>
  </si>
  <si>
    <t>Tailored Mobile Messaging Intervention for Waterpipe Tobacco Cessation in Young Adults: A Randomized Trial</t>
  </si>
  <si>
    <t>Objectives. To test a tailored mobile health (i.e., mHealth) intervention for waterpipe tobacco cessation in young adults. Methods. From 2018 to 2020 at 2 US sites, we conducted a randomized trial with 349 waterpipe tobacco smokers aged 18 to 30 years randomized to control (no intervention), untailored, or tailored intervention arms. Intervention arms received a 6-week mHealth intervention conveying risks of waterpipe tobacco through text and images and strategies to enhance motivation and support quitting. The tailored intervention was personalized to baseline measures and intervention text message responses. Risk appraisals, motivation to quit, waterpipe smoking frequency, and cessation were assessed at 6 weeks, 3 months, and 6 months. Results. At 6 months, cessation was higher in the tailored (49%) than the control arm (29%; odds ratio 5 2.4; 95% confidence interval 5 1.3, 4.2) and smoking frequency was lower in the tailored (mean 5 3.5 days) than the control arm (mean 5 4.3 days; P 5 .006). At interim follow-ups, significant differences in other outcomes favored the tailored intervention. Conclusions. Tailored mobile messaging can help young adult waterpipe tobacco smokers quit. This scalable intervention is poised for population implementation.</t>
  </si>
  <si>
    <t>SCOPUS_ID:77958096902</t>
  </si>
  <si>
    <t>10.1093/aje/kwq222</t>
  </si>
  <si>
    <t>Early blood gas abnormalities and the preterm brain</t>
  </si>
  <si>
    <t>['blood gas analysis', 'brain', 'infant, newborn', 'leukomalacia, periventricular', 'premature birth']</t>
  </si>
  <si>
    <t>The authors explored associations between blood gas abnormalities in more than 1,000 preterm infants during the first postnatal days and indicators of neonatal brain damage. During 2002-2004, women delivering infants before 28 weeks' gestation at one of 14 participating institutions in 5 US states were asked to enroll in the study. The authors compared infants with blood gas values in the highest or lowest quintile for gestational age and postnatal day (extreme value) on at least 1 of the first 3 postnatal days with the remainder of the subjects, with separate analyses for blood gas abnormalities on multiple days and for partial pressure of oxygen in the alveolar gas of &lt;35. Outcomes analyzed were ventriculomegaly and an echolucent lesion on an ultrasound scan in the neonatal intensive care unit, and cerebral palsy, microcephaly, and a low score on a Bayley Scale of Infant Development at 24 months. Every blood gas derangement (hypoxemia, hyperoxemia, hypocapnia, hypercapnia, and acidosis) was associated with multiple indicators of brain damage. However, for some, the associations were seen with only 1 day of exposure; others were evident with 2 or more days' exposure. Findings suggest that individual blood gas derangements do not increase brain damage risk. Rather, the multiple derangements associated with indicators of brain damage might be indicators of immaturity/vulnerability and illness severity. Â© 2010 The Author.</t>
  </si>
  <si>
    <t>SCOPUS_ID:9344235041</t>
  </si>
  <si>
    <t>10.1093/aje/kwh336</t>
  </si>
  <si>
    <t>An ecologic study of prostate-specific antigen screening and prostate cancer mortality in nine geographic areas of the United States</t>
  </si>
  <si>
    <t>['Computer simulation', 'Confounding factors (epidemiology)', 'Mass screening', 'Mortality', 'Prostate-specific antigen', 'Prostatic neoplasms']</t>
  </si>
  <si>
    <t>Ecologic studies of cancer screening examine cancer mortality rates in relation to use of population screening. These studies can be confounded by treatment patterns or influenced by choice of outcome and time horizon. Interpretation can be complicated by uncertainty about when mortality differences might be expected. The authors examined these issues in an ecologic analysis of prostate-specific antigen (PSA) screening and prostate cancer mortality across nine cancer registries in the United States. Results suggested a weak trend for areas with greater PSA screening rates to have greater declines in prostate cancer mortality; however, the magnitude of this trend varied considerably with the time horizon and outcome measure. A computer model was used to determine whether divergence of mortality declines would be expected under an assumption of a clinically significant survival benefit due to screening. Given a mean lead time of 5 years, the model projected that differences in mortality between high- and low-use areas should be apparent by 1999 in the absence of other factors affecting mortality. The authors concluded that modest differences in PSA screening rates across areas, together with additional sources of variation, could have produced a negative ecologic result. Ecologic analyses of the effectiveness of PSA testing should be interpreted with caution.</t>
  </si>
  <si>
    <t>SCOPUS_ID:85063297844</t>
  </si>
  <si>
    <t>10.1093/ije/dyy211</t>
  </si>
  <si>
    <t>Antenatal care and caesarean sections: Trends and inequalities in four population-based birth cohorts in Pelotas, Brazil, 1982-2015</t>
  </si>
  <si>
    <t>['caesarean section', 'cohort studies', 'healthcare disparities', 'Prenatal care']</t>
  </si>
  <si>
    <t>Background Antenatal care and correctly indicated caesarean section can positively impact on health outcomes of the mother and newborn. Our objective was to describe how coverage and inequalities for these interventions changed from 1982 to 2015 in Pelotas, Brazil. Methods Using perinatal data from the 1982, 1993, 2004 and 2015 Pelotas birth cohorts, we assessed antenatal care coverage and caesarean section rates over time. Antenatal care indicators included the median number of visits, the prevalence of mothers attending at least six visits and the proportion who started antenatal care in the first trimester of pregnancy and attended at least six visits. We described these outcomes according to income quintiles and maternal skin colour, to identify inequalities. We described overall, private sector and public sector caesarean section rates. Differences in prevalence were tested using chi-square testing and median differences using Kruskal-Wallis testing. Results From 1982 to 2015, the median number of antenatal care visits and the prevalence of mothers attending at least six visits increased in all income quintiles and skin colour groups. Inequalities were reduced, but not eliminated. The overall proportion of caesarean births increased from 27.6% in 1982 to 65.1% in 2015, when 93.9% of the births in the private sector were by caesarean section. Absolute income-related inequalities in caesarean sections increased over time. Conclusions Special attention should be given to the antenatal care of poor and Black women in order to reduce inequalities. The explosive increase in caesarean sections requires radical changes in delivery care policies, in order to reverse the current trend.</t>
  </si>
  <si>
    <t>SCOPUS_ID:0029900393</t>
  </si>
  <si>
    <t>10.1093/ije/25.3.609</t>
  </si>
  <si>
    <t>Validation of questionnaire and bronchial hyperresponsiveness against respiratory physician assessment in the diagnosis of asthma</t>
  </si>
  <si>
    <t>['Asthma', 'Australia', 'Bronchial hyperresponsiveness', 'Physican diagnosis', 'Questionnaire', 'Validation']</t>
  </si>
  <si>
    <t>Background. The Tasmanian Asthma Survey (TAS) and the International Study of Asthma and Allergies in Childhood (ISAAC) have used questionnaires to measure the prevalence of asthma in adults and children. We have investigated the validity of these questionnaires by comparing response to questionnaire with a physician assessment of asthma status in the past 12 months. Methods. Ninety-three adults were given the TAS questionnaire to complete and 361 children were given the ISAAC questionnaire. Ninety-one adults and 168 children completed bronchial challenge with hypertonic saline. A consultation with a respiratory physician blinded to the results of the questionnaire and bronchial challenge was given to all subjects. Results. In both adults and children, questionnaires showed high agreement with respiratory physician diagnosis with respect to asthma symptoms in the past 12 months. For the TAS questionnaire the positive and negative predictive values (95% confidence limits) for physician diagnosis for adults were 0.89 (0.68-0.98) and 0.94 (0.86-0.98) respectively. The instrument was also sensitive 0.80 (0.58-0.93) and highly specific 0.97 (0.90-0.99). For the ISAAC questionnaire the positive and negative predictive values for physician diagnosis of asthma in children were 0.61 (0.50-0.71) and 0.94 (0.88-0.98) respectively. Sensitivity and specificity were 0.85 (0.73-0.93) and 0.81 (0.76-0.86) respectively. Compared to the physician diagnosis, the sensitivity of bronchial hyperresponsiveness (BHR) for asthma was low for adults 0.39 (0.21-0.61) and children 0.54 (0.48-0.67) as were the positive predictive values: 0.55 (0.31-0.79) for adults and 0.64 (0.49-0.77) for children. A definition of asthma requiring both a positive questionnaire response and BHR was highly specific but not sensitive for adults 0.37 (0.20-0.59) or children 0.47 (0.35-0.60). Conclusion. Both the TAS and ISAAC questionnaires are valid instruments for the determination of asthma symptoms in the past 12 months.</t>
  </si>
  <si>
    <t>SCOPUS_ID:84897421839</t>
  </si>
  <si>
    <t>10.1093/eurpub/ckt069</t>
  </si>
  <si>
    <t>Association of physical activity, waist circumference and body mass index with subjective health among Belgian adults</t>
  </si>
  <si>
    <t>Background: The present study aimed to explore associations of physical activity (PA), waist circumference (WC) and body mass index (BMI) with subjective health in a nationally representative sample of Belgian adults. Methods: Data from the 2004 Belgian Food Consumption Survey were used. A face-to-face questionnaire about sociodemographic and socioeconomic characteristics, general health, subjective health, lifestyle and PA was completed. Weight and height were self-reported, and WC was measured in orthostatic position. PA was assessed by the short International PA Questionnaire. Results: In total, 3208 individuals (49.9% women) were included in the study. About 41.3% of the Belgian population did not meet the minimum recommendations for PA, whereas 24.8% of the population engaged in health-enhancing PA. In total, 29.5% of the population was overweight, 10.1% was obese and 33.2% of the population had an excessive WC. About 23.6% of the population rated their health as poor. Obese individuals were significantly less likely to report good subjective health than those with normal BMI [odds ratio (OR) = 0.538; 95% confidence interval (CI): 0.390-0.742]. This association was also identified for men and women separately. Further, both individuals who participated in health-enhancing PA and those who participated in recommended PA reported significantly better subjective health than insufficiently active individuals (OR = 2.533; 95% CI: 1.952-3.287 and OR = 1.543; 95% CI: 1.256-1.894, respectively). Conclusions: A strong association was found between PA and subjective health, and in addition, a significant negative association was found between BMI and subjective health. There was no relationship between WC and subjective health among Belgian adolescents and adults. Â© 2013 The Author.</t>
  </si>
  <si>
    <t>SCOPUS_ID:0036184405</t>
  </si>
  <si>
    <t>10.2105/AJPH.92.3.445</t>
  </si>
  <si>
    <t>Subgroups of refusers in a disability prevention trial in older adults: Baseline and follow-up analysis</t>
  </si>
  <si>
    <t>Objectives. This study explored differences between refusers and participants in a longitudinal study with extensive baseline and follow-up information. Methods. Results of a trial comparing 791 participants and 401 community-residing older adults who refused to participate in a study concerning preventive home visits were examined. Information was collected from interviews, insurance records, and government files. Results. Despite similarities in terms of age, sex, and self-perceived health at baseline, 3-year follow-up data indicated that refusers had a 1.58-fold higher risk of entering a nursing home than participants. There were additional differences between refusers and participants when refusers were categorized in 4 subgroups based on self-reported reason for refusal (too ill, too healthy, no interest, and other reasons). Conclusions. Future studies should include follow-up data to allow comparisons between refusers and participants and should address the presence of multiple subgroups of refusers.</t>
  </si>
  <si>
    <t>SCOPUS_ID:85067622560</t>
  </si>
  <si>
    <t>10.1016/j.amepre.2019.05.015</t>
  </si>
  <si>
    <t>Impact of Brief Nicotine Messaging on Nicotine-Related Beliefs in a U.S. Sample</t>
  </si>
  <si>
    <t>Introduction: The current study pilot tested the effect of a single, brief exposure to nicotine education messages on beliefs about nicotine, nicotine-replacement therapy (NRT), E-cigarettes, and cigarettes with reduced nicotine content (RNC). Methods: Five hundred and twenty-one U.S. adults (aged â‰¥18 years) completed a 15-minute survey on Amazon Mechanical Turk in 2018. After completing items on sociodemographics, literacy, and cancer risk behaviors, participants were randomized in a 2:1:1 ratio to 1 of 3 conditions: nicotine education (n=263), sun safety education (attention control, n=128), or no message control (n=130). All participants completed items regarding nicotine, NRT, E-cigarette, and RNC cigarette beliefs, as well as norms about nicotine use, behavioral control regarding cigarette/tobacco use, and intention to use cigarettes, NRT, E-cigarettes, and RNC cigarettes in the next 12 months. Analyses were conducted in 2019. Results: Following exposure, nicotine education participants reported fewer false beliefs about nicotine (p&lt;0.001), NRT (p&lt;0.001), E-cigarettes (p&lt;0.05), and RNC cigarettes (p&lt;0.05) compared with the control conditions. Nicotine messaging doubled the probability of a correct response (false, 78.3% vs 36.8%) to nicotine is a cause of cancer and dramatically reduced the probability of responding don't know to this item (5.3% vs 26.0%). There was no impact of the intervention on beliefs about other substances within cigarette, norms, or behavioral intentions. Conclusions: Findings from the current study support the hypothesis that a brief nicotine messaging interventionâ€”similar to the messages likely to be seen on warning labels or in media campaignsâ€”is likely to correct misperceptions of nicotine, NRT, E-cigarettes, and RNC cigarettes.</t>
  </si>
  <si>
    <t>SCOPUS_ID:0030832775</t>
  </si>
  <si>
    <t>10.1093/oxfordjournals.aje.a009351</t>
  </si>
  <si>
    <t>Air pollution and mortality in Philadelphia, 1974-1988</t>
  </si>
  <si>
    <t>['Air pollution', 'Mortality', 'Ozone', 'Weather']</t>
  </si>
  <si>
    <t>Analyses involving data from many locations throughout the world have now been conducted to assess the association between air pollution and mortality. To date, six independent analyses of mortality data for Philadelphia, Pennsylvania, have been reported. In this new analysis of Philadelphia data for 1974-1988, Poisson regression models were developed to estimate the increased risk of daily mortality associated with air pollution while controlling for longer-term time trends and season and for weather. Model development was based on prior understanding of the effects of these factors on mortality and on consideration of model fit. The authors found moderate correlations of daily concentrations of total suspended particles (TSP), sulfur dioxide (SO2), nitrogen dioxide (NO2), and carbon monoxide (CO), and only slight correlations of ozone (O3) with other pollutants. When included individually in the model, the means of current and previous days' levels of TSP, SO2, and O3 had statistically significant effects on total mortality; pollutant increases of an interquartile range (34.5 Î¼g/m3, 12.9 ppb, and 20.2 ppb, respectively) were associated with increases in mortality of around 1% for TSP and SO2, and of around 2% for O3. The effects of TSP and SO2 were diminished when both pollutants were simultaneously included in the model, whether pairwise or in the full multi-pollutant model. These analyses confirm the association between TSP and mortality found in previous studies in Philadelphia and show that the association is robust to consideration of other pollutants in the model.</t>
  </si>
  <si>
    <t>SCOPUS_ID:84894191691</t>
  </si>
  <si>
    <t>10.1097/EDE.0000000000000054</t>
  </si>
  <si>
    <t>Identification of natural direct effects when a confounder of the mediator is directly affected by exposure</t>
  </si>
  <si>
    <t>Natural direct and indirect effects formalize traditional notions of mediation analysis into a rigorous causal framework and have recently received considerable attention in epidemiology and in social sciences. Sufficient conditions for the identification of natural direct effects were formulated by Judea Pearl under a nonparametric structural equations model, which assumes certain independencies between potential outcomes. A common situation in epidemiology is that a confounder of the mediator-outcome relationship is itself affected by the exposure, in which case natural direct effects fail to be nonparametrically identified without additional assumptions, even under Pearl's nonparametric structural equations model. In this article, we show that when a single binary confounder of the mediator is affected by the exposure, the natural direct effect is nonparametrically identified under the model, assuming monotonicity about the effect of the exposure on the confounder. A similar result is shown to hold for a vector of binary confounders of the mediator under a certain independence assumption about the confounders. Finally, we show that natural direct effects are more generally identified if there is no additive mean interaction between the mediator and the confounders of the mediator affected by exposure. When correct, this latter assumption is particularly appealing because it does not require monotonicity of effects of the exposure. In addition, it places no restriction on the nature of the confounders of the mediator, which can be continuous or polytomous. Copyright Â© 2014 by Lippincott Williams &amp; Wilkins.</t>
  </si>
  <si>
    <t>SCOPUS_ID:84955609832</t>
  </si>
  <si>
    <t>10.2105/AJPH.2015.302927</t>
  </si>
  <si>
    <t>Cascade of care for hepatitis C virus infection within the US veterans health administration</t>
  </si>
  <si>
    <t>Objectives. We measured the quality of HCV care using a cascade of HCV care model. Methods.We estimated the number of patients diagnosed with chronic HCV, linked to HCV care, treated with HCV antivirals, and having achieved a sustained virologic response (SVR) in the electronic medical record data from the Veterans Health Administration's Corporate Data Warehouse and the HCV Clinical Case Registry in 2013. Results. Of the estimated 233 898 patients with chronic HCV, 77% (181 168) were diagnosed, 69% (160 794) were linked to HCV care, 17% (39 388) were treated with HCV antivirals, and 7% (15 983) had achieved SVR. Conclusions. This Cascade of HCV Care provides a clinically relevant model to measure the quality of HCV care within a health care system and to compare HCV care across health systems.</t>
  </si>
  <si>
    <t>SCOPUS_ID:25444529668</t>
  </si>
  <si>
    <t>10.2105/AJPH.2004.061424</t>
  </si>
  <si>
    <t>The high costs of aggression: Public expenditures resulting from conduct disorder</t>
  </si>
  <si>
    <t>Objectives. We explored the economic implications of conduct disorder (CD) among adolescents in 4 poor communities in the United States. We examined a range of expenditures related to this disorder across multiple public sectors, including mental health, general health, school, and juvenile justice. Methods. We used self- and parental-report data to estimate expenditures during a 7-year period in late adolescence of a sample of youths. We contrasted expenditures for youths with CD and youths with oppositional defiant disorder, elevated symptoms (no CD diagnosis), and all others. Diagnosis was determined with a structured assessment. Results. Additional public costs per child related to CD exceeded $70000 over a 7-year period. Conclusions. Public expenditures on youths with CD are substantially larger than for youths with closely related conditions, reflecting the importance of prevention and early treatment for the disorder.</t>
  </si>
  <si>
    <t>SCOPUS_ID:0029992592</t>
  </si>
  <si>
    <t>10.2105/AJPH.86.10.1388</t>
  </si>
  <si>
    <t>Decreasing disability in the 21st century: The future effects of controlling six fatal and nonfatal conditions</t>
  </si>
  <si>
    <t>Objectives. This study assessed the effects of reducing fatal and nonfatal health conditions on the number of functionally limited older Americans in the coming decades. Methods. Data from the 1990 census and the Longitudinal Study of Aging were used to project the number of functionally limited older Americans from 2001 to 2049, assuming 1% biennial reductions in five conditions that shorten life expectancy (coronary artery disease, stroke, cancer, diabetes, and confusion) and one condition that decreases functional ability (arthritis). Results. Decreasing the prevalence of arthritis by 1% every 2 years would lead to a much greater reduction in functional limitation between 2001 and 2049 (4 million person-years) than would decreasing any of the other conditions by the same amount. Decreases in two fatal conditions (cancer and coronary artery disease) would lead to increases in functional limitation (0.9 and 0.1 million person-years, respectively). Conclusions. Advances against common nonfatal disabling conditions would be more effective than advances against fatal conditions in blunting the large increase in the functionally limited older population anticipated in the 21st century.</t>
  </si>
  <si>
    <t>SCOPUS_ID:85153883058</t>
  </si>
  <si>
    <t>10.1016/j.ypmed.2023.107515</t>
  </si>
  <si>
    <t>Psychosocial factors may serve as additional eligibility criteria for cardiovascular risk screening in women and men in a multi-ethnic population: The HELIUS study</t>
  </si>
  <si>
    <t>['Cardiovascular risk management', 'Cardiovascular risk screening', 'Ethnic differences', 'Psychosocial risk factors', 'Sex differences', 'The HELIUS study']</t>
  </si>
  <si>
    <t>Cardiovascular disease (CVD) prevention strategies include identifying and managing high risk individuals. Identification primarily occurs through screening or case finding. Guidelines indicate that psychosocial factors increase CVD risk, but their use for screening is not yet recommended. We studied whether psychosocial factors may serve as additional eligibility criteria in a multi-ethnic population without prior CVD. We performed a cross-sectional analysis using baseline data of 10,226 participants of Dutch, South-Asian Surinamese, African Surinamese, Ghanaian, Turkish and Moroccan origin aged 40â€“70 years, living in Amsterdam, the Netherlands. Using logistic regressions and Akaike Information Criteria, we analyzed whether psychosocial factors (educational level, employment status, occupational level, financial stress, primary earner status, mental health, stress, depression, and social isolation) improved prediction of high CVD risk (SCORE-estimated fatal and non-fatal CVD risk â‰¥5%) beyond eligibility criteria from history taking (smoking, obesity, family history of CVD). Next, we compared the additional predictive value of psychosocial eligibility criteria in women and men across ethnic groups, using the area under the curve (AUC). Of our sample, 32.7% had a high CVD risk. Only socioeconomic eligibility criteria (employment status and educational level) improved high CVD risk prediction (p &lt; .001 for likelihood-ratio tests). These increased AUCs in women (from 0.563 to 0.682) and men (from 0.610 to 0.664), particularly in Dutch, South-Asian Surinamese, African Surinamese and Moroccan women, and Dutch and Moroccan men. Concluding, socioeconomic eligibility criteria may be considered as additional eligibility criteria for CVD risk screening, as they improve detection of women and men at high CVD risk.</t>
  </si>
  <si>
    <t>SCOPUS_ID:85072718430</t>
  </si>
  <si>
    <t>10.1093/eurpub/ckz008</t>
  </si>
  <si>
    <t>Framingham score and work-related variables for predicting cardiovascular disease in the working population</t>
  </si>
  <si>
    <t>The Framingham score is commonly used to estimate the risk of cardiovascular disease (CVD). This study investigated whether work-related variables improve Framingham score predictions of sickness absence due to CVD. Methods: Eleven occupational health survey variables (descent, marital status, education, work type, work pace, cognitive demands, supervisor support, co-worker support, commitment to work, intrinsic work motivation and distress) and the Framingham Point Score (FPS) were combined into a multi-variable logistic regression model for CVD sickness absence during 1-year follow-up of 19 707 survey participants. The Net Reclassification Index (NRI) was used to investigate the added value of work-related variables to the FPS risk classification. Discrimination between participants with and without CVD sickness absence during follow-up was investigated by the area under the receiver operating characteristic curve (AUC). Results: A total of 129 (0.7%) occupational health survey participants had CVD sickness absence during 1-year follow-up. Manual work and high cognitive demands, but not the other work-related variables contributed to the FPS predictions of CVD sickness absence. However, work type and cognitive demands did not improve the FPS classification for risk of CVD sickness absence [NRI = 2.3%; 95% confidence interval (CI) -2.7 to 9.5%; P = 0.629]. The FPS discriminated well between participants with and without CVD sickness absence (AUC = 0.759; 95% CI 0.724-0.794). Conclusion: Work-related variables did not improve predictions of CVD sickness absence by the FPS. The non-laboratory Framingham score can be used to identify health survey participants at risk of CVD sickness absence.</t>
  </si>
  <si>
    <t>SCOPUS_ID:0026500503</t>
  </si>
  <si>
    <t>10.2105/AJPH.82.1.94</t>
  </si>
  <si>
    <t>The effect of state cigarette tax increases on cigarette sales, 1955 to 1988</t>
  </si>
  <si>
    <t>We evaluated the effect of state cigarette tax increases on cigarette sales in the 50 states for the years 1955 to 1988. State cigarette tax increases were associated with an average decline in cigarette consumption of three cigarette packs per capita (about 2.4%). Larger tax increases were associated with larger declines in consumption. Raising state cigarette taxes appears to be an effective public health intervention that can reduce cigarette consumption and its associated health consequences.</t>
  </si>
  <si>
    <t>SCOPUS_ID:85100581751</t>
  </si>
  <si>
    <t>10.1007/s10654-021-00724-w</t>
  </si>
  <si>
    <t>Tombstone size and life expectancy: a cross-sectional analysis of cemetery data before the turn of the century</t>
  </si>
  <si>
    <t>['Death', 'Life expectancy', 'Socioeconomic status', 'Tombstone', 'Wealth']</t>
  </si>
  <si>
    <t>The extent to which socioeconomic status was associated with life expectancy in the 19th and early part of the twentieth century is poorly understood. We sought to determine the association between a deceased individualâ€™s tombstone size, a potential marker of socioeconomic status, and their age of death in the late modern period. We conducted a cross-sectional study of 276 deceased individuals buried between 1820 and 1992 in a large cemetery in Quebec, Canada. The main outcome measure was age of death. We used generalized linear models adjusted for sex, marital status, and year of death to determine whether tombstone height and volume were associated with a greater number of years lived. Tombstone height and volume were associated with an older age of death in adjusted regression models. Individuals with tall tombstones lived 9.6Â years longer than those with short tombstones (95% confidence interval, CI 3.9 to 15.4). Individuals with large volume tombstones lived 6.2Â years longer than those with small tombstones (95% CI 1.7 to 10.8). Our findings indicate that in the 1800s and early 1900s, tombstone size was strongly associated with age of death. A possible explanation for this occurrence is that wealthy individuals, capable of purchasing more sizeable tombstones, were more likely to live a longer and healthier life.</t>
  </si>
  <si>
    <t>SCOPUS_ID:84898678267</t>
  </si>
  <si>
    <t>10.1016/j.ypmed.2014.03.019</t>
  </si>
  <si>
    <t>Involving community stakeholders to increase park use and physical activity</t>
  </si>
  <si>
    <t>['Community-based participatory research', 'Exercise', 'Recreation']</t>
  </si>
  <si>
    <t>Objective: The aim of this study is to describe implementation of a randomized controlled trial of community-based participatory research (CBPR) approaches to increase park use and physical activity across 33 diverse neighborhoods in Los Angeles. Methods: Fifty parks were randomly assigned based on park size, facilities and programs, and neighborhood socio-demographic characteristics to: park director (PD, 17 parks); PD and park advisory board of interested community members (PD. +. PAB, 16 parks); and no-intervention control (17 parks) arms. Between 2007 and 2012, PDs and PABs from the 33 intervention parks participated in community engagement, baseline assessment, marketing training, intervention design and implementation, and follow-up assessment. Results: Intervention parks (PD and PD. +. PAB) invested in new and diversified signage, promotional items, outreach or support for group activities like fitness classes and walking clubs, and various marketing strategies. Scaling up CBPR methods across parks in 33 diverse neighborhoods was challenging. Working with departmental management and established structures for community input (PABs) and park policy (PDs) facilitated implementation and sustainability. Conclusion: Scaling up CBPR methods across diverse communities involved tradeoffs. CBPR is useful for tailoring research and enhancing community impact and sustainability, but more work is needed to understand how to conduct multi-site trials across diverse settings using CBPR. Â© 2014 Elsevier Inc.</t>
  </si>
  <si>
    <t>SCOPUS_ID:81355132467</t>
  </si>
  <si>
    <t>10.1016/j.amepre.2011.09.017</t>
  </si>
  <si>
    <t>Physical functioning in boys with hemophilia in the U.S.</t>
  </si>
  <si>
    <t>Background: Hemophilia is the most common inherited severe bleeding disorder. Although the most frequent complication of repeated hemorrhages is a crippling joint disease that begins in childhood, the extent of resultant joint functional impairment varies widely within the hemophilia population. Purpose: The goal of this exploratory analysis was to examine a national database that collects information on boys with hemophilia, an X-linked severe congenital bleeding disorder, to determine characteristics associated with increased risk of developing limitations in physical functioning as an outcome of recurrent hemorrhages. Methods: A standard set of data is collected annually at âˆ¼130 U.S. comprehensive hemophilia treatment centers (HTCs) in a voluntary surveillance program called the Universal Data Collection (UDC) program. Fifteen potential predictors for poor outcomes of physical functioning related to bleeding were examined for boys (aged â‰¤18 years) from 1998 to 2008. Bivariate and multivariate analyses of these predictors performed in 2009 examined associations with self-reported limitation of activities, absenteeism from work or school, and reliance on assistive devices for ambulation and mobility. Results: Multiple characteristics of underlying hemophilia severity and disease chronicity (in particular, increasing age, presence of joint bleeding, and inhibitor antibodies) were independently associated with increased risk of limitations of physical function. Nonwhite race/ethnicity was associated with each of the poorer functional outcomes in bivariate analyses. After controlling for the potential confounding effects of the multiple population characteristics on race, only African-American race was independently associated with activity restrictions, and African-American and Asian/Pacific Island ethnicity with absenteeism. With the exception of indicators of underlying disease severity, only obesity and medical insurance coverage with Medicaid rather than commercial insurance were independently associated with multiple poor outcomes. Conclusions: Interventions focused on eliminating inhibitors, improving outcomes for African-American children with hemophilia, and maintaining healthy body weight are warranted. In addition, strategies are needed to assure adequate insurance coverage for all people with hemophilia to eliminate economic barriers to optimal functional outcomes. Â© 2011 American Journal of Preventive Medicine.</t>
  </si>
  <si>
    <t>SCOPUS_ID:85075108999</t>
  </si>
  <si>
    <t>10.1093/ije/dyz093</t>
  </si>
  <si>
    <t>Risk of suicide attempt associated with isotretinoin: A nationwide cohort and nested case-time-control study</t>
  </si>
  <si>
    <t>['Acne', 'Case-time-control analysis', 'Isotretinoin', 'Standardized incidence ratio', 'Suicide', 'Suicide attempt']</t>
  </si>
  <si>
    <t>Background: Isotretinoin is the only effective treatment for severe acne. An isotretinoin-related suicide risk is still debated and under scrutiny by regulatory agencies. Our objectives were: to assess the risk of suicide attempt before, during and after isotretinoin treatment; to detect any potential triggering effect of isotretinoin initiation on suicide attempt. Methods: We implemented a cohort and nested case-time-control study of subjects treated with oral isotretinoin (course or initiation) aged 10-50 years, using the Nationwide French Health Insurance data (2009-2016). The main outcome was hospitalized suicide attempt. Standardized incidence ratios for hospitalized suicide attempts were calculated before, during and after isotretinoin treatment. The number of isotretinoin initiations was compared in risk and control periods of 2 months using a case-time-control analysis. Results: In all, 443 814 patients (median age 20.0 years; interquartile range 17.0-27.0 years) were exposed to isotretinoin, amounting to 244 154 person-years, with a marked seasonality for treatment initiation. Compared with the French general population, the occurrence of suicide attempts under isotretinoin treatment was markedly lower, with a standardized incidence ratio of 0.6 [95% confidence interval (CI) = 0.53-0.67]; the same applied, to a lesser extent, before and after isotretinoin treatment. In the case-time-control analysis, among cases of suicide attempt, 108 and 127 isotretinoin initiations were observed in the risk and control periods respectively (i.e. 0-2 months and 2-4 months before the date of suicide attempt). The comparison with the 1199 and 1253 initiations observed among matched controls in the same two periods yielded a case-time-control odds ratio of 0.89 (95% CI = 0.68-1.16). A sensitivity analysis using three-month periods and a complementary analysis adding completed suicides for case definition showed consistent results. Conclusion: Compared with the general population, a lower risk of suicide attempt was observed among patients exposed to isotretinoin and there was no evidence for a triggering effect of isotretinoin initiation on suicide attempt. A selection of patients at lower risk for suicidal behaviour and appropriate treatment management could explain these findings. Risk management plans should therefore be maintained.</t>
  </si>
  <si>
    <t>SCOPUS_ID:2642670291</t>
  </si>
  <si>
    <t>10.2105/AJPH.88.4.637</t>
  </si>
  <si>
    <t>Informed consent for HIV testing in a South African hospital: Is it truly informed and truly voluntary?</t>
  </si>
  <si>
    <t>Objective. The purpose of this study was to assess informed consent to human immunodeficiency virus (HIV) testing in a perinatal HIV transmission study in a major referral hospital serving a largely Black population in South Africa. Methods. First-time antenatal clinic attenders who were randomly selected from those enrolled in the perinatal HIV study (n = 56) answered questionnaires before and after counseling. Results. Knowledge of HIV transmission and prevention, high at the outset, was little improved after counseling. The acceptance rate for HIV testing was high. Despite assurances that participation was voluntary, 88% of the women said they felt compelled to participate in the study. Conclusions. Informed consent in this setting was truly informed but not truly voluntary.</t>
  </si>
  <si>
    <t>SCOPUS_ID:33846644441</t>
  </si>
  <si>
    <t>10.1093/aje/kwk018</t>
  </si>
  <si>
    <t>Factors associated with prevalent and incident urinary incontinence in a cohort of midlife women: A longitudinal analysis of data: Study of women's health across the nation</t>
  </si>
  <si>
    <t>['Cohort studies', 'Incidence', 'Middle aged', 'Prevalence', 'Urinary incontinence', 'Women']</t>
  </si>
  <si>
    <t>To compare the characteristics of and baseline factors associated with prevalent and incident urinary incontinence in a diverse cohort of midlife women, the authors analyzed the baseline and first five annual follow-up visits of the Study of Women's Health Across the Nation (SWAN), 1995-2001. From responses to annual questionnaires, the authors defined prevalent incontinence as at least monthly incontinence reported at baseline and incident incontinence as at least monthly incontinence first reported over follow-up. They used multiple logistic regression for their comparison. The mean age of their cohort at baseline was 45.8 (standard deviation: 2.7) years. Prevalent incontinence was 46.7%, and the average incidence was 11.1% per year. Most women reported stress, but a higher proportion developed urge incontinence (15.9% vs. 7.6% at baseline). African Americans (29.5%) and Hispanics (27.5%) had the lowest prevalence of incontinence; African Americans (11.6%) and Caucasians (13.4%) had the highest average annual incidence. Parity, diabetes, fibroids, and poor social support were associated with prevalent incontinence, while high body mass index, high symptom sensitivity, and poor health were associated with incident incontinence. In midlife women, incident incontinence is mild with different characteristics and baseline risk factors; overweight women have a higher risk of developing incontinence. Copyright Â© 2006 by the Johns Hopkins Bloomberg School of Public Health. All rights reserved.</t>
  </si>
  <si>
    <t>SCOPUS_ID:85014865734</t>
  </si>
  <si>
    <t>10.1016/j.ypmed.2017.01.010</t>
  </si>
  <si>
    <t>Physical activity levels and counseling by health care providers in cancer survivors</t>
  </si>
  <si>
    <t>['Cancer', 'Exercise', 'Health care provider', 'National Health Interview Survey (NHIS)', 'Survivorship']</t>
  </si>
  <si>
    <t>Physical activity guidelines for cancer survivors issued by the American Cancer Society and the American College of Sports Medicine emphasize the essential role of a health care provider (HCP) in counseling cancer survivors to achieve healthier lifestyles. However, research has not established whether HCP's recommendations to engage in physical activity are associated with increased physical activity levels of cancer survivors. The study examines this potential association using the 2005 and 2010 National Health Interview Survey data. The final analytic sample consisted of 3320 cancer survivors and 38,955 adults without cancer who reported seeing or talking to a HCP and if or not they had received a physical activity recommendation in the prior year. Consistent with the aforementioned guidelines, physical activity levels were categorized as inactive, insufficiently active, and sufficiently active (i.e., meeting guidelines). Average adjusted predictions and marginal effects were estimated from generalized ordered logit models. Multivariable regressions controlled for socio-demographic and health-related characteristics and survey year. On average, receipt of a HCP's physical activity recommendation was associated with a lower adjusted prevalence of inactivity by 8.3 percentage points and a higher adjusted prevalence of insufficient and sufficient activity by 4.6 and 3.7 percentage points, respectively, regardless of cancer diagnosis (P'sÂ &lt;Â 0.05). A HCP's recommendation is associated with higher levels of leisure-time aerobic physical activity among cancer survivors and adults without cancer. The communication between cancer survivors and their HCPs may act as a â€˜windowâ€™ of opportunity to increase physical activity levels among the U.S. cancer survivors.</t>
  </si>
  <si>
    <t>SCOPUS_ID:0034775724</t>
  </si>
  <si>
    <t>10.1136/jech.55.11.836</t>
  </si>
  <si>
    <t>Self rated health: Is it as good a predictor of subsequent mortality among adults in lower as well as in higher social classes?</t>
  </si>
  <si>
    <t>Study objective - To analyse the predictive power of self rated health for mortality in different socioeconomic groups. Design, setting, participants - Analysis of mortality rates and risk ratios of death during follow up among 170 223 respondents aged 16 years and above in the Swedish Survey of Living Conditions 1975-1997, in relation to self rated health stated at the interview, by age, sex, socioeconomic group, chronic illness and over time. Main results - There was a strong relation between poor self rated health and mortality, greater at younger ages, similar among men and women and among persons with and without a chronic illness. The relative relation between self rated health and subsequent death was stronger in higher than in lower socioeconomic groups, possibly because of the lower base mortality of these groups. However, the absolute mortality risk differences between persons reporting poor and good self rated health were similar across socioeconomic groups within each sex. The mortality risk difference between persons reporting poor and good self rated health was considerably higher among persons with a chronic illness than among persons without a chronic illness. The mortality risk among persons reporting poor health was increased for shorter (&lt;2 years) as well as longer (10+ years) periods of follow up. Conclusions - The results suggest that poor self rated health is a strong predictor of subsequent mortality in all subgroups studied, and that self rated health therefore may be a useful outcome measure.</t>
  </si>
  <si>
    <t>SCOPUS_ID:85045446215</t>
  </si>
  <si>
    <t>10.1093/aje/kwx296</t>
  </si>
  <si>
    <t>Statistical Analysis of Multiple Phenotypes in Genetic Epidemiologic Studies: From Cross-Phenotype Associations to Pleiotropy</t>
  </si>
  <si>
    <t>['genetic epidemiology', 'mediation analysis', 'pleiotropy']</t>
  </si>
  <si>
    <t>In the context of genetics, pleiotropy refers to the phenomenon in which a single genetic locus affects more than 1 trait or disease. Genetic epidemiologic studies have identified loci associated with multiple phenotypes, and these cross-phenotype associations are often incorrectly interpreted as examples of pleiotropy. Pleiotropy is only one possible explanation for cross-phenotype associations. Cross-phenotype associations may also arise due to issues related to study design, confounder bias, or nongenetic causal links between the phenotypes under analysis. Therefore, it is necessary to dissect cross-phenotype associations carefully to uncover true pleiotropic loci. In this review, we describe statistical methods that can be used to identify robust statistical evidence of pleiotropy. First, we provide an overview of univariate and multivariate methods for discovery of cross-phenotype associations and highlight important considerations for choosing among available methods. Then, we describe how to dissect cross-phenotype associations by using mediation analysis. Pleiotropic loci provide insights into the mechanistic underpinnings of disease comorbidity, and they may serve as novel targets for interventions that simultaneously treat multiple diseases. Discerning between different types of cross-phenotype associations is necessary to realize the public health potential of pleiotropic loci.</t>
  </si>
  <si>
    <t>SCOPUS_ID:85148665249</t>
  </si>
  <si>
    <t>10.1136/jech-2022-219721</t>
  </si>
  <si>
    <t>Food insecurity and its association with health and well-being in middle-aged and older adults in India</t>
  </si>
  <si>
    <t>['AGING', 'HEALTH', 'Health inequalities', 'HEALTH STATUS', 'MENTAL HEALTH']</t>
  </si>
  <si>
    <t>Aim Food insecurity is a global public health concern; however, there is limited knowledge about its health impacts in India. We examined the associations of food insecurity with socioeconomic conditions, chronic disease and various domains of health and well-being in a community sample of middle-aged and older adults (45+ years) in India. Methods Cross-sectional nationally representative data were collected in wave 1 (2017-2018) of the Longitudinal Ageing Study in India. Food insecurity was measured by questions of access and availability of food. We used logistic regression analyses to examine associations of food insecurity with poor self-rated health, limitations in activities of daily living (ADLs), instrumental ADLs, low life satisfaction, depression, sleep problems and low body mass. Results Food insecurity related to all seven indicators of poor health and well-being, even after controlling for material wealth and the presence of multimorbidity (which food insecurity also predicted). Associations with mental health were stronger for those for physical health. For instance, food insecurity related to a threefold increase in probable depression (OR=2.9, 95% CI=2.4 to 3.4) and low life satisfaction (OR=3.4, 95% CI=2.9 to 3.8). Conclusions Food insecurity is a powerful social determinant of poor health among older adults in India. Policy measures to improve population health and well-being should closely follow trends in food insecurity, particularly among those living in poverty and with multiple health conditions.</t>
  </si>
  <si>
    <t>SCOPUS_ID:0025222013</t>
  </si>
  <si>
    <t>10.2105/AJPH.80.12.1450</t>
  </si>
  <si>
    <t>Executive women and health: Perceptions and practices</t>
  </si>
  <si>
    <t>The purpose of this study was to obtain a socioeconomic/health profile of a select group of executive women, to understand more about their personal and professional lives, and to examine how these factors relate to their overall health. The data were obtained from a self-administered 73-item questionnaire that was mailed during spring 1987 to the 1,000 members of a professional executive women's organization with 15 chapters across the United States. Findings suggest that the women in executive positions do not necessarily compromise their health. In comparison with a group of age/gender/education matched working women, the overall wellness and risk assessment scores were remarkably similar. The study group, however, reported greater life satisfaction, stronger social support, and excellent health status; the overwhelming majority was satisfied with their personal and professional lives and believed that they were in control of both. This perception, coupled with the relatively high wellness scores, suggests that on average this group of executives may be in better health than had been predicted as women rose to executive positions within organizations.</t>
  </si>
  <si>
    <t>SCOPUS_ID:0032533580</t>
  </si>
  <si>
    <t>10.1093/oxfordjournals.aje.a009568</t>
  </si>
  <si>
    <t>Estimation of the incidence of lyme disease</t>
  </si>
  <si>
    <t>['Ixodes', 'Lyme disease', 'Theoretical models', 'Tick infestations']</t>
  </si>
  <si>
    <t>The incidence of Lyme disease in most endemic areas is unknown but will be an important factor in determining the cost-effectiveness of Lyme disease vaccines in those areas. The authors developed a deterministic model with nine components to estimate the frequency of Ixodes scapularis tick bites and the resulting incidence of Lyme disease in residents of endemic areas. For each component, best point estimates and plausible ranges of values were based on the published literature, unpublished data, expert opinion, or a combination of the above. By using the mean, crude, annual total of 3,827 Lyme disease cases reported from the endemic county of Westchester, New York, in 1991-1994, a mean of 178,889 I. scapularis bites (20.4 per 100 person- years) and a mean of 10,632 incident Lyme disease cases (1.2 per 100 person- years) were estimated to have occurred per year. Results of a sensitivity analysis that used two different methods suggested that this deterministic model is reasonably robust. In conclusion, according to this model, the incidence of Lyme disease in Westchester County is several-fold higher than suggested by the current passive reporting system.</t>
  </si>
  <si>
    <t>SCOPUS_ID:0025128048</t>
  </si>
  <si>
    <t>10.2105/AJPH.80.9.1053</t>
  </si>
  <si>
    <t>Racial differences in serum cotinine levels among smokers in the Coronary Artery Risk Development in (Young) Adults Study</t>
  </si>
  <si>
    <t>Cotinine was measured in the serum of nearly all 5,115 18-30 years old, Black and White, men and women participating in the Coronary Artery Risk Development in (Young) Adults Study, 30 percent of whom reported current cigarette smoking. Ninety-five percent of the reported smokers had serum cotinine levels indicative of smoking (&gt; 13 ng/ml). The median cotinine level was higher in Black than White smokers (221 ng/ml versus 170 ng/ml; 95 percent CI for difference: 34,65) in spite of the fact that estimated daily nicotine exposure and serum thiocyanate were higher in Whites. The difference persisted after controlling for number of cigarettes, nicotine content, frequency of inhalation, weekly sidestream smoke exposure, age, gender, and education. A reporting bias and nicotine intake were ruled out as explanations for the racial difference suggesting that the metabolism of nicotine or the excretion of cotinine may differ by race. Racial differences in cotinine levels may provide clues to the reasons for the observed lower cessation rates and higher rates of some smoking-related cancers in Blacks.</t>
  </si>
  <si>
    <t>SCOPUS_ID:85021442733</t>
  </si>
  <si>
    <t>10.1016/j.amepre.2017.05.010</t>
  </si>
  <si>
    <t>Patient Navigation for Colonoscopy Completion: Results of an RCT</t>
  </si>
  <si>
    <t>Introduction Colorectal cancer is a leading cause of cancer-related death in the U.S. Although screening reduces colorectal cancer incidence and mortality, screening rates among U.S. adults remain less than optimal, especially among disadvantaged populations. This study examined the efficacy of patient navigation to increase colonoscopy screening. Study design RCT. Setting/participants A total of 843 low-income adults, primarily Hispanic and non-Hispanic blacks, aged 50â€“75 years referred for colonoscopy at Boston Medical Center were randomized into the intervention (n=429) or control (n=427) groups. Participants were enrolled between September 2012 and December 2014, with analysis following through 2015. Intervention Two bilingual lay navigators provided individualized education and support to reduce patient barriers and facilitate colonoscopy completion. The intervention was delivered largely by telephone. Main outcome measure Colonoscopy completion within 6 months of study enrollment. Results Colonoscopy completion was significantly higher for navigated patients (61.1%) than control group patients receiving usual care (53.2%, p=0.021). Based on regression analysis, the odds of completing a colonoscopy for navigated patients was one and a half times greater than for controls (95% CI=1.12, 2.03, p=0.007). There were no differences between navigated and control groups in regard to adequacy of bowel preparation (95.3% vs 97.3%, respectively). Conclusions Navigation significantly improved colonoscopy screening completion among a racially diverse, low-income population. Results contribute to mounting evidence demonstrating the efficacy of patient navigation in increasing colorectal cancer screening. Screening can be further enhanced when navigation is combined with other evidence-based practices implemented in healthcare systems and the community.</t>
  </si>
  <si>
    <t>SCOPUS_ID:0036460803</t>
  </si>
  <si>
    <t>10.2105/AJPH.92.1.49</t>
  </si>
  <si>
    <t>Lack of oral health care for adults in Harlem: A hidden crisis</t>
  </si>
  <si>
    <t>Objectives. Profound and growing disparities exist in oral health among certain US populations. We sought here to determine the prevalence of oral health complaints among Harlem adults by measures of social class, as well as their access to oral health care. Methods. A population-based survey of adults in Central Harlem was conducted from 1992 to 1994. Two questions on oral health were included: whether participants had experienced problems with their teeth or gums during the past 12 months and, if so, whether they had seen a dentist. Results. Of 50 health conditions queried about, problems with teeth or gums were the chief complaint among participants (30%). Those more likely to report oral health problems than other participants had annual household incomes of less than $9000 (36%), were unemployed (34%), and lacked health insurance (34%). The privately insured were almost twice as likely to have seen a dentist for oral health problems (87%) than were the uninsured (48%). Conclusions. There is an urgent need to provide oral health services for adults in Harlem. Integrating oral health into comprehensive primary care is one promising mechanism.</t>
  </si>
  <si>
    <t>SCOPUS_ID:85098472129</t>
  </si>
  <si>
    <t>10.1093/eurpub/ckaa117</t>
  </si>
  <si>
    <t>Purchases of psychotropic drugs among the migrant population in Finland: A nationwide register-based cohort study</t>
  </si>
  <si>
    <t>Background: Migrant populations may have different mental health service needs when compared with native populations. One indicator of service use is the use of psychotropic medication. The aim of this study was to compare the purchases of psychotropic drugs among different migrant populations with the native population in Finland. Methods: Foreign-born participants (n = 184 805) and their Finnish-born controls (n = 185 183) were identified from the Finnish Central Population Register. Information on their purchases of psychotropic drugs in 2011-15 was collected from the National Prescription Register. A washout period of 2009-10 was used to define incident purchases. Cox regression analysis was the statistical method used. Results: At least one incident purchase of a psychotropic drug was identified for 11.1% of migrant women, 11.4% of Finnish-born women, 8.7% of migrant men and 9.8% of Finnish-born men. When controlled for age, sex, marital status, socioeconomic status and social assistance, migrants were less likely to purchase psychotropic drugs (adjusted hazard ratio 0.96, 95% confidence interval 0.93-0.98), but there was variation between different drug categories. Recent migrants and migrants from Asia and Sub-Saharan Africa were least likely to purchase drugs. Migrants from Nordic countries and other Western countries most closely resembled the Finnish-born controls. Conclusions: Recent migrants in Finland appear to use fewer psychotropic drugs than native Finns. It is important to analyze the reasons for this pattern, as they may indicate delays in access to care or benefits. The heterogeneity of migrant populations must also be considered when developing services to better address their needs.</t>
  </si>
  <si>
    <t>SCOPUS_ID:0035712847</t>
  </si>
  <si>
    <t>10.1006/pmed.2000.0797</t>
  </si>
  <si>
    <t>Population-based prevention of eating disorders: An application of the rose prevention model</t>
  </si>
  <si>
    <t>['Anorexia nervosa', 'Bulimia nervosa', 'Dieting', 'Eating disorders', 'Eating pathology', 'Prevention']</t>
  </si>
  <si>
    <t>Background. Several decades of concerted research on eating disorders have generated a broad range of proposed causal influences, but much of this etiologic research does not elucidate practical avenues for preventive interventions. Translating etiologic theory into community health interventions depends on the identification of key leverage points, factors that are amenable to public health intervention and provide an opportunity to maximize impact on the outcome of interest. Population-based preventive strategies, elaborated by epidemiologist Geoffrey Rose, can maximize the impact of public health interventions. In the case of eating disorders, Rose's model is instructive: Dieting stands out as risk behavior that may both fit Rose's model well and be a key leverage point for preventive intervention. Methods. Grounded in Rose's work, this article lodges a theoretical argument for the population-based prevention of eating disorders. In the introductory section, existing research on the epidemiology of dieting is reviewed, showing that it is extremely common among adolescent girls and women and that the behavior has been implicated as a causal factor for disordered eating. Next, new evidence is offered to build a case for how a population-wide reduction in dieting may be an effective strategy for prevention of eating pathology. Finally Rose's prevention framework is used to introduce a unique and provocative perspective on the prevention of eating disorders. Results. Dieting is a normative behavior in our culture with psychological and physiological effects in the causal chain leading to eating pathology. This behavior may represent an ideal target for population-based prevention. Conclusions. Theoretical and empirical evidence suggests that a population-wide reduction in dieting may be a justifiable and effective strategy for prevention of eating pathology. Â© 2001 American Health Foundation and Academic Press.</t>
  </si>
  <si>
    <t>SCOPUS_ID:33846015883</t>
  </si>
  <si>
    <t>10.1016/j.amepre.2006.09.003</t>
  </si>
  <si>
    <t>Employer and Healthcare Policy Interventions Aimed at Adult Obesity</t>
  </si>
  <si>
    <t>Background: Increasing rates of obesity in the population have made prevention a high public health priority. Policy strategies for curtailing obesity have been recommended, yet there has been little research on the degree of public support for policy-level interventions. Methods: Participants for this study included 1139 respondents who were surveyed as part of the Research Triangle Institute Obesity Telephone Survey conducted in September 2004. Participants were asked to indicate to what degree they favor specific healthcare and work policy strategies for treating and preventing adult obesity. Participants were also asked about their beliefs regarding the causes of obesity. Results: A majority (85%) favored a policy change strategy that offered employers tax breaks if they provided adequate exercise facilities in the workplace. Seventy-three percent favored a move by healthcare companies to require obesity treatment and prevention. The same proportion (72%) favored beneficiary discounts by employers or healthcare companies to motivate individuals to maintain or move toward a healthy weight. Majorities endorsed a lack of willpower and the cost of healthy food as causes. Nearly two thirds did not believe genes or lack of knowledge was related to obesity in society, and the sample was split with regard to the belief that obesity is caused by society. Conclusions: The findings suggest that there is strong support for healthcare and employment policies in obesity prevention and treatment. These findings may be important to policymakers in developing population-based strategies to prevent obesity. Â© 2007 American Journal of Preventive Medicine.</t>
  </si>
  <si>
    <t>SCOPUS_ID:33644909304</t>
  </si>
  <si>
    <t>10.1016/j.ypmed.2005.11.011</t>
  </si>
  <si>
    <t>Project Towards No Drug Abuse: Long-term substance use outcomes evaluation</t>
  </si>
  <si>
    <t>['Long-term maintenance effects', 'Project TND', 'School-based prevention']</t>
  </si>
  <si>
    <t>Objectives. This paper presents up to 5 years post-program outcomes of Project Towards No Drug Abuse (Project TND), a drug abuse prevention program conducted in South California alternative high school system during years 1994-1999. Methods. The effects of a 9-session health motivation-social skills-decision-making curriculum were evaluated. Twenty-one schools recruited were randomly assigned to standard care (control), classroom only, or a classroom plus semester-long school-as-community component. Last 30-day use of cigarettes, alcohol, marijuana, and hard drugs were assessed at three time intervals: short-term (year 1), middle-term (years 2 or 3), and long-term (years 4 or 5). Multilevel random coefficients modeling were employed to estimate the adjusted levels of substance use. Results. Among 1578 baseline subjects, follow-up data were available for 68% (year 1), 66% (years 2 or 3), and 46% (years 4 or 5) of subjects, respectively. Results revealed significant positive long-term program effects for hard drug use at year 4 or 5 for the two program interventions (P = 0.02). Conclusions. Project TND reduced hard drug use in the 46% who were successfully followed. It is the first program to demonstrate long-term self-reported behavioral effects on hard drug use among high-risk youth by using a school-based, limited-session model. Â© 2005 Elsevier Inc. All rights reserved.</t>
  </si>
  <si>
    <t>SCOPUS_ID:85199974659</t>
  </si>
  <si>
    <t>10.1016/j.amepre.2024.07.004</t>
  </si>
  <si>
    <t>Patient-Provider Communication and Access, Use, and Financial Burden of Care</t>
  </si>
  <si>
    <t>Introduction: Effective patient-provider communication is a critical component of optimal patient care, but its potential impact on the delivery of healthcare services remains unclear. This study examines the association of patient-provider communication with access to care, healthcare utilization, and financial burden of care. Methods: Using the 2013â€“2021 Medical Expenditure Panel Survey longitudinal data, the level of patient-provider communication was measured across four domains (attentive listening, clear explanation, respectfulness, and time allocation) as a primary independent variable, categorized into low, moderate, and high. A lagged dependent model was employed to examine the associations of patient-provider communication at baseline with subsequent access to care, healthcare utilization, and financial burden of care, controlling for baseline sample characteristics and outcomes measured at the baseline. Analysis was conducted in February 2024. Results: Among 28,955 analytic samples (representing 709,547,678 U.S. adults), 5.3%, 50.2%, and 44.3% reported low, moderate, and high levels of patient-provider communication. Marginalized populations, including racial/ethnic minorities, those with low education and income, and those lacking insurance, were more likely to report low patient-provider communication. Compared with adults with high patient-provider communication, those with low patient-provider communication were more likely to encounter difficulties in accessing medical care (2.6 percentage points; 95% CI: 1.2â€“3.9), experience delays in obtaining necessary medical care (2.8 percentage points; 1.3â€“4.4), have emergency room visits (4.2 percentage points; 1.9â€“6.4), and face difficulties paying medical bills (4.0 percentage points; 2.2â€“5.8) in the subsequent year. Conclusions: Encouraging effective patient-provider communication is essential for advancing patient-centered care and mitigating health inequities.</t>
  </si>
  <si>
    <t>SCOPUS_ID:0028213670</t>
  </si>
  <si>
    <t>10.2105/AJPH.84.2.222</t>
  </si>
  <si>
    <t>Ethnicity and the use of outpatient mental health services in a national insured population</t>
  </si>
  <si>
    <t>Objectives. Factors affecting ethnic differences in the use of outpatient mental health services are analyzed in an insured, nonpoor population to determine if lower use by Blacks and Hispanics persists when socioeconomic and other factors are controlled. Methods. To identify significant predictors of the probability and amount of use, insurance claims data for a population of 1.2 million federal employees insured by Blue Cross/Blue Shield in 1983 were analyzed with the Andersen and Newman model of health service utilization. Logistic and ordinary least squares regression models were estimated for each ethnic group. Results. Blacks and Hispanics had lower probabilities and amounts of use when compared with Whites after controlling for a number of variables. Conclusions. Since ethnic differences in the use of outpatient mental health services exist even in an insured, nonpoor population, factors other than lower socioeconomic status or insurance coverage-for example, cultural or attitudinal factors and service system barriers-are likely responsible. Such findings have policy implications in the current climate of health care reform to increase access to care for the underserved.</t>
  </si>
  <si>
    <t>SCOPUS_ID:13744259673</t>
  </si>
  <si>
    <t>10.1097/01.ede.0000147116.34813.56</t>
  </si>
  <si>
    <t>Relation between short-term fine-particulate matter exposure and onset of myocardial infarction</t>
  </si>
  <si>
    <t>Background: Epidemiologic studies have reported increases in the incidence of cardiovascular morbidity and myocardial infarction (MI) associated with increases in short-term and daily levels of fine-particulate matter air pollution, suggesting a role for particulate matter in triggering an MI. Methods: We studied the association between onset time of MI and preceding hourly measures of fine-particulate matter using a case-crossover study of 5793 confirmed cases of acute MI. We linked data from a community-wide database on acute MI from 1988-1994 in King County, Washington, with central site air pollution monitoring data on fine-particulate matter determined by nephelometry. We compared air pollution exposure levels averaged 1 hour, 2 hours, 4 hours, and 24 hours before MI onset to a set of time-stratified referent exposures from the same day of the week in the month of the case event. Results: The estimated relative risk for a 10-Î¼g/m3 increase in fine-particulate matter the hour before MI onset was 1.01 (95% CI = 0.98-1.05). Analyses of pollutant levels at the other time points demonstrated a similar lack of association. No increased risk was found in all cases with preexisting cardiac disease (odds ratio = 1.05; 0.95-1.16). Stratification by known cardiovascular risk factors (hypertension, diabetes, and smoking status) also did not modify the relation between fine-particulate matter and MI onset. Conclusion: Although a very small effect cannot be excluded, there was no consistent association between ambient levels of fine-particulate matter and risk of MI onset.</t>
  </si>
  <si>
    <t>SCOPUS_ID:85048944220</t>
  </si>
  <si>
    <t>10.1016/j.amepre.2018.04.025</t>
  </si>
  <si>
    <t>Trends in Cardiovascular Disease Risk in the U.S., 1999â€“2014</t>
  </si>
  <si>
    <t>Introduction: Cardiovascular disease is the leading cause of death in the U.S. and national prevalence of the proportion of individuals at high risk is unknown. The objective of this study was to investigate the prevalence and trends in high cardiovascular disease risk among adults in the U.S. Methods: In 2017, the authors performed a cross-sectional analysis of data from the National Health and Nutrition Examination Survey, 1999â€“2014 for adults aged 40â€“79 years without a diagnosis of cardiovascular disease (unweighted n=18,269, weighted n=96,512,989). The American College of Cardiology/American Heart Association Atherosclerotic Cardiovascular Disease risk score was calculated for all participants with complete data. Change in prevalence of individuals at high risk of cardiovascular disease was assessed, defined as â‰¥7.5% 10-year risk and â‰¥20% 10-year risk. Results: The prevalence of high risk level did not significantly change over time for the entire sample using the 7.5% 10-year risk level, but did decline significantly at 20% 10-year risk level. Logistic regression results showed that prevalence among non-Hispanic black males increased significantly from 53.5% in 1999â€“2002 to 65.2% in 2011â€“2014 using the 7.5% 10-year risk cut off (p-trend=0.003). Conclusions: A substantial proportion of the population is at high risk of cardiovascular disease. Prevalence of high-risk individuals is prominent for non-Hispanic black males; the reasons for which are unclear. Public health efforts to increase awareness should be considered for this vulnerable population.</t>
  </si>
  <si>
    <t>SCOPUS_ID:85131701627</t>
  </si>
  <si>
    <t>10.1016/S2468-2667(22)00059-7</t>
  </si>
  <si>
    <t>The educational burden of disease: a cohort study</t>
  </si>
  <si>
    <t>Background: Students with health disorders might be at risk of disengaging from education, which can reinforce socioeconomic inequalities in health. We aimed to evaluate the associations between 176 diseases and injuries and later school performance in Norwegian adolescents and to estimate the importance of each disorder using a novel measure for the educational burden of disease (EBoD). Methods: We used diagnostic information from government-funded health services for all Norwegian inhabitants who were born between Jan 1, 1995, and Dec 31, 2002, were registered as living in Norway at age 11â€“16 years, and were participating in compulsory education. School performance was assessed as grade point average at the end of compulsory education at age 16 years. We used a linear regression of school performance on disease in a fixed-effects sibling comparison model (113 411 families). The association (regression coefficients) between disease and school performance was multiplied by disease prevalence to estimate the proportional EBoD among 467 412 individuals participating in compulsory education. Findings: Overall, although most diseases were not meaningfully associated with grade point average (regression coefficients close to 0), some were strongly associated (eg, intellectual disability regression coefficients â€“1Â·2 for boys and â€“1Â·3 for girls). The total educational disease burden was slightly higher for girls (53Â·5%) than for boys (46Â·5%). Mental health disorders were associated with the largest educational burden among adolescents in Norway (total burden 44Â·6%; boys 24Â·6% vs girls 20Â·0%), of which hyperkinetic disorder contributed to 22Â·1% of the total burden (boys 14Â·6% vs girls 7Â·5%). Among somatic diseases, those with unknown causes and possibly mental causes were associated with the largest educational burden. Interpretation: The EBoD concept could provide a simple metric to guide researchers and policy makers. Because mental health disorders form a large component of the educational burden, investment in mental health might be particularly important for improving educational outcomes in adolescents. Funding: The Research Council of Norway.</t>
  </si>
  <si>
    <t>SCOPUS_ID:0025362369</t>
  </si>
  <si>
    <t>10.1093/ije/19.2.255</t>
  </si>
  <si>
    <t>Endometrial cancer trends in england and wales: A possible protective effect of oral contraception</t>
  </si>
  <si>
    <t>Villard L (Department of Community Medicine and General Practice, University of Oxford, Gibson Building, Radcliffe Infirmary, Oxford OX2 6HE, UK) and Murphy M. Endometrial cancer trends in England and Wales. A possible protective effect of oral contraceptives. International Journal of Epidemiology 1990, 19: 255-258.Case-control studies have shown that combined oral contraceptives (OCs) are protective against endometrial cancer. In England and Wales, OCs have been on the market for 30 years and widely used for 20 years. Trends in other known risk factors for endometrial cancer would tend to have increased its incidence in that time in women under 55 years of age. Vital statistics however show a decrease for endometrial cancer mortality (41%) and morbidity (15%) in that group. This suggests an important protective effect of OCs on this disease. Â© 1990 International Epidemiological Association.</t>
  </si>
  <si>
    <t>SCOPUS_ID:85102088872</t>
  </si>
  <si>
    <t>10.1097/EDE.0000000000001314</t>
  </si>
  <si>
    <t>Estimating the Unknown: Greater Racial and Ethnic Disparities in COVID-19 Burden After Accounting for Missing Race and Ethnicity Data</t>
  </si>
  <si>
    <t>['Bias analysis', 'COVID-19', 'Missing data', 'Race/ethnicity disparities', 'SARS-CoV-2', 'Surveillance']</t>
  </si>
  <si>
    <t>Background: Black, Hispanic, and Indigenous persons in the United States have an increased risk of SARS-CoV-2 infection and death from COVID-19, due to persistent social inequities. However, the magnitude of the disparity is unclear because race/ethnicity information is often missing in surveillance data. Methods: We quantified the burden of SARS-CoV-2 notification, hospitalization, and case fatality rates in an urban county by racial/ethnic group using combined race/ethnicity imputation and quantitative bias analysis for misclassification. Results: The ratio of the absolute racial/ethnic disparity in notification rates after bias adjustment, compared with the complete case analysis, increased 1.3-fold for persons classified Black and 1.6-fold for those classified Hispanic, in reference to classified White persons. Conclusions: These results highlight that complete case analyses may underestimate absolute disparities in notification rates. Complete reporting of race/ethnicity information is necessary for health equity. When data are missing, quantitative bias analysis methods may improve estimates of racial/ethnic disparities in the COVID-19 burden.</t>
  </si>
  <si>
    <t>SCOPUS_ID:84942743642</t>
  </si>
  <si>
    <t>10.1097/EDE.0000000000000287</t>
  </si>
  <si>
    <t>Toward a Clearer Portrayal of Confounding Bias in Instrumental Variable Applications</t>
  </si>
  <si>
    <t>Recommendations for reporting instrumental variable analyses often include presenting the balance of covariates across levels of the proposed instrument and levels of the treatment. However, such presentation can be misleading as relatively small imbalances among covariates across levels of the instrument can result in greater bias because of bias amplification. We introduce bias plots and bias component plots as alternative tools for understanding biases in instrumental variable analyses. Using previously published data on proposed preference-based, geography-based, and distance-based instruments, we demonstrate why presenting covariate balance alone can be problematic, and how bias component plots can provide more accurate context for bias from omitting a covariate from an instrumental variable versus non-instrumental variable analysis. These plots can also provide relevant comparisons of different proposed instruments considered in the same data. Adaptable code is provided for creating the plots.</t>
  </si>
  <si>
    <t>SCOPUS_ID:84876348946</t>
  </si>
  <si>
    <t>10.1016/j.amepre.2013.01.021</t>
  </si>
  <si>
    <t>Insurance coverage for weight loss: Overweight adults' views</t>
  </si>
  <si>
    <t>Background: Given the prevalence of obesity and associated chronic conditions among U.S. adults, wellness benefits are an increasingly popular approach to promoting weight loss. Purpose: The goal of the study was to assess overweight and obese adults' beliefs about the helpfulness of insurance coverage of weight loss-related benefits, their willingness to pay for such benefits, and whether these opinions differ by individuals' weight or health insurance type. Methods: A national survey was fielded in 2012 among non-pregnant, overweight, and obese adults who had seen a primary care provider in the past year (n=600). Descriptive statistics summarized beliefs about which weight loss-related benefits would be helpful, willingness to pay for such benefits, and agreement about whether health insurers should be able to charge more to obese individuals. Multivariable logistic regression was employed to determine whether beliefs differed by weight category or health insurance type. Analyses were conducted in July 2012. Results: The majority (83%) of respondents cited a specific benefit as helpful. Those with private health insurance had a higher probability (89%, 95% CI=86%, 93%) of endorsing any benefit as helpful relative to those with other types of health insurance. Being obese relative to overweight was associated with greater support (57% vs 39%, p&lt;0.05) for preventing health insurers from charging higher premiums to obese individuals. Conclusions: In this sample of overweight adults, a large proportion endorsed the value of weight loss-related benefits offered by health plans. However, only about one third were willing to pay extra for them, and half disagreed with the notion that health plans should charge more to obese individuals. Given evidence of their effectiveness, wellness benefits should be offered to all individuals. Â© 2013 American Journal of Preventive Medicine.</t>
  </si>
  <si>
    <t>SCOPUS_ID:70349671457</t>
  </si>
  <si>
    <t>10.1093/aje/kwp223</t>
  </si>
  <si>
    <t>Pregnancy-associated hypertensive disorders and adult cognitive function among danish conscripts</t>
  </si>
  <si>
    <t>['Hypertension', 'Intelligence', 'Pre-eclampsia', 'Pregnancy']</t>
  </si>
  <si>
    <t>The authors examined the association of gestational hypertensive disorders (hypertension, preeclampsia, eclampsia) with adult cognitive function among men born in 1978-1983 in a well-defined geographic area of northern Denmark. Data from the Danish Medical Birth Registry, the Danish National Registry of Patients, and draft board records were linked. Cognitive function was measured at conscription by using the Boerge Prien group intelligence test. Test scores were converted to the conventional IQ scale (mean=100 (standard deviation, 15)). Low cognitive function was defined as IQ &lt;85. Of the 17,457 men who underwent intelligence testing, 891 (5.1%) were born after a pregnancy involving hospitalization for a gestational hypertensive disorder. Compared with conscripts born after normotensive pregnancy, conscripts exposed to maternal gestational hypertension had an adjusted prevalence ratio for low cognitive function of 1.34 (95% confidence interval (CI): 1.01, 1.77). For those exposed to mild preeclampsia and severe preeclampsia/eclampsia, adjusted prevalence ratios were 1.34 (95% CI: 1.09, 1.65) and 1.10 (95% CI: 0.48, 2.51), respectively. The corresponding adjusted mean differences in IQ scores were -2.0 (95% CI: -4.0, 0.0), -3.2 (95% CI: -4.7, -1.8), and -2.0 (95% CI: -7.2, 3.2). In this study, prenatal exposure to gestational hypertensive disorders was associated with slightly reduced adult cognitive performance among male conscripts.</t>
  </si>
  <si>
    <t>SCOPUS_ID:85146549474</t>
  </si>
  <si>
    <t>10.1016/j.amepre.2023.01.001</t>
  </si>
  <si>
    <t>Association of Smokeless Tobacco Use With Incident Peripheral Artery Disease: Results From the Atherosclerotic Risk in Communities Study</t>
  </si>
  <si>
    <t>Introduction: Cigarette smoking is associated with an increased risk for peripheral artery disease. It is unknown whether smokeless tobacco, a noncombustible form of tobacco exposure, is also associated with increased peripheral artery disease risk. Using data from the Atherosclerosis Risk in Communities study, we tested the hypothesis that the use of smokeless tobacco is associated with a higher risk of developing peripheral artery disease. Methods: Participants with peripheral artery disease at baseline were excluded. Smokeless tobacco use was assessed 3 times from 1987 to 1995, and peripheral artery disease events accrued from 1987 to 2018. Smokeless tobacco was modeled as a time-dependent exposure in Cox regression models. Analyses were completed in 2021. Results: This study included 14,344 participants with a baseline mean (SD) age of 54.1 (5.7) years; 54.8% were female, and 26.4% were Black. There were 635 incident peripheral artery disease events over a median follow-up of 27.6 years (maximum of 32.1 years). The peripheral artery disease incidence rate was 4.44 per 1,000 person-years among those who used smokeless tobacco compared with 1.74 per 1,000 person-years for those who did not. The hazard ratio for current versus never smokeless tobacco use was 1.94 (95% CI=1.31, 2.88) after adjustment for sociodemographic characteristics and cigarette smoking. Peripheral artery disease incidence rate among those currently using smokeless tobacco was similar to that of those who currently smoke cigarette (3.39 per 1,000 person-years). Conclusions: Current smokeless tobacco use was associated with high rates of peripheral artery disease, similar to cigarette smoking. Future research should evaluate the effect of cessation of noncombustible tobacco on incident peripheral artery disease.</t>
  </si>
  <si>
    <t>SCOPUS_ID:84925351478</t>
  </si>
  <si>
    <t>10.1016/j.amepre.2014.10.022</t>
  </si>
  <si>
    <t>Regular soda policies, school availability, and high school student consumption</t>
  </si>
  <si>
    <t>Background Beginning in the 2014-2015 school year, all U.S. Schools participating in federally reimbursable meal programs are required to implement new nutrition standards for items sold in competitive venues. Multilevel mediation modeling examining direct, mediated, and indirect pathways between policy, availability, and student consumption might provide insight into possible outcomes of implementing aspects of the new standards. Purpose To employ multilevel mediation modeling using state-and school district-level policies mandating school soda bans, school soda availability, and student soda consumption. Methods The 2010-2012 Monitoring the Future surveys obtained nationally representative data on high school student soda consumption; school administrators provided school soda availability data. State laws and district policies were compiled and coded. Analyses conducted in 2014 controlled for state-, school-, and student-level characteristics. Results State-district-school models found that state bans were associated with significantly lower school soda availability (c, p&lt;0.05) but district bans showed no significant associations. No significant direct, mediated, or indirect associations between state policy and student consumption were observed for the overall sample. Among African American high school students, state policy was associated directly with significantly lower school soda availability (a, p&lt;0.01), and-indirectly through lower school availability-with significantly lower soda consumption (aâˆ—b, p&lt;0.05). Conclusions These analyses indicate state policy focused on regular soda strongly affected school soda availability, and worked through changes in school availability to decrease soda consumption among African American students, but not the overall population.</t>
  </si>
  <si>
    <t>SCOPUS_ID:0025000842</t>
  </si>
  <si>
    <t>10.1093/oxfordjournals.aje.a115741</t>
  </si>
  <si>
    <t>Mortality by employment status in the national longitudinal mortality study</t>
  </si>
  <si>
    <t>['Education', 'Income', 'Longitudinal studies', 'Mortality', 'Retirement', 'Unemployment', 'Work']</t>
  </si>
  <si>
    <t>A mortality follow-up of 452,192 persons aged 25 years or more who were characterized with respect to employment status was conducted using the National Death index for the years 1979 through 1983. The cohort, part of the National Longitudinal Mortality Study, was drawn from Current Population Survey samples representative of the US population using selected months during the years 1979-1983. Employed persons aged 25-64 years were found to have standardized mortality ratios from 61% to 74% of the average, depending upon their sex and race. Unemployed men had standardized mortality ratios slightly above 100, but these values were 1.6 and 2.2 times higher than those for employed white men and black men, respectively. Those classified as unable to work had very high mortality ratios, from two to seven times the average. In the older age groups, 65 years or more, very low mortality ratios were found for those who were still employed. These relations were maintained after adjustment for family income and educational level. These results 1) describe the magnitude of mortality risk for clearly defined employment categories, 2) identify segments of the population with especially high mortality requiring greater public health recognition, and 3) suggest further research into the health consequences of the various employment/nonemployment conditions. Â© 1990 by The Johns Hopkins University School of Hygiene and Public Health.</t>
  </si>
  <si>
    <t>SCOPUS_ID:84991661902</t>
  </si>
  <si>
    <t>10.1016/j.ypmed.2016.10.006</t>
  </si>
  <si>
    <t>Do cigarette health warning labels comply with requirements: A 14-country study</t>
  </si>
  <si>
    <t>['Graphic', 'Pictorial', 'Policy', 'Smoking', 'Tobacco']</t>
  </si>
  <si>
    <t>The Framework Convention on Tobacco Control, a global health treaty ratified by over 175 countries, calls on countries to ensure that tobacco packages carry health warning labels (HWLs) describing the harmful effects of tobacco use. We assessed the extent of compliance with 14 countries' HWL requirements. Unique cigarette packs were purchased in 2013 using a systematic protocol in 12 distinct neighborhoods within three of the ten most populous cities in the 14 low- and middle-income countries with the greatest number (count) of smokers. HWL compliance codebooks were developed for each country based on the details of country-specific HWL requirements, with up to four common compliance indicators assessed for each country (location, size, label elements, text size). Packs (n = 1859) were double coded for compliance. Compliance was examined by country and pack characteristics, including parent company and brand family. Overall, 72% of coded cigarette packs were compliant with all relevant compliance indicators, ranging from 17% in the Philippines to 94% in Mexico. Compliance was highest for location of the warning (ranging from 75%â€“100%) and lowest for warning size (ranging from 46%â€“99%). Compliance was higher for packs bought in high SES neighborhoods, and varied by parent company and brand family. This multi-country study found at least one pack in every country â€“ and many packs in some countries â€“ that were not compliant with key requirements for health warning labels in the country of purchase. Non-compliance may be exacerbating health disparities. Tobacco companies should be held accountable for complying with country HWL requirements.</t>
  </si>
  <si>
    <t>SCOPUS_ID:85128160594</t>
  </si>
  <si>
    <t>10.1093/aje/kwab299</t>
  </si>
  <si>
    <t>Use of Linked Databases for Improved Confounding Control: Considerations for Potential Selection Bias</t>
  </si>
  <si>
    <t>['health-care databases', 'linked data', 'pharmacoepidemiology', 'selection bias']</t>
  </si>
  <si>
    <t>Pharmacoepidemiologic studies are increasingly conducted within linked databases, often to obtain richer confounder data. However, the potential for selection bias is frequently overlooked when linked data is available only for a subset of patients. We highlight the importance of accounting for potential selection bias by evaluating the association between antipsychotics and type 2 diabetes in youths within a claims database linked to a smaller laboratory database. We used inverse probability of treatment weights (IPTW) to control for confounding. In analyses restricted to the linked cohorts, we applied inverse probability of selection weights (IPSW) to create a population representative of the full cohort. We used pooled logistic regression weighted by IPTW only or IPTW and IPSW to estimate treatment effects. Metabolic conditions were more prevalent in linked cohorts compared with the full cohort. Within the full cohort, the confounding-adjusted hazard ratio was 2.26 (95% CI: 2.07, 2.49) comparing initiation of antipsychotics with initiation of control medications. Within the linked cohorts, a different magnitude of association was obtained without adjustment for selection, whereas applying IPSW resulted in point estimates similar to the full cohort's (e.g., an adjusted hazard ratio of 1.63 became 2.12). Linked database studies may generate biased estimates without proper adjustment for potential selection bias.</t>
  </si>
  <si>
    <t>SCOPUS_ID:58149170446</t>
  </si>
  <si>
    <t>10.1016/j.ypmed.2008.10.013</t>
  </si>
  <si>
    <t>The effect of a 12Â week walking intervention on markers of insulin resistance and systemic inflammation</t>
  </si>
  <si>
    <t>['Inflammation', 'Insulin Resistance', 'Pedometers', 'Physical activity', 'Walking']</t>
  </si>
  <si>
    <t>Objectives: The purpose of the present study was to determine whether a community-based walking intervention, using pedometers, is effective in reducing systemic inflammatory markers. Methods: Participants (age = 49(8.9)) were recruited in Glasgow, United Kingdom, from August to December 2006 and were randomly assigned to a control (n = 24; 6 males, no change in walking) and intervention group (n = 24; 5 males gradually increasing walking by 3000 steps/day on 5Â days of the week). Blood samples were collected at baseline, and after 12Â weeks, and analysed for glucose, insulin, high sensitivity C-reactive protein (hsCRP), interleukin-6 (IL-6), soluble IL-6 receptor (sIL-6R), tumour necrosis factor-alpha (TNF-Î±) and soluble TNF receptors I and II (sTNFR1 and sTNFRII). Results: In the control group baseline step counts were 6356 (2953) steps/day and did not change (P &gt; 0.05) after 12Â weeks, 6709 (2918) steps/day. The intervention group increased (P &lt; 0.001) step count from 6682 (3761) steps/day at baseline to 10182 (4081) steps/day at 12Â weeks. Over the 12Â week period there was no change in any other variables measured, in either control or intervention group. Conclusion: We conclude that the current community-based intervention did not affect systemic markers of inflammation or insulin sensitivity. Â© 2008 Elsevier Inc. All rights reserved.</t>
  </si>
  <si>
    <t>SCOPUS_ID:84875240310</t>
  </si>
  <si>
    <t>10.1093/aje/kws301</t>
  </si>
  <si>
    <t>Longevity in male and female joggers: The Copenhagen City Heart Study</t>
  </si>
  <si>
    <t>['all-cause mortality', 'cause-specific mortality', 'females', 'jogging', 'males']</t>
  </si>
  <si>
    <t>Since 1970, jogging has become an increasingly popular form of exercise, but concern about harmful effects has been raised following reports of deaths during jogging. The purpose of this study was to investigate if jogging, which can be very vigorous, is associated with increased all-cause mortality in men and women. Jogging habits were recorded in a random sample of 17,589 healthy men and women aged 20-98 years, invited between 1976 and 2003 to the Copenhagen City Heart Study. The expected lifetime was calculated by integrating the predicted survival curve estimated in the Cox model. In this study 1,878 persons (1,116 men and 762 women) were classified as joggers. During the 35-year maximum follow-up period, we registered 122 deaths among joggers and 10,158 deaths among nonjoggers. The age-adjusted hazard ratio of death among joggers was 0.56 (95% confidence interval: 0.46, 0.67) for men and 0.56 (95% confidence interval: 0.40, 0.80) for women. The age-adjusted increase in survival with jogging was 6.2 years in men and 5.6 years in women. This long-term study of joggers showed that jogging was associated with significantly lower all-cause mortality and a substantial increase in survival for both men and women. Â© 2013 The Author.</t>
  </si>
  <si>
    <t>SCOPUS_ID:84974603347</t>
  </si>
  <si>
    <t>10.2105/AJPH.2016.303143</t>
  </si>
  <si>
    <t>Lower sodium intake and risk of headaches: Results from the trial of Nonpharmacologic Interventions in the Elderly</t>
  </si>
  <si>
    <t>Objectives. To determine the effect of sodium (Na) reduction on occurrence of headaches. Methods. In the Trial of Nonpharmacologic Interventions in the Elderly, 975 men and woman (aged 60-80 years) with hypertension were randomized to a Na-reduction intervention or control group and were followed for up to 36 months. The study was conducted between 1992 and 1995 at 4 clinical centers (Johns Hopkins University, Wake Forest University School of Medicine, Robert Wood Johnson Medical School, and the University of Tennessee). Results. Mean difference in Na excretion between the Na-reduction intervention and control group was significant at each follow-up visit (P &lt; .001) with an average difference of 38.8 millimoles per 24 hours. The occurrence of headaches was significantly lower in the Na-reduction intervention group (10.5%) compared with control (14.3%) with a hazard ratio of 0.59 (95% confidence interval = 0.40, 0.88; P = .009). The risk of headaches was significantly associated with average level of Na excretion during follow-up, independent of most recent blood pressure. The relationship appeared to be nonlinear with a spline relationship and a knot at 150 millimoles per 24 hours. Conclusions. Reduced sodium intake, currently recommended for blood pressure control,may also reduce the occurrence of headaches in older persons with hypertension.</t>
  </si>
  <si>
    <t>SCOPUS_ID:24144475984</t>
  </si>
  <si>
    <t>10.1093/aje/kwi185</t>
  </si>
  <si>
    <t>Neighborhood contextual influences on depressive symptoms in the elderly</t>
  </si>
  <si>
    <t>['Aged', 'Depression', 'Residence characteristics']</t>
  </si>
  <si>
    <t>To understand whether neighborhood contexts contribute to the onset or maintenance of mental health problems independently of individual characteristics requires the use of multilevel study designs and analytical strategies. This study used a multilevel analytical framework to examine the relation between neighborhood context and risk of depressive symptoms, using data from the New Haven component of the Established Populations for Epidemiologic Studies of the Elderly, a community-based sample of noninstitutionalized men and women aged 65 years or older and living in the city of New Haven, Connecticut, in 1982. Neighborhoods were characterized by census-based characteristics and also by measures of the neighborhood service environment using data abstracted from the New Haven telephone book Yellow Pages. Living in a poor neighborhood was associated with higher levels of depressive symptoms in older adults, above and beyond individual vulnerabilities. In addition, the presence of more elderly people in the neighborhood was associated with better mental health among older adults. The authors found no evidence that access to services hypothesized to promote social engagement, to provide health services, or to affect the reputation of a neighborhood explained (i.e., mediated) neighborhood variations in depressive symptoms. Copyright Â© 2005 by the Johns Hopkins Bloomberg School of Public Health. All rights reserved.</t>
  </si>
  <si>
    <t>SCOPUS_ID:0026704912</t>
  </si>
  <si>
    <t>10.1097/00001648-199209000-00010</t>
  </si>
  <si>
    <t>Exact stratification of person-years</t>
  </si>
  <si>
    <t>['Computing', 'Epidemiologic methods', 'Follow-up studies', 'Time factors']</t>
  </si>
  <si>
    <t>This paper describes methods for the exact assignment of person-years of follow-up to strata of time-dependent factors. It reviews methods applicable to variables that directly measure the passing of time and that increase in step with follow-up (monotonic time factors), and it extends their use to nonmonotonic time factors. When the same categorization scheme is used for all time factors (for example, 5-year categories), the follow-up period consists of segments whose length and position in time are predictable. A new exact method presented here uses this property to improve the efficiency of computations. The new method is generally faster than a method previously described. Finally, the paper outlines a method of exact person-year stratification that is applicable to all time-dependent factors. Â© 1992 Epidemiology Resources Inc.</t>
  </si>
  <si>
    <t>SCOPUS_ID:0029002498</t>
  </si>
  <si>
    <t>10.2105/AJPH.85.6.801</t>
  </si>
  <si>
    <t>The practice of prophylactic mastectomy: A survey of Maryland surgeons</t>
  </si>
  <si>
    <t>Objectives. Bilateral prophylactic mastectomy is a drastic breast cancer preventive option for which indications are not standardized and efficacy has not been proven. To estimate the magnitude of this controversial practice, surgeons were surveyed on their recommendations about and performance of prophylactic mastectomy. Methods. A cross-sectional survey was sent to general surgeons (n = 522), plastic surgeons (n = 80), and gynecologists (n = 801) licensed to practice in Maryland in 1992. Proportions responding were 41.9%, 66.3%, and 54.9%, respectively. In addition, there were 30 respondents who identified 'other' as their specialty. The respondents were asked about the role of bilateral prophylactic mastectomy and the number of times they had recommended performed it in a year. Results. Seven hundred forty-two surgeons responded (51.8%). More plastic surgeons (84.6%) than general surgeons (47.0%) and gynecologists (38.3%) agreed that bilateral prophylactic mastectomy has a role in the care of high-risk women. Eighty-one percent of plastic surgeons had recommended the procedure, compared with 38.8% of general surgeons and 17.7% of gynecologists. Conclusions. Indications and practice patterns reveal heterogeneity of medical opinion and practice of prophylactic mastectomy. This study raises the need for better evaluation of the efficacy and appropriateness of prophylactic mastectomy.</t>
  </si>
  <si>
    <t>SCOPUS_ID:85024409206</t>
  </si>
  <si>
    <t>10.2105/AJPH.2017.303834</t>
  </si>
  <si>
    <t>Vocal timbre and the classification of respondent sex in US phone-based surveys</t>
  </si>
  <si>
    <t>Objectives. To characterize the conflict of sex and gender identity variables in the 2014 Behavioral Risk Factor Surveillance System (BRFSS) sample and examine how this may affect the administration of sex-related health behavior items to transgender participants. Methods. We conducted a secondary analysis of the 2014 BRFSS gender identity, sex, and sex-related health behavior variables. Twenty states administered the genderidentity variables (n = 154 062), and 691 respondents identified as transgender in the survey (0.4%). We examined conflict among sex, gender identity, and gender-related variables, and compared conflicting and nonconflicting groups across 4 sociodemographic characteristics. Results. Nearly one third of respondents (27.8%; n = 171) who identified as transgender received sex-specific items that conflicted with their natal sex, thereby reducing the already small subsample of valid responses. There were no significant differences between conflicting and nonconflicting groups on the basis of region, age, race/ethnicity, or type of interview. Conclusions. Public health surveys should ask respondents to self-identify their sex and gender identity. Interviewer assumptions of respondents' sex may lead to erroneous collection of sex- and gender-based items, inhibit survey administration, and create problems in data quality.</t>
  </si>
  <si>
    <t>SCOPUS_ID:84922468106</t>
  </si>
  <si>
    <t>10.1093/eurpub/cku131</t>
  </si>
  <si>
    <t>'By failing to prepare you are preparing to fail': Lessons from the 2009 H1N1 'swine flu' pandemic</t>
  </si>
  <si>
    <t>Background: Pandemic influenza has the potential to cause widespread death and destruction. Communications with the public have a vital role in the prevention of pandemic influenza by promoting the effective uptake of behaviours that can delay the spread of infection. This study explored the development and implementation of communications in the pandemic influenza outbreak of H1N1 ('swine flu') in 2009 in three European countries. Methods: In-depth interviews were conducted with senior policy and communication officials involved in the planning and delivery of communications programmes in England, Italy and Hungary. Results: The study found a lack of planning and a low value attached to the skills required to produce effective communications. In all case study countries there was a dearth of good quality audience research to inform the development of communications. Little thought had been given to the tone, targeting or channelling of messages. Instead, communications were characterized by a 'one size fits all' and a 'top down', expert-led response. There was also little effort to evaluate the impact of communications, but where this was done, very low levels of public compliance and engagement with key behavioural messages were found. Conclusions: Policy makers should prioritize investment in the skills and expertise required to achieve desired behaviour changes. Audience research should be conducted throughout the planning cycle to inform national communications strategies. This should include insights to inform the segmentation of public audiences, targeting of messages and consideration of content and emotional tone most likely to achieve desired behavioural outcomes.</t>
  </si>
  <si>
    <t>SCOPUS_ID:0031838101</t>
  </si>
  <si>
    <t>10.1023/A:1007459626023</t>
  </si>
  <si>
    <t>Hepatitis C virus infection in family setting</t>
  </si>
  <si>
    <t>['Hepatitis C virus', 'Household', 'Transmission']</t>
  </si>
  <si>
    <t>To evaluate risk factors associated with intrafamiliar transmission of hepatitis C virus (HCV), 113 hepatitis C virus index subjects with chronic HCV infection and their 267 family contacts were studied from January 1994 to October 1995. Overall, 16 family contacts (6%) were positive for anti-HCV by ELISA II generation. The prevalence was 11.3% in spouses and 2.9% in other relatives (odds ratios: 4.2; 95% CI: 1.4-12.6). Spouses who had been married to the index cases longer than 20 years had a 7.5-fold risk (95% CI: 1.0- 336.3) of HCV seropositivity as compared to those married less than 20 years. In univariate analysis HCV seropositivity was associated with surgical intervention, use of glass syringes and hospitalization. The results of multivariate logistic analysis showed that any parenteral exposure (odds ratios: 3.8; 95% CI: 1.2-12.8) and sexual contact with an anti-HCV index case (odds ratios: 3.0; 95% CI: 1.0-9.4) were both independent predictors of HCV seropositivity among household contacts of HCV positive index cases. These findings indicate that sexual contact and any parenteral exposure both play an independent role in the spread of HCV infection in the family setting.</t>
  </si>
  <si>
    <t>SCOPUS_ID:84949786724</t>
  </si>
  <si>
    <t>10.1016/j.ypmed.2015.11.023</t>
  </si>
  <si>
    <t>Racial-ethnic disparities in the association between risk factors and diabetes: The Northern Manhattan Study</t>
  </si>
  <si>
    <t>['Diabetes mellitus', 'Epidemiology', 'Health status disparities', 'Risk factors', 'Urban health']</t>
  </si>
  <si>
    <t>Purpose: To identify risk factors (RF) for diabetes within a multiethnic cohort and to examine whether race-ethnicity modified their effects. Methods: Participants in the Northern Manhattan Study without diabetes at baseline were studied from 1993 to 2014 (n. =. 2430). Weibull regression models with interval censoring data were fit to calculate hazard ratios and 95% confidence intervals for incident diabetes. We tested for interactions between RF and race-ethnicity. Results: During a mean follow-up period of 11. years, there were 449 diagnoses of diabetes. Being non-Hispanic black (HR 1.69 95% CI 1.11-2.59) or Hispanic (HR 2.25 95% CI 1.48-3.40) versus non-Hispanic white, and body mass index (BMI; HR 1.34 per SD 95% CI 1.21-1.49) were associated with greater risk of diabetes; high-density lipoprotein cholesterol (HR 0.75 95% CI 0.66-0.86) was protective. There were interactions by race-ethnicity. In stratified models, the effects of BMI, current smoking, and C-reactive protein (CRP) on risk of diabetes differed by race-ethnicity (p for interaction &lt;. 0.05). The effects were greater among non-Hispanic whites than non-Hispanic blacks and Hispanics. Conclusions: Although Hispanics and non-Hispanic blacks had a greater risk of diabetes than whites, there were variations by race-ethnicity in the association of BMI, smoking, and CRP with risk of diabetes. Unique approaches should be considered to reduce diabetes as traditional RF may not be as influential in minority populations.</t>
  </si>
  <si>
    <t>SCOPUS_ID:0025174937</t>
  </si>
  <si>
    <t>10.2105/AJPH.80.3.300</t>
  </si>
  <si>
    <t>The growing proportion of female physicians: Implications for US physician supply</t>
  </si>
  <si>
    <t>This study analyzes how the growing proportion of women in the United States physician population will affect the amount and type of physician services available to the US population. Female physicians work fewer hours per week, are slightly less likely to be in patient care, and tend to enter different specialties than male physicians. Female physicians also have higher retirement rates than male physicians, but due to their lower mortality rates, have work lives nearly as long as male physicians. We examined how the changing composition of the physician population will affect the availability of physician services by comparing historical and projected trends for the number of active post-residency physicians with comparable trends for a full-time-equivalent measure of physician supply. The full-time-equivalent measure takes into account the different labor supply behavior of key subpopulations (e.g., women and graduates of US versus foreign medical schools). The results suggest that the changing composition of the physician population will reduce the growth of effective physician supply between 1986 and 2010 but only by four percentage points.</t>
  </si>
  <si>
    <t>SCOPUS_ID:0032874252</t>
  </si>
  <si>
    <t>10.1023/A:1007640609707</t>
  </si>
  <si>
    <t>Is there an association between Helicobacter pylori infection and coronary heart disease?</t>
  </si>
  <si>
    <t>['Coronary heart disease', 'Helicobacter pylori', 'Meta-analysis']</t>
  </si>
  <si>
    <t>In addition to gastroduodenal diseases, Helicobacter pylori infection has been associated with extradigestive diseases, including coronary heart disease. Different studies have failed to demonstrate a clear association. The aim of this work was to carry out a meta-analysis of these studies' results, with a special emphasis on heterogeneity. A MEDLINE search of all studies published in English from 1994 to 1998 was conducted. Five criteria for eligibility of studies were defined. The quality of each study was assessed on a five-point scale adapted from studies by the Quebec Task Force. The final results are reported based on a fixed-effects model. Pooled odd ratios were calculated for subgroups of studies (defined on quality of adjustment, on confounding factors, and on the type of control population). Sixty-nine articles and abstracts fulfilling the defined criteria were analyzed. They were all case-control or cross-sectional studies. H. pylori diagnosis was carried out by serology, urea breath test or both; coronary heart disease was diagnosed mainly by coronary angiography. The total sample size was 6603. The quality score varied from 4 to 10. The pooled odds ratios of the 24 articles included in the model was 1.55 (95% confidence interval (CI): 1.38-1.74). It ranged from 1.07 to 2.34 when the quality of adjustment for confounding factors was considered and from 1.25 to 1.99 when the type of control group was considered. In any case there was significant heterogeneity (p&lt;0.001). The present study demonstrated a possible weak association but the high degree of heterogeneity in the studies impedes a clear demonstration.</t>
  </si>
  <si>
    <t>SCOPUS_ID:0029760609</t>
  </si>
  <si>
    <t>10.2105/ajph.86.8_pt_1.1155</t>
  </si>
  <si>
    <t>A meningococcal vaccination campaign on a university campus: Vaccination rates and factors in nonparticipation</t>
  </si>
  <si>
    <t>Objectives. This study was undertaken to determine an accurate vaccination rate and identify factors influencing nonvaccination in a meningococcal vaccination campaign on a Connecticut university campus in May 1993. Methods. Vaccination and student data were merged to determine factors associated with nonvaccination. A case-control study examined reasons for nonvaccination. Results. The estimated vaccination rate for students returning to the campus was 93%. Lower rates occurred among older students, students living off campus, graduate and nondegree students, and married students. Perceived poor access to the vaccination center was the strongest predictor of nonvaccination. Conclusions. Higher vaccination rates may be achieved by specifically targeting students who live off campus and by providing multiple vaccination sites with extended hours.</t>
  </si>
  <si>
    <t>SCOPUS_ID:84930828191</t>
  </si>
  <si>
    <t>10.2105/AJPH.2014.302519</t>
  </si>
  <si>
    <t>Work safety climate, safety behaviors, and occupational injuries of youth farmworkers in North Carolina</t>
  </si>
  <si>
    <t>Objectives. The aims of this project were to describe the work safety climate and the association between occupational safety behaviors and injuries among hired youth farmworkers in North Carolina (n = 87). Methods. We conducted personal interviews among a cross-sectional sample of youth farmworkers aged 10 to 17 years. Results. The majority of youths reported that work safety practices were very important to management, yet 38% stated that supervisors were only interested in "doing the job quickly and cheaply." Few youths reported appropriate work safety behavior, and 14% experienced an injury within the past 12 months. In bivariate analysis, perceptions of work safety climate were significantly associated with pesticide exposure risk factors for rewearing wet shoes (P = .01), wet clothes (P = .01), and shorts (P = .03). Conclusions. Youth farmworkers perceived their work safety climate as being poor. Although additional research is needed to support these findings, these results strengthen the need to increase employer awareness to improve the safety climate for protecting youth farmworkers from harmful exposures and injuries.</t>
  </si>
  <si>
    <t>SCOPUS_ID:85034768292</t>
  </si>
  <si>
    <t>10.1016/j.amepre.2017.07.019</t>
  </si>
  <si>
    <t>Prevalence and Medical Costs of Chronic Diseases Among Adult Medicaid Beneficiaries</t>
  </si>
  <si>
    <t>Introduction This review summarizes the current literature for the prevalence and medical costs of noncommunicable chronic diseases among adult Medicaid beneficiaries to inform future program design. Methods The databases MEDLINE and CINAHL were searched in August 2016 using keywords, including Medicaid, health status, and healthcare cost, to identify original studies that were published during 2000âˆ’2016, examined Medicaid as an independent population group, examined prevalence or medical costs of chronic conditions, and included adults within the age group 18âˆ’64 years. The review and data extraction was conducted in Fall 2016âˆ’Spring 2017. Disease-related costs (costs specifically to treat the disease) and total costs (all-cause medical costs for a patient with the disease) are presented separately. Results Among the 29 studies selected, prevalence estimates for enrollees aged 18âˆ’64 years were 8.8%âˆ’11.8% for heart disease, 17.2%âˆ’27.4% for hypertension, 16.8%âˆ’23.2% for hyperlipidemia, 7.5%âˆ’12.7% for diabetes, 9.5% for cancer, 7.8%âˆ’19.3% for asthma, 5.0%âˆ’22.3% for depression, and 55.7%âˆ’62.1% for one or more chronic conditions. Estimated annual per patient disease-related costs (2015 U.S. dollars) were $3,219âˆ’$4,674 for diabetes, $3,968âˆ’$6,491 for chronic obstructive pulmonary disease, and $989âˆ’$3,069 for asthma. Estimated hypertension-related costs were $687, but total costs per hypertensive beneficiary ranged much higher. Estimated total annual healthcare costs were $29,271âˆ’$51,937 per beneficiary with heart failure and $11,446âˆ’$20,585 per beneficiary with schizophrenia. Costs among beneficiaries with cancer were $29,384âˆ’$46,194 for the 6 months following diagnosis. Conclusions These findings could help inform the evaluation of interventions to prevent and manage noncommunicable chronic diseases and their potential to control costs among the vulnerable Medicaid population.</t>
  </si>
  <si>
    <t>SCOPUS_ID:0034979901</t>
  </si>
  <si>
    <t>10.1097/00001648-200107000-00009</t>
  </si>
  <si>
    <t>Residential radon and lung cancer among never-smokers in Sweden</t>
  </si>
  <si>
    <t>['Case-control study', 'Cocarcinogenesis', 'Environmental exposures', 'Lung neoplasms', 'Never-smokers', 'Radon', 'Risk assessment', 'Tobacco smoke pollution']</t>
  </si>
  <si>
    <t>In this study, we attempted to reduce existing uncertainty about the relative risk of lung cancer from residential radon exposure among never-smokers. Comprehensive measurements of domestic radon were performed for 258 never-smoking lung cancer cases and 487 never-smoking controls from five Swedish case-control studies. With additional never-smokers from a previous case-control study of lung cancer and residential radon exposure in Sweden, a total of 436 never-smoking lung cancer cases diagnosed in Sweden between 1980 and 1995 and 1,649 never-smoking controls were included. The relative risks (with 95% confidence intervals in parenthe-ses) of lung cancer in relation to categories of time-weighted average domestic radon concentration during three decades, delimited by cutpoints at 50, 80, and 140 Bq m-3, were 1.08 (0.8-1.5), 1.18 (0.9-1.6), and 1.44 (1.0-2.1), respectively, with average radon concentrations below 50 Bq m-3 used as reference category and with adjustment for other risk factors. The data suggested that among never-smokers residential radon exposure may be more harmful for those exposed to environmental tobacco smoke. Overall, an excess relative risk of 10% per 100 Bq m-3 average radon concentration was estimated, which is similar to the summary effect estimate for all subjects in the main residential radon studies to date.</t>
  </si>
  <si>
    <t>SCOPUS_ID:78751505386</t>
  </si>
  <si>
    <t>10.2105/AJPH.2009.190454</t>
  </si>
  <si>
    <t>Evaluation of EX: A national mass media smoking cessation campaign</t>
  </si>
  <si>
    <t>Objectives. We used longitudinal data to examine the relationship between confirmed awareness of a national, branded, mass media smoking cessation campaign and cessation outcomes. Methods. We surveyed adult smokers (n=4067) in 8 designated market areas (''media markets'') at baseline and again approximately 6 months later. We used multivariable models to examine campaign effects on cognitions about quitting, quit attempts, and 30-day abstinence. Results. Respondents who demonstrated confirmed awareness of the EX campaign were significantly more likely to increase their level of agreement on a cessation-related cognitions index from baseline to follow-up (odds ratio [OR]=1.6; P=.046). Individuals with confirmed campaign awareness had a 24% greater chance than did those who were not aware of the campaign of making a quit attempt between baseline and follow-up (OR=1.24; P=.048). Conclusions. A national, branded, mass media smoking cessation campaign can change smokers' cognitions about quitting and increase quit attempts. We strongly recommend that federal and state governments provide funding for media campaigns to increase smoking cessation, particularly for campaigns that have been shown to impact quit attempts and abstinence.</t>
  </si>
  <si>
    <t>SCOPUS_ID:85149218803</t>
  </si>
  <si>
    <t>10.1016/j.ypmed.2023.107461</t>
  </si>
  <si>
    <t>The prevalence of SARS-CoV-2 infection and long COVID in U.S. adults during the BA.4/BA.5 surge, Juneâ€“July 2022</t>
  </si>
  <si>
    <t>['Long COVID', 'Population-based surveys', 'Prevalence', 'SARS-CoV-2', 'Surveillance']</t>
  </si>
  <si>
    <t>Due to changes in SARS-CoV-2 testing practices, passive case-based surveillance may be an increasingly unreliable indicator for monitoring the burden of SARS-CoV-2, especially during surges. We conducted a cross-sectional survey of a population-representative sample of 3042 U.S. adults between June 30 and July 2, 2022, during the Omicron BA.4/BA.5 surge. Respondents were asked about SARS-CoV-2 testing and outcomes, COVID-like symptoms, contact with cases, and experience with prolonged COVID-19 symptoms following prior infection. We estimated the weighted age and sex-standardized SARS-CoV-2 prevalence, during the 14-day period preceding the interview. We estimated age and gender adjusted prevalence ratios (aPR) for current SARS-CoV-2 infection using a log-binomial regression model. An estimated 17.3% (95% CI 14.9, 19.8) of respondents had SARS-CoV-2 infection during the two-week study periodâ€“equating to 44 million cases as compared to 1.8 million per the CDC during the same time period. SARS-CoV-2 prevalence was higher among those 18â€“24 years old (aPR 2.2, 95% CI 1.8, 2.7) and among non-Hispanic Black (aPR 1.7, 95% CI 1.4,2.2) and Hispanic adults (aPR 2.4, 95% CI 2.0, 2.9). SARS-CoV-2 prevalence was also higher among those with lower income (aPR 1.9, 95% CI 1.5, 2.3), lower education (aPR 3.7 95% CI 3.0,4.7), and those with comorbidities (aPR 1.6, 95% CI 1.4, 2.0). An estimated 21.5% (95% CI 18.2, 24.7) of respondents with a SARS-CoV-2 infection &gt;4 weeks prior reported long COVID symptoms. The inequitable distribution of SARS-CoV-2 prevalence during the BA.4/BA.5 surge will likely drive inequities in the future burden of long COVID.</t>
  </si>
  <si>
    <t>SCOPUS_ID:85143183591</t>
  </si>
  <si>
    <t>10.1097/EDE.0000000000001556</t>
  </si>
  <si>
    <t>Are Detailed Behavioral, Psychosocial, and Environmental Variables Necessary to Control for Confounding in Pregnancy Weight Gain Research?</t>
  </si>
  <si>
    <t>['confounding', 'perinatal outcomes', 'pregnancy', 'preterm birth', 'propensity scores', 'weight gain']</t>
  </si>
  <si>
    <t>Background: Associations between pregnancy weight gain and adverse outcomes may be spurious owing to confounding by factors not typically measured in cohort studies. We determined the extent to which the addition of detailed behavioral, psychosocial, and environmental measurements to commonly available covariates improved control of confounding. Methods: We used data from a prospective US pregnancy cohort study (2010-2013, n = 8978). We calculated two propensity scores for low and high pregnancy weight gain (vs. adequate gain) using 11 standard confounders (e.g., age and education). We examined the balance of characteristics between weight gain groups before and after propensity score matching. We used negative binomial regression to estimate the association between weight gain and small-and large-for-gestational-age birth, preterm birth, and unplanned cesarean delivery, controlling for propensity score. To this model, we then added 17 detailed behavioral, psychosocial, and environmental measurements ("fully adjusted"). We calculated the risk ratio owing to confounding as the ratio of the standard confounder-adjusted risk ratio to the fully adjusted risk ratio. Results: There were minimal imbalances between weight gain groups in detailed measures after matching for a propensity score of standard covariates. Accordingly, the inclusion of detailed covariates had minimal impact on estimated associations between low or high pregnancy weight gain and adverse pregnancy outcomes: risk ratios owing to confounding were null for all outcomes (e.g., 1.1 [95% CI = 1.0, 1.1] for low weight gain and preterm birth). Conclusions: Adjustment for detailed behavioral, psychosocial, and environmental measurements had minimal impact on estimated associations between pregnancy weight gain and adverse perinatal outcomes.</t>
  </si>
  <si>
    <t>SCOPUS_ID:21244466008</t>
  </si>
  <si>
    <t>10.1093/aje/kwi163</t>
  </si>
  <si>
    <t>Ethnicity, education, and blood pressure in Cuba</t>
  </si>
  <si>
    <t>['Blood pressure', 'Body mass index', 'Cuba', 'Education', 'Ethnic groups', 'Health behavior', 'Hypertension', 'Stress']</t>
  </si>
  <si>
    <t>The causes of variation in hypertension risk by ethnicity and educational level are not well understood. To gain further insight into this issue in a nonindustrialized country, a population-based sample of 1,667 persons aged 15-74 years was recruited in Cienfuegos, Cuba. In this 2001-2002 study, interviewers classified 29% of participants as Black or mulatto and 71% as White. Educational attainment was stratified at the median number of school years. Compared with White women, non-White women had higher blood pressures (3.0/1.7, systolic blood pressure/ diastolic blood pressure) and a higher prevalence of hypertension (24%, 95% confidence interval: 20, 28 vs. 15%, 95% confidence interval: 12, 18). Among men, no differences in blood pressure were observed by ethnicity. Men with a lower level of education had a 14% lower risk of hypertension compared with men above the median. However, women with a lower level of education had a 24% increase in risk. The effect of education was equally strong among Whites alone and when occupation was used for stratification. No variation was observed for body mass index or self-reported health behaviors by ethnicity or education. The narrower ethnic gradient in hypertension prevalence than seen in North America and the gender-specific social status effect, in the context of relatively equal living conditions, suggest that the influence of psychosocial stressors may be specific to cultural contexts. Copyright Â© 2005 by the Johns Hopkins Bloomberg School of Public Health All rights reserved.</t>
  </si>
  <si>
    <t>SCOPUS_ID:85122516749</t>
  </si>
  <si>
    <t>10.2105/AJPH.2021.306513</t>
  </si>
  <si>
    <t>Portion Sizes of Ultra-Processed Foods in the United States, 2002 to 2021</t>
  </si>
  <si>
    <t>Objectives. To assess the US food industry's response to calls from public health authorities to reduce portion sizes by comparing current with past sizes of selected examples of single-serve ultra-processed packaged and fast foods. Methods. We obtained manufacturers' information about current portion sizes and compared it with sizes when first introduced and in 2002. Results. Few companies in our sample reduced portion sizes since 2002; all still sold portions of ultraprocessed foods in up to 5-times-larger sizes than when first introduced. Conclusions. Policies and practices focused on reducing portion size could help discourage the consumption of excessive amounts of ultra-processed foods.</t>
  </si>
  <si>
    <t>SCOPUS_ID:84968902210</t>
  </si>
  <si>
    <t>10.2105/AJPH.2016.303144</t>
  </si>
  <si>
    <t>Variability and limits of US state laws regulating workplace wellness programs</t>
  </si>
  <si>
    <t>We examined variability in state laws related to workplace wellness programs for public and private employers. We conducted legal research using LexisNexis and Westlaw to create a master list of US state laws that existed in 2014 dedicated to workplace wellness programs. The master list was then divided into laws focusing on public employers and private employers. We created 2 codebooks to describe the variables used to examine the laws. Coders used LawAtlasSM Workbench tocodethe laws related to workplace wellness programs. Thirty-two states and the District of Columbia had laws related to workplace wellness programs in 2014.Sixteen states and the District of Columbia had laws dedicated to public employers, and16stateshad laws dedicated to private employers. Nine states and the District of Columbia had laws that did not specify employer type. State laws varied greatly in their methods of encouraging or shaping wellness program requirements. Few states have comprehensive requirements or incentives to support evidence-based workplace wellness programs.</t>
  </si>
  <si>
    <t>SCOPUS_ID:0030847504</t>
  </si>
  <si>
    <t>10.1136/jech.51.4.408</t>
  </si>
  <si>
    <t>Asthma mortality in Australia 1920-94: Age, period, and cohort effects</t>
  </si>
  <si>
    <t>Study objective - To investigate asthma mortality during 1920-94 in Australia in order to assess the relative role of period and birth cohort effects. Design - Asthma mortality (both sexes) was age standardised and examined for changes over time. The data were also examined for age, period, and cohort (APC) effects using Poisson regression modelling. Setting - National Australian mortality data. Participants - Population (both sexes) aged 15-34 years, 1920-94. Main results - Age adjusted period rates indicate an increase in asthma mortality during the 1950s, and increases and subsequent falls (epidemics) during the mid 1960s and late 1980s. APC modelling suggested an increasing cohort effect (adjusted for both age and period) from the birth cohort 1950-54 onwards. Period effects (adjusted for age and cohort) are characterised by an increase in the 1950s (possibly due to changes in diagnostic labelling), minimal or no increases in the mid 1960s and late 1980s (where period peaks had been noted when data were adjusted for age only), and declines in mortality risk subsequent to the periods where age-period analysis had noted increases. Thus, in Australia, some of the mid 1960s epidemic in asthma deaths, and all of the late 1980s mortality increase, seem to be attributable to cohort effects. Conclusions - The increase in asthma mortality cohort effect is consistent with empirical evidence of recent increases in prevalence (and presumably incidence) of asthma in Australia, and suggests the need for more research into the underlying environmental aetiology of this condition.</t>
  </si>
  <si>
    <t>SCOPUS_ID:0028210122</t>
  </si>
  <si>
    <t>10.1136/jech.48.1.74</t>
  </si>
  <si>
    <t>Is use of hospital services a proxy for morbidity? A small area comparison of the prevalence of arthritis, depression, dyspepsia, obesity, and respiratory disease with inpatient admission rates for these disorders in England</t>
  </si>
  <si>
    <t>Objectives - To examine the relationship between specific types of morbidity, measured by validated survey questions, and hospital service use and mortality to see if the latter two could act as a proxy in health needs assessment, health service planning, and resource allocation in a typical health district. Design - A postal questionnaire was used to provide information about depression, digestive disorders, musculo-skeletal disorders, obesity, respiratory disease, and hip and knee pain. The questions were from survey instruments that have been widely used to derive information about these conditions. The relationships between the prevalence of these specific types of morbidity and appropriate admission and mortality rates were explored using linear regression and Pearson correlation analysis. Setting- The population of Rotherham health district, England. Subjects - A simple random sample of the residents of each of the 22 electoral wards in Rotherham health district. Results - Responses were obtained from 78% of the 5000 sampled (82% after excluding people who had moved house or died). Significant, positive correlations were found between the prevalence of respiratory disease and the hospital admission and mortality rates for respiratory problems (r = 0.68, p&lt;0.01 and r = 0.54, p&lt;0.01) and the prevalence of depression and the admission rate for depression (r = 0.52, p &lt; 0.05). No such relations were found for digestive disease, musculo-skeletal disease, and obesity. For the conditions examined here, hospital service use was a more useful measure than mortality. Conclusions - Only two diseases (respiratory disease and depression) out of the seven diseases or procedures investigated showed a positive correlation between hospital admission and disease prevalence. But even for these two, the correlations explained less than 50% of the variance. Caution must be exercised when hospital service use is being considered as a proxy for morbidity.</t>
  </si>
  <si>
    <t>SCOPUS_ID:84907685634</t>
  </si>
  <si>
    <t>10.1016/j.ypmed.2014.09.014</t>
  </si>
  <si>
    <t>Predictors of cessation treatment outcome and treatment moderators among smoking parents receiving quitline counselling or self-help material</t>
  </si>
  <si>
    <t>['Moderators', 'Predictors', 'Quitline counselling', 'Quitline support', 'Self-help', 'Smoking cessation', 'Treatment outcome']</t>
  </si>
  <si>
    <t>Objective: Several cessation treatments effectively enhance cessation, but it is not always clear which treatment may be most suitable for a particular client. We examined predictors of treatment outcome and treatment moderators among smoking parents in the Netherlands. Method: We conducted secondary analyses of a randomized controlled trial in which smoking parents received either quitline counselling (n = 256) or a self-help brochure (n = 256). Data collection was completed in October 2012. Endpoints were 7-day point prevalence abstinence and 6-month prolonged abstinence at 12-month follow-up. Potential predictors and moderators included socio-demographic characteristics, smoking-related variables, and child-related variables. Results: Male gender, higher employment status, lower daily cigarette consumption, higher levels of confidence in quitting, presence of a child with a chronic respiratory illness, and wanting to quit for the health of one's child predicted abstinence at 12 months. Significant treatment moderators were intention to quit and educational level. Quitline counselling was effective regardless of intention to quit and educational level, but self-help material was less effective among less motivated and lower educated parents. Conclusion: Certain subgroups of smokers, such as parents who are concerned about the health of their child, are particularly receptive to cessation support. Individual characteristics should be considered in treatment selections.</t>
  </si>
  <si>
    <t>SCOPUS_ID:0026591896</t>
  </si>
  <si>
    <t>10.1093/aje/136.7.836</t>
  </si>
  <si>
    <t>Cancer of the pancreas and drinking water: A population-based case-control study in Washington county, Maryland</t>
  </si>
  <si>
    <t>['Case-control studies', 'Chlorine', 'Pancreatic neoplasms', 'Water supply']</t>
  </si>
  <si>
    <t>A case-control study was done to assess a potential association between drinking water and pancreatic cancer in Washington County, Maryland. Cases of pancreatic cancer occurring from 1975 through 1989 were identified from the cancer registry. Controls were selected from the private 1975 census of Washington County. There were 101 cases and 206 controls. Chlorinated municipal water was used as a source of drinking water by 79% of cases and 63% of controls, yielding a significant odds ratio of 2.2. Adjustment for age and smoking had almost no effect on the risk, although both age and smoking were independently associated with an increased risk of pancreatic cancer. Although these findings must be interpreted with caution because of limitations in exposure assessment, these results have implications for the prevention of pancreatic cancer because chlorination of water is so widely practiced. Â© 1992 by The Johns Hopkins University School of Hygiene and Public Health.</t>
  </si>
  <si>
    <t>SCOPUS_ID:0032126798</t>
  </si>
  <si>
    <t>10.1006/pmed.1998.0329</t>
  </si>
  <si>
    <t>Linguistic acculturation and gender effects on smoking among hispanic youth</t>
  </si>
  <si>
    <t>['Acculturation', 'Adolescent behavior', 'Cigarette smoking', 'Gender', 'Hispanics']</t>
  </si>
  <si>
    <t>Background. Hispanic populations have been shown to be at high risk for smoking. The complex psychological process of adaptation to a different culture (acculturation) has been linked to smoking among Hispanic adults and adolescents. Although a positive association between acculturation and smoking appears to depend on gender among adults, research with Hispanic adolescents has ignored the moderating effect of gender. Methods. Students in 22 New York City schools completed self-report questionnaires and provided carbon monoxide breath samples at two annual assessments. Sixth and seventh graders who identified themselves as Hispanics participated in the study (N = 1,295 at baseline; N = 1,034 at 1-year follow-up). The questionnaire included items related to smoking, acculturation, and demographic characteristics. Results. Analyses were conducted to determine the effects of linguistic acculturation and gender on smoking. Girls smoked more frequently than boys at both time points. Being more acculturated was also associated with more smoking at the two survey assessments. As predicted, adolescent smoking depended on both gender and linguistic acculturation. For girls, but not boys, the highly acculturated adolescents smoked more frequently than either the bilingual or the less acculturated. Conclusions. Based on these findings, smoking prevention programs designed for Hispanic youth may benefit from an emphasis on Hispanic culture.</t>
  </si>
  <si>
    <t>SCOPUS_ID:0028924803</t>
  </si>
  <si>
    <t>10.2105/ajph.85.2.201</t>
  </si>
  <si>
    <t>Changes in adult cigarette smoking in the Minnesota Heart Health Program</t>
  </si>
  <si>
    <t>Objectives. The Minnesota Heart Health Program was a research and demonstration project designed to reduce risk factors for heart disease in whole communities. This paper describes smoking-specific interventions and outcomes. Methods. Three pairs of matched communities were included in the study. After baseline surveys, one community in each pair received a 5-year education program, while both cross-sectional and cohort surveys continued in all sites. Adult education programs for smoking cessation included Quit and Win contests, classes, self-help materials, telephone support, and home correspondence programs. Results. Encouraging short-term results were obtained for several adult education programs. Overall long-term outcomes were mixed, with evidence of an intervention effect only for women in cross- sectional survey data. Unexpectedly strong secular declines in smoking prevalence were observed in comparison communities. Conclusions. The findings suggest that community education may be unlikely to exceed dramatic secular reductions in smoking prevalence. The success of several key interventions and the incorporation of Minnesota Heart Health Program interventions by education communities are encouraging, however.</t>
  </si>
  <si>
    <t>SCOPUS_ID:84886061112</t>
  </si>
  <si>
    <t>10.1016/j.amepre.2013.07.004</t>
  </si>
  <si>
    <t>Crowdsourced peer-versus expert-written smoking-cessation messages</t>
  </si>
  <si>
    <t>Background Tailored, web-assisted interventions can reach many smokers. Content from other smokers (peers) through crowdsourcing could enhance relevance. Purpose To evaluate whether peers can generate tailored messages encouraging other smokers to use a web-assisted tobacco intervention (Decide2Quit.org). Methods Phase 1: In 2009, smokers wrote messages in response to scenarios for peer advice. These smoker-to-smoker (S2S) messages were coded to identify themes. Phase 2: resulting S2S messages, and comparison expert messages, were then e-mailed to newly registered smokers. In 2012, subsequent Decide2Quit.org visits following S2S or expert-written e-mails were compared. Results Phase 1: a total of 39 smokers produced 2886 messages (message themes: attitudes and expectations, improvements in quality of life, seeking help, and behavioral strategies). For not-ready-to-quit scenarios, S2S messages focused more on expectations around a quit attempt and how quitting would change an individual's quality of life. In contrast, for ready-to-quit scenarios, S2S messages focused on behavioral strategies for quitting. Phase 2: In multivariable analysis, S2S messages were more likely to generate a return visit (OR=2.03, 95% CI=1.74, 2.35), compared to expert messages. A significant effect modification of this association was found, by time-from-registration and message codes (both interaction terms p&lt;0.01). In stratified analyses, S2S codes that were related more to "social" and "real-life" aspects of smoking were driving the main association of S2S and increased return visits. Conclusions S2S peer messages that increased longitudinal engagement in a web-assisted tobacco intervention were successfully collected and delivered. S2S messages expanded beyond the biomedical model to enhance relevance of messages. Trial registration This study is registered at www.clinicaltrials.gov NCT00797628 (web-delivered provider intervention for tobacco control [QUIT-PRIMO]) and NCT01108432 (DPBRN Hygienists Internet Quality Improvement in Tobacco Cessation [HiQuit]). Â© 2013 American Journal of Preventive Medicine.</t>
  </si>
  <si>
    <t>SCOPUS_ID:84885846601</t>
  </si>
  <si>
    <t>10.1016/j.ypmed.2013.08.014</t>
  </si>
  <si>
    <t>Maternal educational level and preschool children's consumption of high-calorie snacks and sugar-containing beverages: Mediation by the family food environment</t>
  </si>
  <si>
    <t>['Beverage', 'Education', 'Preschool', 'Snack', 'Socioeconomic']</t>
  </si>
  <si>
    <t>Objective: To examine the associations between maternal educational level and preschoolers' consumption of high-calorie snacks and sugar-containing beverages, and to assess the mediating effects of variables relating to the family food environment. Methods: We analyzed data from 2814 native Dutch preschoolers enrolled in a birth cohort study in Rotterdam (the Netherlands), between 2002 and 2006. Logistic regression models were used to calculate odds ratios of snacking â‰¥ 2 times/day and consuming sugar-containing beverages â‰¥ 3 glasses/day for children of mothers with low, mid-low, and mid-high educational levels (reference group: high educational level), before and after adjustment for mediators. Results: Children of low and mid-low educated mothers were significantly more likely to consume excessive amounts of high-calorie snacks and sugar-containing beverages compared with children of high educated mothers, with the highest odds in children of low educated mothers (OR: 2.44; 95% CI: 1.84, 3.23 and OR: 2.46; 95% CI: 1.87, 3.24 respectively). Parental feeding practices, parental consumption of sugar-containing beverages, and children's television time partly explained these associations. Conclusion: Maternal educational level is inversely related to preschoolers' consumption of high-calorie snacks and sugar-containing beverages. Targeting the family food environment may be an effective way of reducing educational inequalities in children's unhealthy dietary behaviors. Â© 2013 Elsevier Inc.</t>
  </si>
  <si>
    <t>SCOPUS_ID:0026318189</t>
  </si>
  <si>
    <t>10.2105/AJPH.81.9.1201</t>
  </si>
  <si>
    <t>Development and validation of a simple device to estimate birthweight and screen for low birthweight in developing countries</t>
  </si>
  <si>
    <t>Lowbirthweight (&lt;2500 g) is the major factor associated with the death of infants within the first 4 weeks of life. The mean birthweight of newborn babies of a certain geographic area reflects the quality of maternal and child health care service as well as the degree of socioeconomic development of the particular region. Hence, birthweight is being used increasingly as an indicator for health and socioeconomic planning. However, in a developing country such as Thailand, two-fifths of the babies are delivered at home and are not weighted because scales are not available. To solve this problem in rural areas, a circular nomographic chart was developed with which the birthweight can be computed from a newborn baby's chest and mid-arm circumferences. Preliminary trials comparing these charts with standard baby scales showed a high degree of accuracy with sufficient sensitivity and specificity.</t>
  </si>
  <si>
    <t>SCOPUS_ID:33746830488</t>
  </si>
  <si>
    <t>10.1016/j.amepre.2006.04.007</t>
  </si>
  <si>
    <t>Active Transportation Increases Adherence to Activity Recommendations</t>
  </si>
  <si>
    <t>Background: Levels of physical activity (PA) contribute to health status and outcomes directly and indirectly via the effects of PA on obesity and other risk factors. Much past surveillance has focused on leisure-time physical activity (LTPA), but this may bias estimates of prevalence. This study explores inclusion of non-leisure-time walking and bicycling (NLTWB) used for transportation on the prevalence of adherence to PA recommendations and the magnitude of apparent disparities in adherence for California adults. Methods: Results of the 2001 California Health Interview Survey, a large (n =55,151) telephone survey were analyzed in 2005 using tabulation and logistic regression. Results: Higher levels of LTPA were associated with youth, males, education, income, Pacific Islanders, and non-Hispanic (NH) whites. Inclusion of NLTWB reduced these differences for all five variables. The largest decreases in disparities in adherence occurred for race/ethnicity, education, and income, with decreases in adherence differences from âˆ¼18% to 7% for NH white vs Latino, âˆ¼27% to 16% for more than high school versus less than high school, and âˆ¼25% to 11% for more than 300% versus less than 100% of poverty level. Logistic regression comparing adherence gives similar results. For example, in respondents with more than high school education versus less than high school education (referent), the odds ratio changed from 2.23 (95% confidence interval [CI]=2.0-2.4) to 1.7 (1.6-1.9) after the inclusion of NLTWB. Conclusions: Assessment of PA in multiple domains is required to understand differences in total levels of PA for people with different incomes, education levels, and racial/ethnic backgrounds. Inclusion of NLTWB reduces but does not eliminate disparities in adherence to recommended levels of PA. Â© 2006 American Journal of Preventive Medicine.</t>
  </si>
  <si>
    <t>SCOPUS_ID:34548608507</t>
  </si>
  <si>
    <t>10.1016/j.amepre.2007.05.011</t>
  </si>
  <si>
    <t>Electronic Medical Records and Prevention Quality. The Prevention Index</t>
  </si>
  <si>
    <t>Background: The Prevention Index is a methodology for using electronic medical records to identify and evaluate practice variations in the delivery of preventive care. Methods: The Prevention Index was used to evaluate the provision of 10 recommended adult preventive services using electronic medical record data for the years 1999 through 2002 among the 450,000 members of a large Northwest integrated care system. The analyses were conducted in 2005. The Prevention Index determines the proportion of person-time that is covered using consensus guidelines as a standard of care. It is analyzed at the population level and produces quality measures at the individual, practice, clinic, and system levels. The Prevention Index also removes diagnostic services in evaluating preventive care. Results: Overall, about 47% of recommended person-time was actually covered by the services in 2002. For nine services with care guidelines, the percent of covered person-time ranged from 19% for chlamydia screening to 80% for blood pressure screening. The percent of recommended person-time covered by these preventive services varied widely across clinical practices. From 17% to 53% of preventive screening tests were delivered for non-screening purposes. Conclusions: There are wide variations across clinical practices in the adherence to standard prevention guidelines, and also wide variations across different recommended clinical services. The Prevention Index methodology may allow the identification of the source of these variations, allowing system corrections and other remedial actions to be applied precisely and efficiently. Â© 2007 American Journal of Preventive Medicine.</t>
  </si>
  <si>
    <t>SCOPUS_ID:85048412370</t>
  </si>
  <si>
    <t>10.1136/jech-2017-210222</t>
  </si>
  <si>
    <t>Healthcare utilisation and expenditure of overweight and non-overweight children</t>
  </si>
  <si>
    <t>Background Quantification of the burden of overweight on the healthcare system is becoming increasingly urgent for health policy, but accurate estimates are hard to obtain.Methods In order to assess healthcare utilisation and expenditure of overweight and non-overweight children, we linked, on an individual basis, data on body mass index from a birth cohort study with administrative health insurance claims data.In children aged 14- 15 years, we compared utilisation and expenditure on general practice care, dental care, hospital/specialist care, prescribed medication, allied healthcare and mental healthcare of overweight children (overweight at age 11 and 14, n=80) and non-overweight children (no overweight at age 11 and 14, n=1253).Results For overweight children, mean 1-year healthcare expenditure was â‚¬837 per child and for nonoverweight children â‚¬616.This difference was mainly due to significant differences in utilisation of hospital care (49% vs 37%) and mental healthcare (14% vs 7%) and to a lesser extent to higher expenditure per user.Conclusion Our results indicate the potential value of linking survey data to claims data in order to obtain insight into the healthcare costs of childhood overweight.Further studies should elucidate whether the observed differences are causally related to overweight.</t>
  </si>
  <si>
    <t>SCOPUS_ID:0033949857</t>
  </si>
  <si>
    <t>10.1093/intjepid/29.3.429</t>
  </si>
  <si>
    <t>Siesta and the risk of coronary heart disease: Results from a population-based, case-control study in Costa Rica</t>
  </si>
  <si>
    <t>['Coronary heart disease', 'Exercise', 'Hispanic', 'Latin America', 'Physical activity', 'Sleep', 'Trigger']</t>
  </si>
  <si>
    <t>Background. The siesta (afternoon nap or rest), a common traditional behaviour in tropical areas, may increase the risk of myocardial infarction (MI) since the post siesta cardiovascular response very closely resembles the period soon after waking up in the morning when the onset of acute cardiovascular events is high. Methods. We studied 505 MI survivors and 522 randomly selected controls, matched for age, gender, and area of residence, in a population-based case-control study in Costa Rica. Participation rates were 97% for cases and 90% for controls. All subjects completed a physical activity questionnaire that included occupational and leisure time components with specific questions on siesta. Five siesta frequency categories (&lt;1/wk, 1-4/wk, 5-6/wk, daily [â‰¥1 h and &lt;2 h], and daily [â‰¥2 h and &lt;3:30 h]) were used to calculate the odds ratio (OR) by multiple logistic regression. Results. Compared to controls, cases were more likely to take daily siestas (44 versus 35%, P = 0.01), and spend more time per siesta (1:07 Â± 0:04 versus 0:54 Â± 0:04 h:min, P = 0.002). As compared to subjects with the lowest siesta frequency (&lt;1/wk), the OR for MI among those in the highest category was 1.51 (95% CI : 1.02-2.25, P for trend = 0.006). After adjusting for risk factors, lifestyle, and health history the OR across the siesta categories were 1.0, 0.77, 1.28. 1.66, and 1.40 (P for trend = 0.02). Conclusions. Our data suggest that the practice of daily siesta is associated with increased risk of MI.</t>
  </si>
  <si>
    <t>SCOPUS_ID:84926637473</t>
  </si>
  <si>
    <t>10.1093/eurpub/cku180</t>
  </si>
  <si>
    <t>The contribution of perceived ethnic discrimination to the prevalence of depression</t>
  </si>
  <si>
    <t>Background: European research on the association between perceived ethnic discrimination (PED) and health is importantly lacking. It is also unknown how much PED contributes to disease prevalence. In this study, we quantified the contribution of PED to depression in five ethnic groups in a middle-size European city. Methods: We used cross-sectional data from the HELIUS study (Healthy Life in an Urban Setting), collected from January 2011 to June 2013 in Amsterdam, The Netherlands. We included a random sample of 1753 ethnic Dutch, 1143 South-Asian Surinamese, 1794 African Surinamese, 1098 Ghanaians and 850 Turks, aged 18-70 years. PED was assessed using the Everyday Discrimination Scale. Patient Health Questionnaire-9 was used for assessing depressive symptoms and major depressive disorder (MDD). We used logistic regression and calculated the contribution of PED to depressive symptoms and MDD using the population attributable fractions. Results: Depressive symptoms and MDD were most common in Turks and South-Asian Surinamese, and lowest in ethnic Dutch. PED had a positive association with depressive symptoms and MDD in only the ethnic minority groups. The contributions of PED to depressive symptoms and MDD were around 25% in both the Surinamese groups, and Turks, and âˆ¼15% in Ghanaians. Conclusion: We conclude that PED contributes considerably to depression in ethnic minority groups in a European context. As such, ethnic inequalities in depression could be reduced substantially if ethnic minority groups would not perceive any ethnic discrimination. We encourage more European research on the health impact of PED.</t>
  </si>
  <si>
    <t>SCOPUS_ID:85065908526</t>
  </si>
  <si>
    <t>10.1016/j.ypmed.2019.04.009</t>
  </si>
  <si>
    <t>Racial/ethnic differences in daily, nondaily, and menthol cigarette use and smoking quit ratios in the United States: 2002 to 2016</t>
  </si>
  <si>
    <t>['Cessation', 'Cigarettes', 'Epidemiology', 'Ethnicity', 'Menthol', 'NSDUH', 'Race', 'Smoking']</t>
  </si>
  <si>
    <t>In the United States (US), racial/ethnic groups differ in cigarette smoking behaviors. We examined changes in cigarette prevalence and quit ratios over 15 years by racial/ethnic group (Non-Hispanic (NH) White, NH Black, Hispanic, NH Other). Data were drawn from the 2002â€“2016 National Survey on Drug Use and Health (NSDUH) public use data files and analyzed in 2018. Linear time trends of the prevalence of daily, nondaily, and menthol cigarette use and quit ratios (i.e., proportion of former smokers among lifetime smokers) were assessed using logistic regression models. 19.35% of NH White persons were daily smokers in 2016; this prevalence was significantly higher than all other groups (NH Black 10.99%, Hispanic 6.81%, NH Other 9.10%). Menthol use was significantly more common among NH Black individuals than all other groups in every year from 2002 to 2016 (2016: NH Black 23.38%, NH White 14.52%, Hispanic 10.49%, NH Other 8.97%). From 2002 to 2016, daily and nondaily smoking decreased significantly among all groups. The rate of decline of nondaily smoking was more rapid among Hispanic than NH White individuals while the rate of menthol smoking decline was more rapid among NH White than among Hispanic individuals. The quit ratio did not change significantly from 2002 to 2016 among NH Black individuals (31% to 35%) in contrast to a significant increase among NH White (2002, 45%; 2016, 50%) and Hispanic (2002, 33%; 2016, 41%) individuals. Further progress in tobacco control for vulnerable groups may need to include innovative strategies to address these concerning trends.</t>
  </si>
  <si>
    <t>SCOPUS_ID:79952278523</t>
  </si>
  <si>
    <t>10.1016/j.amepre.2010.08.006</t>
  </si>
  <si>
    <t>An evaluation of a neighborhood-level intervention to a local food environment</t>
  </si>
  <si>
    <t>Background The impact of local availability of healthy foods on dietary intake and health has been established. Interventions to local environments are being evaluated for their efficacy and sustainability. Purpose The aim of this paper is to provide an evaluation of a community-driven approach to transform neighborhood healthy food availability. Methods The information provided comes from minutes of monthly meetings of the partners, newsletters, media, and other store and project documentation. In addition, qualitative interviews with key stakeholders and co-op members were conducted. All of the participating individuals were interviewed during 2008 and analysis took place in 2010. Each interview was audio-taped and transcribed to form verbatim transcripts, then content analyzed for themes. Results The implementation phase of the initiative had long-standing negative repercussions on the ability of the store to be successful because of renting too large a space; not branding the store early; early misperceptions by community members about the store; and the changing of organizational partners and personnel, which resulted in a lack of leadership for the store. Equally important, the lack of project personnel or consultants with business experience directly related to operating a food store reverberated into issues related to marketing, price structuring, decisions about stocking the store, as well as accounting. Conclusions Repercussions of these challenges included unmet goals in terms of attracting local residents to become members of the co-op, low sales levels, and reduced confidence in the long-term sustainability of the food cooperative. Approaches to modifications of local food environments are likely to require additional resources beyond funding in order to secure positive outcomes. Â© 2010 American Journal of Preventive Medicine.</t>
  </si>
  <si>
    <t>SCOPUS_ID:0035711574</t>
  </si>
  <si>
    <t>10.1093/ije/30.6.1407</t>
  </si>
  <si>
    <t>The validity of self-reported use of health care across socioeconomic strata: A comparison of survey and registration data</t>
  </si>
  <si>
    <t>['Health care', 'Health surveys', 'Reproducibility of results', 'Socioeconomic status', 'Validation study']</t>
  </si>
  <si>
    <t>Background. Socioeconomic differences in health and in use of health care are well known. Most data on socioeconomic differences in health care utilization are based on retrospective self-report in community surveys, but the evidence on the validity of self-reported utilization of health care across socioeconomic groups is limited. The aim of this study was to assess the validity of self-reported utilization of health care across socioeconomic groups in the general population. Methods. We compared the concordance of self-reported and registered hospitalization (one year, n = 1277), and utilization of physiotherapy (one year, n = 1302) and use of prescription drugs (3 months, n = 899), by socioeconomic group (educational level, income, occupational status). Data came from a face-to-face health interview survey in Amsterdam and a health insurance register, and were limited to native Dutch and lower and middle income groups. Results. Concordance between reported and registered utilization was generally good to excellent; kappas (agreement adjusted for chance agreement) and percentage accurately reporting ranged from 0.60 and 80% (drugs) to 0.80 and 96% (hospitalization). They differed little, and without statistical significance, between people of low socioeconomic status and others. Assessment of socioeconomic groups in more detail yields somewhat more variation, but no systematic trend in concordance by higher socioeconomic status. Conclusion. Self-report offers a reasonably valid estimate of differences in utilization of health care between socioeconomic groups in the general population, at least for lower and middle income groups.</t>
  </si>
  <si>
    <t>SCOPUS_ID:85049079026</t>
  </si>
  <si>
    <t>10.1093/eurpub/ckx129</t>
  </si>
  <si>
    <t>Activation of older patients through PRACTA intervention for primary healthcare doctors: Does the method matter?</t>
  </si>
  <si>
    <t>Background: Activating older adults in medical practice can benefit patients' health and quality of life, as well as the economy and burden of the healthcare system. Placing general practice in the public healthcare system gives the elderly population easy access to the promotion of active attitudes toward health, provided that the doctors have and use relevant activating tools. The aim of this study was to verify the possibility of activating senior patients through an educational intervention for doctors. Methods: Two waves of data collection from primary care patients and their doctors were separated by an intervention for doctors. The intervention took the form of an e-learning programme or article and was developed so as to improve general practitioners' (GP) communication and activation skills, especially when working with older adults. The outcome variable was the change between the waves in patients' scores on the PRACTA Attitude Toward Treatment and Health (ATH) Scale and PRACTA Self-efficacy Scale. Data from patients aged 50 + (n = 2175; 55.6% women; age: M = 69.56, SD = 9.10) appointed at the primary care facilities were analysed. Results: The analysis revealed the effect of doctors' e-learning and, to a lesser extent, the effect of article reading on patients' attitudes toward treatment and health as well as on their self-efficacy. In facilities in which the intervention was implemented, patients' attitudes were more active on follow-up than at baseline when compared with facilities without the intervention. Conclusions: Educational intervention among doctors can result in patients' ATH becoming more active. The form of intervention might diversify the impact.</t>
  </si>
  <si>
    <t>Poland</t>
  </si>
  <si>
    <t>SCOPUS_ID:85032218936</t>
  </si>
  <si>
    <t>10.1016/j.amepre.2017.04.022</t>
  </si>
  <si>
    <t>Prevalence of Modifiable Cancer Risk Factors Among U.S. Adults Aged 18â€“44 Years</t>
  </si>
  <si>
    <t>Introduction Carcinogen exposure and unhealthy habits acquired in young adulthood can set the stage for the development of cancer at older ages. This study measured the current prevalence of several cancer risk factors among young adults to assess opportunities to intervene to change the prevalence of these risk factors and potentially reduce cancer incidence. Methods Using 2015 National Health Interview Survey data (analyzed in 2016), the prevalence of potential cancer risk factors was estimated among U.S. adults aged 18â€“44 years, based on responses to questions about diet, physical activity, tobacco product use, alcohol, indoor tanning, sleep, human papillomavirus vaccine receipt, and obesity, stratified by sex, age, and race/ethnicity. Results The prevalence of some risk factors varied by age and race/ethnicity. Obesity (one in four people) and insufficient sleep (one in three people) were common among men and women. Physical inactivity (one in five men, one in four women); binge drinking (one in four men, one in eight women); cigarette smoking (one in five men, one in seven women); and frequent consumption of red meat (one in four men, one in six women) also were common. More than half of the population of adults aged 18â€“44 years consumed sugar-sweetened beverages daily and processed meat at least once a week. Most young adults had never had the human papillomavirus vaccine. Conclusions Findings can be used to target evidence-based environmental and policy interventions to reduce the prevalence of cancer risk factors among young adults and prevent the development of future cancers.</t>
  </si>
  <si>
    <t>SCOPUS_ID:34447309734</t>
  </si>
  <si>
    <t>10.1093/ije/dyl257</t>
  </si>
  <si>
    <t>Epidemiologic transition interrupted: A reassessment of mortality trends in Thailand, 1980-2000</t>
  </si>
  <si>
    <t>['Cause of death', 'Mortality', 'Thailand', 'Vital registration']</t>
  </si>
  <si>
    <t>Background: In the late 1980s and early 1990s a generalized HIV epidemic affected Thailand which was relatively well controlled by an intensive national campaign by the mid 1990s. The extent to which the epidemic has slowed or possibly reversed the epidemiological transition in Thailand is relatively unknown. Methods: Under-five mortality rates (U5MR) were determined from various sources and weighted least squares regression conducted to determine U5MR over the years 1980-2000. Direct and indirect estimates of the completeness of death registration were used to estimate mortality levels in those aged more than 5 years for the 1980-90 and 1990-2000 periods. Life tables were constructed using the various estimates to determine changes in life-expectancy between the two time periods. Results: U5MR in Thailand is estimated to have been 58/1000 live births in 1980, declining to 30 in 1990 and to 23 in 2000. The vital registration system clearly underestimates U5MR. Successive surveys of Population Change (SPC) imply coverage of death registration improving from 75-77% in 1985-86 to 95% in 1995-96, partly due to a reliance on self-reported registration in the latter survey. In contrast, the General Growth Balance-Synthetic Extinction Generations (GGB-SEG) method suggests coverage worsening from 78-85% in 1980-90 to 64-7% in 1990-2000. Life tables based on SPC adjustments show continued declines in female, and to a lesser extent, male adult mortality with corresponding increases in life-expectancy at birth of around 6 years for both sexes from 1980-90 to 1990-2000. In contrast, the indirect adjustments suggest a substantial increase in male adult mortality with female adult mortality unchanged; life expectancy decreased by 4 years for males and was only marginally higher in females. Conclusion: Given the conflicting evidence a definitive assessment of mortality change in Thailand between 1980 and 2000 is difficult to make. Indirect adjustments, based on demographic methods point to a major reversal in mortality decline among males, and a slowing in females. If adult mortality registration has declined, and given the continued under-registration of infant and child deaths, remedial measures are urgently required if the mortality system is to better inform and monitor health development in Thailand. Â© The Author 2006; all rights reserved.</t>
  </si>
  <si>
    <t>SCOPUS_ID:0033989359</t>
  </si>
  <si>
    <t>10.1136/jech.54.1.31</t>
  </si>
  <si>
    <t>Homocysteine, folate, vitamin B12, and cardiovascular risk in Indians, Malays, and Chinese in Singapore</t>
  </si>
  <si>
    <t>Objective - To examine the hypothesis that the higher rates of coronary heart disease (CHD) in Indians (South Asians) compared with Malays and Chinese is partly attributable to differences in blood concentrations of homocysteine, and related blood concentrations of folate and vitamin B12. Design - Cross sectional study of the general population. Setting - Singapore. Participants - Random sample of 726 fasting subjects aged 30 to 69 years. Main results - Mean plasma total homocysteine concentrations did not show significant ethnic differences; values were Indians (men 16.2 and women 11.5 Î¼mol/l), Malays (men 15.0 and women 12.5 Î¼mol/l), and Chinese (men 15.3 and women 12.2 Î¼mol/l). Similarly, the proportions with high plasma homocysteine (&gt; 14.0 Î¼mol/l) showed no important ethnic differences being, Indians (men 60.0 and women 21.9%), Malays (men 53.9 and women 37.8%), and Chinese (men 56.6 and women 30.6%). Mean plasma folate concentrations were lower in Indians (men 8.7 and women 10.9 nmol/l) and Malays (men 8.5 and women 10.8 nmol/l), than Chinese (men 9.7 and women 13.8 nmol/l). Similarly, the proportions with low plasma folate (&lt; 6.8 nmol/l) were higher in Indians (men 44.9 and women 36.6%) and Malays (men 45.3 and women 24.5%) than Chinese (men 31.4 and women 12.6%). Mean plasma vitamin B12 concentrations were lowest in Indians (men 352.5 and women 350.7 pmol/l), then Chinese (men 371.1 and women 373.7 pmol/l), and then Malays (men 430.5 and women 486.0 pmol/l). Conclusion - While there were ethnic differences for plasma folate and vitamin B12 (in particular lower levels in Indians), there was no evidence that homocysteine plays any part in the differential ethnic risk from CHD in Singapore and in particular the increased susceptibility of Indians to the disease.</t>
  </si>
  <si>
    <t>Singapore</t>
  </si>
  <si>
    <t>SCOPUS_ID:84892752522</t>
  </si>
  <si>
    <t>10.1093/aje/kwt251</t>
  </si>
  <si>
    <t>Examination of how neighborhood definition influences measurements of youths' access to tobacco retailers: A methodological note on spatial misclassification</t>
  </si>
  <si>
    <t>['exposure science', 'modifiable areal unit problem', 'neighborhood', 'spatial scale', 'spatial zone', 'tobacco retailers', 'uncertain geographic context problem']</t>
  </si>
  <si>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&lt;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 Â© 2013 The Author.</t>
  </si>
  <si>
    <t>SCOPUS_ID:0025197717</t>
  </si>
  <si>
    <t>10.1093/ije/19.3.711</t>
  </si>
  <si>
    <t>Efficacy of oral poliovirus vaccine in rural communities of North Arcot district, India</t>
  </si>
  <si>
    <t>Balraj V (Department of Virology, Christian Medical College Hospital, Vellore, Tamilnadu, 632 004, India), John T J, Thomas M and Mukundan S. Efficacy of oral poliovirus vaccine in rural communities of North Arcot District, India. InternationalJournal of Epidemiology 1990; 19: 711-714.The protective efficacy of three doses of oral poliovirus vaccine (OPV) was measured in children under five in the rural blocks of North Arcot District. In 1988, a sample survey of 7% of the total population of the district (population five million) was conducted to determine the immunization coverage with OPV and the incidence of paralytic poliomyelitis in under-fivesin the previous 12 months, (n = 42 045). For every case of poliomyelitis, all children matched for exact age in months resident within the same block were taken as controls. Some 67 children had poliomyelitis (prevalence of lameness 1.59/1000, estimated annual incidence 2.57/1000 under-fives). Among cases and controls 24 and 42%, respectively, had received three doses of OPV, while 44 and 33% had received none. In a case-control analysis, the vaccine efficacy (VE) was 62% for all under-fives; for the 12-23 months age group it was 71.4%. For a vaccine with the potential of near 100% VE, this is disappointingly low. Obviously, not only the immunization coverage level, but also the VE should be enhanced if poliomyelitis is to be controlled in India. This may be achieved by a five-dose OPV schedule, annual OPV immunization campaigns in addition to the routine three-dose schedule or by using inactivated poliovirus vaccine of enhanced potency. Â© 1990 International Epidemiological Association.</t>
  </si>
  <si>
    <t>SCOPUS_ID:67651094135</t>
  </si>
  <si>
    <t>10.1093/aje/kwp102</t>
  </si>
  <si>
    <t>Caregiving intensity and change in physical functioning over a 2-Year period: Results of the caregiver-study of osteoporotic fractures</t>
  </si>
  <si>
    <t>['Activities of daily living', 'Caregivers', 'Disability evaluation']</t>
  </si>
  <si>
    <t>It is unknown whether caregivers who perform more caregiving tasks have a greater decline in health from higher stress or less decline because of better health, staying active, or psychological factors. This 1999-2004 US study examined caregiving intensity and 2-year change in performance-based functioning among 901 elderly women from the Caregiver-Study of Osteoporotic Fractures sample. Caregivers were categorized as high (n=167) or low (n=166) intensity based on how many activities of daily living they performed for the care recipient. Caregiving intensity status and physical performance score (sum of quartiles of walking pace, grip strength, and chair-stand speed; range, 0-9) were assessed at baseline and at 2 annual follow-up interviews. At baseline, high-intensity caregivers reported the most stress but had the best physical functioning; noncaregivers (n=568) had the poorest physical functioning (adjusted scores=5.09 vs. 4.54, P=0.03). Low-intensity caregivers declined more than noncaregivers over 2 years, but high-intensity caregivers did not (adjusted difference=-0.33, P=0.07 vs. 0.03, P=0.89). Among respondents with the same caregiving status at baseline and 1-year interviews, high-intensity caregivers maintained the highest physical performance throughout follow-up. Higher levels of physical performance persisted over 2 years among high-intensity caregivers, which did not support the traditional stress hypothesis.</t>
  </si>
  <si>
    <t>SCOPUS_ID:33845671785</t>
  </si>
  <si>
    <t>10.1093/aje/kwj330</t>
  </si>
  <si>
    <t>Nutrient intake and risk of non-Hodgkin's lymphoma</t>
  </si>
  <si>
    <t>['Case-control studies', 'Diet', 'Fatty acids', 'Lymphoma', 'Non-Hodgkin', 'Nutrition', 'Vitamin D']</t>
  </si>
  <si>
    <t>The mechanisms through which diet may influence the development of non-Hodgkin's lymphoma (NHL) are unclear but can be better understood by examining associations between nutrient consumption and NHL risk. Between 2000 and 2002, 591 NHL cases and 460 population-based controls in Sweden completed a semiquantitative food frequency questionnaire. Unconditional logistic regression was performed to estimate odds ratios and 95% confidence intervals for associations with nutrient intake; all statistical tests were two sided. Dietary intake of most macronutrients was not associated with risk of NHL or its common subtypes. Consumption of omega-3 or marine fatty acids was associated with decreased risk of NHL and chronic lymphocytic lymphoma, and dietary fiber was associated with lower risk of all subtypes examined. When the highest and the lowest quartiles of marine fat intake were compared, the odds ratio for NHL risk was 0.6 (95% confidence interval: 0.4, 0.9), ptrend = 0.03; for dietary fiber intake, the corresponding odds ratio was 0.5 (95% confidence interval: 0.3, 0.7), ptrend &lt; 0.001. Dietary consumption of beta-carotene or alpha-tocopherol was associated with lower NHL risk, whereas intake of calcium or retinol was associated with increased NHL risk. Nutrients that affect inflammation, vitamin D activity, oxidative DNA damage, or DNA methylation may be associated with risk of NHL. Copyright Â© 2006 by the Johns Hopkins Bloomberg School of Public Health All rights reserved.</t>
  </si>
  <si>
    <t>SCOPUS_ID:33749079391</t>
  </si>
  <si>
    <t>10.1093/aje/kwj206</t>
  </si>
  <si>
    <t>A case-crossover study of fine particulate matter air pollution and onset of congestive heart failure symptom exacerbation leading to hospitalization</t>
  </si>
  <si>
    <t>['Air pollutants', 'Disease susceptibility', 'Dyspnea', 'Environmental exposure', 'Heart failure, congestive', 'Hospitalization']</t>
  </si>
  <si>
    <t>Persons with congestive heart failure may be susceptible to ambient air pollution. The authors evaluated the association between exposure to particulate matter with an aerodynamic diameter of &lt;2.5 Î¼m (PM2.5) and onset of symptom exacerbation leading to hospital admission in Baltimore, Maryland. They used a case-crossover design for 135 case events occurring among 125 persons with prevalent congestive heart failure who were admitted to a single hospital through the emergency department during 2002. The case period was assigned using three index times: 8-hour and 24-hour periods of symptom onset and date of hospital admission. Controlling for weather, the authors detected a modest relative increase in risk for cases defined by 8-hour symptom onset for an interquartile-range increase in PM2.5 at a 2-day lag (odds ratio = 1.09, 95% confidence interval: 0.91, 1.30). A corresponding increase in risk was not observed when admission date was used to define the case period. A series of simulations based on study data indicated that the study had adequate statistical power to detect odds ratios of 1.2 or higher. Although overall findings were not statistically significant, the identification of case events defined by an 8-hour onset period may be more relevant than either a 24-hour onset period or the admission date for estimating harmful effects of air pollutant exposure on cardiovascular health. Copyright Â© 2006 by the Johns Hopkins Bloomberg School of Public Health All rights reserved.</t>
  </si>
  <si>
    <t>SCOPUS_ID:44949229233</t>
  </si>
  <si>
    <t>10.1016/j.ypmed.2008.01.010</t>
  </si>
  <si>
    <t>Short and long-term adherence to swimming and walking programs in older women - The Sedentary Women Exercise Adherence Trial (SWEAT 2)</t>
  </si>
  <si>
    <t>['Adherence', 'Behavioural intervention', 'Physical activity', 'Swimming', 'Walking', 'Women']</t>
  </si>
  <si>
    <t>Objective: To examine in previously sedentary older women the effects of exercise mode and a behavioural intervention on short and long-term retention and adherence. Methods: Healthy, sedentary women aged 50-70Â years (N = 116) were randomly assigned to a supervised 6-month swimming or walking program 3 sessions a week. They were further randomised to usual care or a behavioural intervention. The same program was further continued unsupervised for 6Â months. We assessed retention, adherence, stage of exercise behaviour and changes in fitness. Results: One hundred women (86%) completed 6Â months and 86 (74%) continued for 12Â months. Retention rates were similar for both exercise modes at 6 and 12Â months. Adherence to swimming or walking was similar after 6Â months (76.3 (95% CI: 69.5, 83.1)% vs. 74.3 (67.7, 80.9)%) and 12Â months (65.8 (57.9, 73.8)% vs. 62.2 (54.6, 70.0)%). The behavioural intervention did not enhance retention or adherence. Fitness improved for both exercise modes after 6Â months and was maintained at 12Â months. Conclusions: Either swimming or walking programs initiated with careful supervision over 6Â months resulted in similar high retention and adherence rates by highly motivated older women over 12Â months. Behavioural intervention in this setting did not improve these rates further. Â© 2008 Elsevier Inc. All rights reserved.</t>
  </si>
  <si>
    <t>SCOPUS_ID:0028031781</t>
  </si>
  <si>
    <t>10.2105/AJPH.84.1.29</t>
  </si>
  <si>
    <t>Self-reported physical activity in a rural county: A New York county health census</t>
  </si>
  <si>
    <t>Objectives. Few studies have described physical activity in rural populations. This study describes the frequency, types, and correlates of physical activity in 29 304 free-living adults in a rural county in New York State. Methods. Self-reported responses about regular physical activity (maintained long enough to work up a sweat) were analyzed from a private household census of Otsego County with an 86.6% response rate. Results. This survey categorized 46.2% of county residents as sedentary. Walking, the most frequent choice of activity (62% of the women, 36% of the men), increased in frequency with age of respondents whereas cycling, jogging, aerobics, team sports, and swimming (listed in rank order of frequency) generally tended to decrease in frequency with age. Farmers demonstrated an increased amount of 'sweat activity' compared with persons in most other occupations. Conclusions. This descriptive study of physical activity in a rural county shows that sedentary lifestyle is of high prevalence. The high frequency of walking and the gender differences in both the levels and choice of activity suggest that further research and public policy recommendations focus on these issues.</t>
  </si>
  <si>
    <t>SCOPUS_ID:85114153062</t>
  </si>
  <si>
    <t>10.1016/j.ypmed.2021.106775</t>
  </si>
  <si>
    <t>Nonlinear relationship between nonresidential destinations and body mass index across a wide range of development</t>
  </si>
  <si>
    <t>['Built environment', 'Health geography', 'Nonresidential destinations', 'Obesity', 'Urban rural continuum']</t>
  </si>
  <si>
    <t>Background: Destination accessibility is an important measure of the built environment that is associated with active transport and body mass index (BMI). In higher density settings, an inverse association has been consistently found, but in lower density settings, findings are limited. We previously found a positive relationship between the density of nonresidential destinations (NRD) and BMI in a low-density state. We sought to test the generalizability of this unexpected finding using data from six other states that include a broader range of settlement densities. Methods: We obtained the address, height, and weight of 16.9 million residents with a driver's license or state identification cards, as well as the location of 3.8 million NRDs in Washington, Oregon, Texas, Illinois, Michigan, and Maine from Dun &amp; Bradstreet. We tested the association between NRDsâˆ™haâˆ’1 within 1 km of the home address, and self-reported BMI (kgâˆ™mâˆ’2). Visualization by locally-weighted smoothing curves (LOWESS) revealed an inverted U-shape. A multivariable piecewise regression with a random intercept for state was used to assess the relationship. Results: After accounting for age, sex, year of issue, and census tract social and economic variables, BMI correlated positively with NRDs in the low-to-mid density stratum (Î² = +0.005 kgâˆ™mâˆ’2/nonresidential buildingâˆ™haâˆ’1; 95% CI: +0.004,+0.006) and negatively in the mid-to-high density stratum (Î² = âˆ’0.002; 95% CI: âˆ’0.004,-0.0003); a significant difference in slopes (P &lt; 0.001). Conclusions: BMI peaked in the middle density, with lower values in both the low and high-density extremes. These results suggest that the mechanisms by which NRDs are associated with obesity may differ by density level.</t>
  </si>
  <si>
    <t>SCOPUS_ID:0032724058</t>
  </si>
  <si>
    <t>10.1097/00001648-199911000-00011</t>
  </si>
  <si>
    <t>Periconceptional nutrient intake and risk for neural tube defect- affected pregnancies</t>
  </si>
  <si>
    <t>['Anencephaly', 'Case-control', 'Congenital abnormalities', 'Etiology', 'Pregnancy', 'Spina bifida', 'Vitamins']</t>
  </si>
  <si>
    <t>We investigated whether intakes of nutrients, including folate, by women in the periconceptional period were associated with risks of neural tube defect (NTD)-affected pregnancies. Data were part of a case-control study of fetuses and infants with NTDs among 1989-1991 California births. We conducted interviews with mothers of 409 NTD cases and 420 nonmal-formed controls. Nutrient intake for the 3 months before conception was derived from food frequency questionnaires and from questions to mothers about vitamin/mineral supplement use. We computed NTD risk for each nutrient controlling for the influence of all other studied nutrients and for maternal education, race/ethnicity, height, and prepregnancy weight. Most single nutrients reduced NTD risks when intakes were considered in quartiles and unadjusted for other nutrients. Some of the same nutrients, however, did not provide similar interpretations when we adjusted for other nutrients. Adjusted analyses revealed decreased NTD risks with increased intakes of methionine, lutein, magnesium, zinc, and thiamin for women who did not use vitamin supplements periconceptionally. We observed decreased NTD risks associated with increased intakes of linoleic acid, cysteine, calcium, and zinc for women who used supplements. We also observed increased NTD risks with increased intakes of oleic acid. For users as well as nonusers of vitamin supplements, we observed reduced risks with increased intakes of grains and dairy products. Chance was a likely alternative explanation for many of the observed risk patterns.</t>
  </si>
  <si>
    <t>SCOPUS_ID:84901036271</t>
  </si>
  <si>
    <t>10.2105/AJPH.2013.301716</t>
  </si>
  <si>
    <t>Methods for improving the quality and completeness of mortality data for American Indians and Alaska Natives</t>
  </si>
  <si>
    <t>Objectives. We describe methods used to mitigate the effect of race misclassification in mortality records and the data sets used to improve mortality estimates for American Indians and Alaska Natives (AI/ANs). Methods. We linked US National Death Index (NDI) records with Indian Health Service (IHS) registration records to identify AI/AN deaths misclassified as non-AI/AN deaths. Analyses excluded decedents of Hispanic origin and focused on Contract Health Service Delivery Area (CHSDA) counties. We compared death rates for AI/AN persons and Whites across 6 US regions. Results. IHS registration records merged to 176 137 NDI records. Misclassification of AI/AN race in mortality data ranged from 6.3% in the Southwest to 35.6% in the Southern Plains. From 1999 to 2009, the all-cause death rate in CHSDA counties for AI/AN persons varied by geographic region and was 46% greater than that for Whites. Analyses for CHSDA counties resulted in higher death rates for AI/AN persons than in all counties combined. Conclusions. Improving race classification among AI/AN decedents strengthens AI/ANmortality data, and analyzing deaths by geographic region can aid in planning, implementation, and evaluation of efforts to reduce health disparities in this population.</t>
  </si>
  <si>
    <t>SCOPUS_ID:0031053754</t>
  </si>
  <si>
    <t>10.1023/A:1007388626476</t>
  </si>
  <si>
    <t>Mortality among patients with ulcerative colitis: Rome 1970-1989</t>
  </si>
  <si>
    <t>['Epidemiology', 'Inflammatory bowel disease', 'Mortality', 'Ulcerative colitis']</t>
  </si>
  <si>
    <t>The aim of this study was to analyze the pattern of mortality among patients with ulcerative colitis (UC) and compare it with mortality in the general population of the same age and sex. All patients with UC admitted to one of the Inflammatory Bowel Disease Clinics in Rome, from January 1970 to December 31, 1989 were enrolled. Vital status was ascertained through the Registry Office of the last municipality of residence as of July 1, 1990. Cause of death was ascertained through record linkage with the national or regional mortality file and coded using the ninth revision of the International Classification of Diseases. Standardized Mortality Ratios (SMRs) were computed to compare mortality among UC patients with mortality in the general population of the same age and sex. Out of a total of 508 UC patients admitted during the study period, 27 deaths were observed, compared with 27.6 expected (SMR = 98). After excluding prevalent cases, an excess risk of death was observed among newly diagnosed cases in the first year after diagnosis (SMR = 644, p &lt; 0.001); ulcerative colitis was the main reason for this excess mortality. Mortality for other diseases were close to that expected. In conclusion, ulcerative colitis impairs life expectancy in the first year after diagnosis, while no excess mortality seems to be present afterwards.</t>
  </si>
  <si>
    <t>SCOPUS_ID:73949120160</t>
  </si>
  <si>
    <t>10.1093/aje/kwp373</t>
  </si>
  <si>
    <t>A prospective study of magnesium and iron intake and pancreatic cancer in men</t>
  </si>
  <si>
    <t>['Cohort studies', 'Diet', 'Iron, dietary', 'Magnesium', 'Pancreatic neoplasms']</t>
  </si>
  <si>
    <t>Many studies have investigated the relation between magnesium and iron intake and diabetes and, separately, between diabetes and pancreatic cancer. However, no known study has examined the direct association of magnesium and iron intake with pancreatic cancer risk. The authors obtained magnesium and iron intake data using food frequency questionnaires from the US male Health Professionals Follow-up Study, which began in 1986. During 851,476 person-years and 20 years of follow-up, 300 pancreatic cancer cases were documented. Cox proportional hazards models were used to estimate relative risks, adjusting for age, smoking, and body mass index. No associations were observed between magnesium or iron intake and pancreatic cancer (highest vs. lowest quintile: relative risk (RR) = 0.94, 95% confidence interval (CI): 0.66, 1.32 and RR = 0.93, 95% CI: 0.65, 1.34, respectively). Similarly, iron or magnesium supplement use was not related to pancreatic cancer. A statistically significant inverse relation was noted between magnesium and pancreatic cancer for subjects with a body mass index of â‰¥25 kg/m2 (RR = 0.67, 95% CI: 0.46, 0.99; P-trend = 0.04). Although, overall, no relation between magnesium or iron intake and pancreatic cancer was observed in this cohort of men, an inverse association with magnesium was suggested among overweight individuals, which should be examined in other studies.</t>
  </si>
  <si>
    <t>SCOPUS_ID:84905440809</t>
  </si>
  <si>
    <t>10.1136/jech-2013-203500</t>
  </si>
  <si>
    <t>Fruit and vegetable consumption and all-cause, cancer and CVD mortality: Analysis of health survey for England data</t>
  </si>
  <si>
    <t>Background: Governments worldwide recommend daily consumption of fruit and vegetables. We examine whether this benefits health in the general population of England. Methods: Cox regression was used to estimate HRs and 95% CI for an association between fruit and vegetable consumption and all-cause, cancer and cardiovascular mortality, adjusting for age, sex, social class, education, BMI, alcohol consumption and physical activity, in 65 226 participants aged 35+ years in the 2001-2008 Health Surveys for England, annual surveys of nationally representative random samples of the noninstitutionalised population of England linked to mortality data (median follow-up: 7.7 years). Results: Fruit and vegetable consumption was associated with decreased all-cause mortality (adjusted HR for 7+ portions 0.67 (95% CI 0.58 to 0.78), reference category &lt;1 portion). This association was more pronounced when excluding deaths within a year of baseline (0.58 (0.46 to 0.71)). Fruit and vegetable consumption was associated with reduced cancer (0.75 (0.59-0.96)) and cardiovascular mortality (0.69 (0.53 to 0.88)). Vegetables may have a stronger association with mortality than fruit (HR for 2 to 3 portions 0.81 (0.73 to 0.89) and 0.90 (0.82 to 0.98), respectively). Consumption of vegetables (0.85 (0.81 to 0.89) per portion) or salad (0.87 (0.82 to 0.92) per portion) were most protective, while frozen/canned fruit consumption was apparently associated with increased mortality (1.17 (1.07 to 1.28) per portion). Conclusions: A robust inverse association exists between fruit and vegetable consumption and mortality, with benefits seen in up to 7+ portions daily. Further investigations into the effects of different types of fruit and vegetables are warranted.</t>
  </si>
  <si>
    <t>SCOPUS_ID:85108811933</t>
  </si>
  <si>
    <t>10.1136/jech-2020-214797</t>
  </si>
  <si>
    <t>Development and validation of a predictive algorithm for risk of dementia in the community setting</t>
  </si>
  <si>
    <t>['dementia', 'disease modeling', 'epidemiology', 'public health']</t>
  </si>
  <si>
    <t>Most dementia algorithms are unsuitable for population-level assessment and planning as they are designed for use in the clinical setting. A predictive risk algorithm to estimate 5-year dementia risk in the community setting was developed. The Dementia Population Risk Tool (DemPoRT) was derived using Ontario respondents to the Canadian Community Health Survey (survey years 2001 to 2012). Five-year incidence of physician-diagnosed dementia was ascertained by individual linkage to administrative healthcare databases and using a validated case ascertainment definition with follow-up to March 2017. Sex-specific proportional hazards regression models considering competing risk of death were developed using self-reported risk factors including information on socio-demographic characteristics, general and chronic health conditions, health behaviours and physical function. Among 75â€‰460 respondents included in the combined derivation and validation cohorts, there were 8448 cases of incident dementia in 348â€‰677 person-years of follow-up (5-year cumulative incidence, men: 0.044, 95%â€‰CI: 0.042 to 0.047; women: 0.057, 95%â€‰CI: 0.055 to 0.060). The final full models each include 90 df (65 main effects and 25 interactions) and 28 predictors (8 continuous). The DemPoRT algorithm is discriminating (C-statistic in validation data: men 0.83 (95% CI: 0.81 to 0.85); women 0.83 (95% CI: 0.81 to 0.85)) and well-calibrated in a wide range of subgroups including behavioural risk exposure categories, socio-demographic groups and by diabetes and hypertension status. This algorithm will support the development and evaluation of population-level dementia prevention strategies, support decision-making for population health and can be used by individuals or their clinicians for individual risk assessment.</t>
  </si>
  <si>
    <t>SCOPUS_ID:0025198596</t>
  </si>
  <si>
    <t>10.1136/jech.44.4.297</t>
  </si>
  <si>
    <t>Is there a fetal effect with low to moderate alcohol use before or during pregnancy?</t>
  </si>
  <si>
    <t>['D']</t>
  </si>
  <si>
    <t>Study objective - The aim was to investigate the effect of low or moderate alcohol consumption upon fetal outcome. Design - This was a prospective randomised cohort study with mother and infant follow-up sample stratified on level of maternal alcohol intake. Setting - A large maternity hospital in Western Australia. Participants - 2002 randomly selected pregnant women were recruited over a 3 year period for questionnaire survey (19 mothers refused participation). From 665 women in a stratified subsample selected on the basis of prepregnancy alcohol consumption, 605 newborns were available for study. Investigation and main results - All 2002 women completed a comprehensive questionnaire on demographic, lifestyle (including diet), health, and obstetric factors. Of the 665 mothers who were followed through pregnancy, 605 liveborns were available at birth for measurement and detailed clinical evaluation. Low to moderate prepregnancy maternal alcohol intake was not associated with any untoward effect upon weight, length, head circumference at birth, or clinical well-being as indicted by Apgar score, respiratory distress syndrome, and overall clinical state. Other factors, particularly nicotine, were of much greater importance. Conclusions - This study fails to show any significant relationship between low to moderate prepregnancy maternal alcohol intake and newborn clinical status. The outcome suggests that cautionary advice to pregnant women warning that any alcohol taken during pregnancy is potentially harmful to the fetus is inaccurate and therefore probably counterproductive.</t>
  </si>
  <si>
    <t>SCOPUS_ID:0028968556</t>
  </si>
  <si>
    <t>10.1093/ije/24.1.58</t>
  </si>
  <si>
    <t>Long-term prognosis of different forms of coronary heart disease: The reykjavik study</t>
  </si>
  <si>
    <t>Background. While coronary heart disease (CHD) is a serious and often fatal disease the prognosis is variable and major effort has been invested in risk stratification. The purpose of this study was to examine the relation between long-term prognosis and risk factors in different clinical categories of CHD.Methods. A general population sample of 9141 men, aged 34-79 at entry into the study was divided into six groups with respect to manifestations of CHD at entry: I Symptomatic infarction II. Silent or unrecognized infarction III Angina pectons with ischaemic changes on ECG. IV. Angina without ischaemic changes V. Angina by Rose questionnaire but not confirmed by a physician. VI No manifestations of CHD.Results. The risk factor profile varied considerably between the different categories and by life-table analysis marked differences in survival were demonstrated between the groups The risk factors maintained their detrimental effects on prognosis in the presence of CHD. Thus, age, serum total cholesterol, impaired glucose tolerance and smoking were found by Cox's regression to be statistically significant independent risk factors of CHD mortality among men having manifestations of CHD (groups I-V). Furthermore, the composite risk score, a measure of the overall risk factor exposures had marked effect on the prognosis of the various CHD groups. When the comprehensive risk factor score for both CHD mortality and all-cause mortality was accounted for marked differences persisted in the long-term prognosis. Compared to those without CHD the infarct groups had about a 7.6- and 3.7-fold risk of dying from CHD and all causes respectively. Those with angina had from 2.5- to 3.2-fold risk of CHD mortality and 1.7- to 2.2-fold risk of all-cause mortality depending on the subgroup of angina, again compared to those without manifestations of CHD.Conclusion. Different categones of CHD had different risk factor profiles and the long-term prognosis resulted from a complex interplay between those factors and the diagnostic category of CHD. The risk factors maintained their detrimental effects on prognosis in the presence of CHD and after accounting for the comprehensive risk factor score marked differences persisted in the long-term prognosis, being worst for those having suffered a myocardial infarction, either symptomatic or silent. Â© 1995 International Epidemlological Association.</t>
  </si>
  <si>
    <t>SCOPUS_ID:85118315428</t>
  </si>
  <si>
    <t>10.1093/eurpub/ckab102</t>
  </si>
  <si>
    <t>Can mental health competence reduce the higher risk of smoking initiation among teenagers with parents who smoke?</t>
  </si>
  <si>
    <t>Background: Parental smoking strongly influences adolescent smoking, yet few studies have examined factors that may protect against this. We investigated whether skills-based components of positive mental health ('mental health competence', MHC) modified the association between parental and teenager smoking, in the UKrepresentative Millennium Cohort Study (approximately 18 000 children, born 2000 02; analytic sample: n = 10 133). Methods: Cohort members (CMs) reported at 14 years (y) whether they had ever smoked cigarettes. A dichotomized variable indicated whether one/both parents smoked when CMs were 11 y. A four-class latent MHC measure captured learning skills and prosocial behaviours at 11 y: High, High Moderate, Moderate, Low. We examined effect measure modification (on the additive scale) by comparing risk differences (RDs) for CM smoking according to parental smoking, within each MHC class. We then estimated RDs for CM smoking according to combinations of parental smoking and MHC. Analyses accounted for confounding, sample design, attrition and item missingness. Results: CMs were more likely to smoke cigarettes if their parent(s) smoked (27%) than CMs with no parent(s) who smoked (11%; RD: 16%). When stratified by MHC, RDs were stronger for low MHC (21%; 95% CI 11 31%) than other MHC classes (ranging: 7 11%). Compared to CMs with high MHC and non-smoker parents, those with low MHC and parent(s) who smoked had an RD of 28% (95% CI 20 36%). This was greater than the sum of RDs for those with low MHC and non-smoker parent(s) [7% (2 14%)] plus those with high MHC and whose parent(s) smoked [11% (7 15%)]. There was limited effect measure modification by moderate or High Moderate MHC. Conclusion: Improving MHC to moderate levels may help reduce intergenerational transference of smoking.</t>
  </si>
  <si>
    <t>SCOPUS_ID:84870504001</t>
  </si>
  <si>
    <t>10.1093/eurpub/ckr168</t>
  </si>
  <si>
    <t>A study of the prevalence of adverse events in primary healthcare in Spain</t>
  </si>
  <si>
    <t>Background: Healthcare practices involve risks for patients, but there has been little research to date on the occurrence of adverse events (AE) in primary care (PC). The frequency of AE in PC in Spain, the factors that contribute to their occurrence, their severity and their preventability, were analysed. Methods: Observational cross-sectional study was carried out in 48 PC centres in 16 regions of Spain. PC professionals were asked to assess whether the AE was caused by the healthcare or if it was an expectable consequence of the patient's underlying condition. A total of 452 healthcare professionals who attended 96 047 consultations were involved. Results: A total of 773 AE were identified, so that the point prevalence of AE was 0.8 [95 confidence interval (CI) 0.76-0.85]. A majority of AE (64.3) were considered preventable and only 5.9 were severe, usually related to medication [odds ratio (OR) = 4.6; 95 CI 2.1-10.3]. The most frequent causal factor of the AE was associated with medication (adverse drug reactions and medication errors), but problems in communication and management were at the root of many of the AE. Nurses reported more preventable AE (OR = 1.9; 95 CI 1.2-2.8). Conclusion: In spite of an AE being less damaging in PC, large numbers of patients and professionals suffer their consequences each year. An awareness of the magnitude and impact of AE is the first step on the road to the cultural change necessary for achieving safer healthcare. Â© 2011 The Author 2011.</t>
  </si>
  <si>
    <t>SCOPUS_ID:28444458101</t>
  </si>
  <si>
    <t>10.1136/jech.2005.036723</t>
  </si>
  <si>
    <t>Multilevel analysis of associations between socioeconomic status and injury among Canadian adolescents</t>
  </si>
  <si>
    <t>Study objective: To determine the contribution of individual and area level measures of socioeconomic status (SES) to the occurrence of various injury types among Canadian adolescents. Design and setting: Cross sectional Canadian data were used from two sources: (1) the 2001 /02 health behaviour in school aged children survey (individual level SES measures, injury measures), and (2) the 2001 Canada census of population (area level SES measures). Injury outcomes included: medically treated injury, injury hospitalisation, sport/recreational injury, and fighting injury. Multilevel logistic regression models were used to examine individual and area level SES measures as potential determinants of adolescent injury. Participants: 7235 students in grades 6-10 from 170 schools across Canada. Main results: Associations between SES and injury were identified for each injury outcome examined, although a clear direction of association was not present for the overall measure of medically treated injury. In general, lower SES was associated with increased risk for hospitalised and fighting injury. Higher SES was associated with increased risks for sport/recreational injury. Independent contributions of individual and area level measures of SES were seen for hospitalised and fighting injury. Conclusions: Associations between SES and adolescent injury exist; however, the direction of these relations becomes more apparent with particular indicators of SES and when homogenous injury outcomes are evaluated.</t>
  </si>
  <si>
    <t>SCOPUS_ID:33748073422</t>
  </si>
  <si>
    <t>10.1093/aje/kwj212</t>
  </si>
  <si>
    <t>Psychosocial determinants of coronary heart disease in middle-aged women: A prospective study in Sweden</t>
  </si>
  <si>
    <t>['Coronary disease', 'Social support', 'Socioeconomic factors', 'Workplace']</t>
  </si>
  <si>
    <t>A social gradient in coronary heart disease (CHD) has been documented in a variety of settings, predominantly among men. This study aimed to establish whether a social gradient in CHD existed in a group of Swedish women and whether it could be explained by established coronary risk factors or psychosocial factors. The Women's Lifestyle and Health Cohort Study includes 49,259 women from Sweden aged 30-50 years at baseline (1991-1992), when an extensive questionnaire was completed. There was complete follow-up through linkages to national registries until the end of 2002, during which time 210 cases of incident fatal CHD or nonfatal myocardial infarction occurred. Risk of CHD was significantly inversely related to years of education, the socioeconomic status proxy (hazard ratio comparing the lowest with the highest education group = 3.3, 95% confidence interval: 2.2, 4.7). This association was reduced after adjustment for established coronary risk factors (smoking, body mass index, alcohol consumption, diabetes, hypertension, exercise; hazard ratio = 1.9, 95% confidence interval: 1.3, 2.8). Job strain and social support were weakly related to CHD and did not explain the gradient by years of education. Self-rated health was strongly related to CHD, mediated by established coronary risk factors. Results show a strong gradient in CHD by years of education explained by established coronary risk factors but not by job strain or social support. Copyright Â© 2006 by the Johns Hopkins Bloomberg School of Public Health All rights reserved.</t>
  </si>
  <si>
    <t>SCOPUS_ID:43249095301</t>
  </si>
  <si>
    <t>10.1093/aje/kwn067</t>
  </si>
  <si>
    <t>Low workplace social capital as a predictor of depression</t>
  </si>
  <si>
    <t>['Cohort studies', 'Depression', 'Mental health', 'Psychology, social', 'Work']</t>
  </si>
  <si>
    <t>In a prospective cohort study of Finnish public sector employees, the authors examined the association between workplace social capital and depression. Data were obtained from 33,577 employees, who had no recent history of antidepressant treatment and who reported no history of physician-diagnosed depression at baseline in 2000-2002. Their risk of depression was measured with two indicators: recorded purchases of antidepressants until December 31, 2005, and self-reports of new-onset depression diagnosed by a physician in the follow-up survey in 2004-2005. Multilevel logistic regression analysis was used to explore whether self-reported and aggregate-level workplace social capital predicted indicators of depression at follow-up. The odds for antidepressant treatment and physician-diagnosed depression were 20-50% higher for employees with low self-reported social capital than for those reporting high social capital. These associations were not accounted for by sex, age, marital status, socioeconomic position, place of work, smoking, alcohol use, physical activity, and body mass index. The association between social capital and self-reported depression attenuated but remained significant after further adjustment for baseline psychological distress (a proxy for undiagnosed mental health problems). Aggregate-level social capital was not associated with subsequent depression. Â© 2008 The Authors.</t>
  </si>
  <si>
    <t>SCOPUS_ID:0028158971</t>
  </si>
  <si>
    <t>10.1136/jech.48.3.237</t>
  </si>
  <si>
    <t>Is living near a coking works harmful to health? A study of industrial air pollution</t>
  </si>
  <si>
    <t>Objective - To determine whether there was excess ill health in people living near a coking works, and if so whether it was related to exposure to coking works' emissions. Design - Populations varying in proximity to the coking works were compared with control populations. Health data were correlated with available environmental data. Methods - Analysis of routinely collected mortality, cancer registration, and birth statistics; community survey using self completed postal questionnaires; retrospective analysis of general practice (GP) records; tests of respiratory function; and analysis of available environmental data. Main results - Study and control populations were comparable in terms of response rates, gender, and most socioeconomic indicators. For adults, age standardised mortality and cancer rates of the population closest to the coking works were comparable with those for the district as a whole. Gender ratios, birthweight, and stillbirth rates were comparable in the study and control populations. For several indicators of respiratory health including cough, sinus trouble, glue ear, and wheeze (but not for asthma and chronic bronchitis) there was a gradient of self reported ill health, with the highest prevalence in areas closest to the works. For example, sinus trouble was reported by 20% of adults and 13% of children in the area closest to the works compared with 13% and 6% respectively in the control area. GP consultations for respiratory disorders increased when pollution (measured by SO2 levels) was high: annual consultation rates per 1000 varied from 752 in the top group of daily pollution levels to 424 in the bottom group. Analysis of locally collected smoke and SO2 data indicated that SO2 concentrations were highest closest to the works and, after closure of the coking works, the number of days on which SO2 and smoke levels exceeded 100 Î¼g/m3 and 90 Î¼g/m3, respectively, fell steeply. Conclusion - Routinely available indicators failed to provide convincing evidence that the coking works had harmed health. Self report and GP consultations indicated that respiratory ill health in the people living close to the works was worse than expected. Some of the excess probably resulted from exposure to coking works emissions. The health effects of relatively low level but intermittently high air pollution from a point source may be subtle, contributing to respiratory morbidity, but not apparent in analysis of routine health indicators.</t>
  </si>
  <si>
    <t>SCOPUS_ID:84876861425</t>
  </si>
  <si>
    <t>10.2105/AJPH.2012.300970</t>
  </si>
  <si>
    <t>An HIV prevention intervention for ethnically diverse men in substance abuse treatment: Pilot study findings</t>
  </si>
  <si>
    <t>Objectives: We determined the acceptability, participants' receptivity, and effectiveness of a culturally adapted version of Real Men Are Safe (REMAS-CA), an HIV prevention intervention for men in substance abuse treatment. Methods: In 2010 and 2011, we compared participants who attended at least 1 (of 5) REMAS-CA session (n = 66) with participants in the original REMAS study (n = 136). Participants completed an assessment battery at baseline and at 3-month follow-up with measures of substance abuse, HIV risk behaviors, perceived condom barriers, and demographics. We conducted postintervention focus groups at each clinic. Results: Minority REMAS-CA participants were more likely to have attended 3 or more sessions (87.0%), meeting our definition of intervention completion, than were minority participants in the REMAS study (75.1%; odds ratio = 2.1). For REMAS-CA participants with casual partners (n = 25), the number of unprotected sexual occasions in the past 90 days declined (6.2 vs 1.6). Among minority men in the REMAS study (n = 36), the number of unprotected sexual occasions with casual partners changed little (9.4 vs 8.4; relative risk = 4.56). Conclusions: REMAS-CA was effective across ethnic groups, a benefit for HIV risk reduction programs that serve a diverse clientele.</t>
  </si>
  <si>
    <t>SCOPUS_ID:85112659414</t>
  </si>
  <si>
    <t>10.1016/j.ypmed.2021.106760</t>
  </si>
  <si>
    <t>Trends in sexual orientation disparities in cigarette smoking: Intersections between race/ethnicity and sex</t>
  </si>
  <si>
    <t>['Cigarette smoking', 'Minority populations', 'Sexual orientation', 'US adults']</t>
  </si>
  <si>
    <t>Cigarette smoking is disproportionately high among sexual minority populations, but it is unclear whether these disparities exist among race/ethnicity subgroups. This study examined trends in sexual orientation disparities in cigarette smoking by race/ethnicity. Data are from the 2014â€“2019 Behavioral Risk Factor Surveillance System (N = 1,194,768). Trend analyses compared cigarette smoking by race/ethnicity (non-Hispanic White, non-Hispanic Black, Hispanic, non-Hispanic other) and sexual orientation (straight, lesbian or gay, bisexual, something else/don't know/refused). Multivariable analyses examined associations between sexual orientation and cigarette use for each race/ethnicity, controlling for other sociodemographic characteristics. Between 2014 and 2019, lesbian or gay, and bisexual populations consistently had higher smoking rates than straight populations, which held across race/ethnicity. Among non-Hispanic White adults, lesbians (OR = 1.51, 95% CI = 1.29, 1.76), bisexual females (OR = 1.56, 95% CI = 1.39, 1.75), gay (OR = 1.38, 95% CI = 1.22, 1.55), and bisexual males (OR = 1.22, 95% CI = 1.04, 1.43) had higher odds of smoking compared those self-identifying as straight. Among non-Hispanic Black adults, lesbians (OR = 1.90, 95% CI =1.33, 2.73) and bisexual females (OR = 1.85, 95% CI =1.42, 2.41) were more likely to currently smoke. Among Hispanic adults, those self-identifying as lesbian or gay (OR = 1.58, 95% CI = 1.19, 2.09) or bisexual (OR = 2.40, 95% CI = 1.88, 3.07) were more likely to currently smoke, though the associations were not significant in Hispanic males. Disparities in cigarette smoking by race/ethnicity and sexual orientation suggest that aggregating these groups mask important differences and limit efforts to target those most at risk.</t>
  </si>
  <si>
    <t>SCOPUS_ID:78650896445</t>
  </si>
  <si>
    <t>10.2105/AJPH.2009.184895</t>
  </si>
  <si>
    <t>Health care capacity and allocations among South Africa's provinces: Infrastructure-inequality traps after the end of apartheid</t>
  </si>
  <si>
    <t>Objectives: We assessed the determinants of health care funding allocations among South Africa's provinces and their effects on health care from 1996 through 2007. Methods: We performed multivariate regression of funding allocation data against measures of disease burden and health system infrastructure by province. Results. Disease burden was increasingly negatively correlated with funding allocations and explained less than one quarter of the variation in allocations among provinces. Nearly three quarters of the variation in allocations was explained by preexisting hospital infrastructure and health care workers. The density of private hospitals in the preceding year was associated with greater government allocations (bprivate=0.12; 95% confidence interval [CI]=0.08, 0.15), but public hospital density in the preceding year was not (bpublic=0.05; 95% CI=- 0.02, 0.11). Greater allocations were associated with a higher number of doctors (b=0.54; 95% CI=0.34, 0.75) but fewer nurses (b=-0.37; 95% CI=-0.72,-0.25) in the same year. Conclusions. Regions with a greater capacity to spend funds received more funding and created more infrastructure than those with greater health needs. Historical infrastructure inequalities may have created an infrastructure- inequality trap, in which the distribution of funds to those with greater "absorptive capacity" exacerbates inequalities.</t>
  </si>
  <si>
    <t>SCOPUS_ID:84862566949</t>
  </si>
  <si>
    <t>10.2105/AJPH.2011.300319</t>
  </si>
  <si>
    <t>Evaluating the safety effects of bicycle lanes in New York City</t>
  </si>
  <si>
    <t>Objectives: We evaluated the effects of on-street bicycle lanes installed prior to 2007 on different categories of crashes (total crashes, bicyclist crashes, pedestrian crashes, multiple-vehicle crashes, and injurious or fatal crashes) occurring on roadway segments and at intersections in New York City. Methods: We used generalized estimating equation methodology to compare changes in police-reported crashes in a treatment group and a comparison group before and after installation of bicycle lanes. Our study approach allowed us to control confounding factors, such as built environment characteristics, that cannot typically be controlled when a comparison group is used. Results: Installation of bicycle lanes did not lead to an increase in crashes, despite the probable increase in the number of bicyclists. The most likely explanations for the lack of increase in crashes are reduced vehicular speeds and fewer conflicts between vehicles and bicyclists after installation of these lanes. Conclusions: Our results indicate that characteristics of the built environment have a direct impact on crashes and that they should thus be controlled in studies evaluating traffic countermeasures such as bicycle lanes. To prevent crashes at intersections,we recommend installation of "bike boxes" and markings that indicate the path of bicycle lanes across intersections.</t>
  </si>
  <si>
    <t>SCOPUS_ID:0026785978</t>
  </si>
  <si>
    <t>10.1136/jech.46.5.537</t>
  </si>
  <si>
    <t>Is questionnaire information valid in the study of a chronic disease such as diabetes? The Nord-Trondelag Diabetes Study</t>
  </si>
  <si>
    <t>Study objective - The aim was to validate information about diabetes mellitus collected by questionnaire in a large epidemiological survey. Design - Questions on diabetes diagnosis, medical treatment for diabetes, diabetes duration, and hypertension treatment were selected from the Nord-Trondelag health survey questionnaires. One of the municipalities was selected for the validation study. Setting - The health survey 1984-86 addressed all inhabitants â‰¥20 years of age in Nord-Trondelag county, Norway; 76 885 (90.3%) of the eligible population participated in answering the question on diabetes. Participants - All inhabitants in the municipality answering 'yes' to the question on diabetes (n = 169) and the persons with the same sex born closest before and after each diabetic patient and answering 'no' to the diabetes question (n = 338) were included. Measurements and main results - A very thorough search was made in the medical files of the general practitioners in the municipality for corresponding information. Compared to the files, diabetes was verified in 163 out of the 169. The commonest cause of discrepancy was renal glycosuria. One out of the 338 registered nondiabetic persons was found to have diabetes. Diabetic patients tended to overestimate diabetes duration significantly. Insulin treatment was verified in 19/20 (95%) and treatment with oral hypoglycaemic agents in all 44 with an affirmative questionnaire answer. A negative answer on insulin and oral hypoglycaemic agents was verified in 100% and 99% respectively. Conclusions - The concordance was considerably higher than in a comparable Norwegian study performed 10 years earlier. Patient administered questionnaires may be a very reliable source of information for epidemiological purposes in a well defined chronic disease such as diabetes mellitus.</t>
  </si>
  <si>
    <t>SCOPUS_ID:84955558532</t>
  </si>
  <si>
    <t>10.1097/eDe.0000000000000447</t>
  </si>
  <si>
    <t>Anthropometry-based obesity phenotypes and risk of colorectal adenocarcinoma a large prospective cohort study in Norway</t>
  </si>
  <si>
    <t>Background: it is unclear whether obesity phenotypes measured by different anthropometric indices are associated with a risk of colorectal adenocarcinoma by anatomical location. Methods: We compiled harmonized population-based cohort studies (cohort of Norway, cOnOr) with 143,477 participants that were conducted between 1994 and 2010. general, abdominal, and gluteofemoral obesity were assessed by body mass index (BMi, kg/m2), waist circumference (cm), and hip circumference (cm). Other measures examined were waist to hip ratio, waist to height ratio, and body adiposity index. We performed cox proportional hazards regression to estimate hazard ratios (Hrs) and 95% con-fidence intervals (cis) of obesity relative to a risk of colorectal adenocarcinoma. Results: in total, 2,044 incident cases of colorectal adenocarcinoma were identified. We observed a positive association between waist circumference (high versus low) and adenocarcinoma in the proximal colon (Hr = 1.9, 95% ci = 1.5, 2.5) and distal colon (Hr = 1.7, 95% ci = 1.3, 2.3) when adjusted for BMi. the association with waist circumference was especially strong in men. BMi was not associated with adenocarcinoma in the colon or rectum after adjusting for waist circumference. We found no association between hip circumference and colorectal adenocarcinoma. When adjusted for BMi plus waist circumference, body adiposity index was negatively associated with adenocarcinoma in the proximal or distal colon. Conclusion: abdominal obesity, but not general or gluteofemoral obesity, was associated with an increased risk of adenocarcinoma in the proximal and the distal colon, especially in men. Muscularity may be negatively associated with risk of colon adenocarcinoma.</t>
  </si>
  <si>
    <t>SCOPUS_ID:85128834656</t>
  </si>
  <si>
    <t>10.2105/AJPH.2021.306695</t>
  </si>
  <si>
    <t>Governing Global Antimicrobial Resistance: 6 Key Lessons from the Paris Climate Agreement</t>
  </si>
  <si>
    <t>Antimicrobial resistance (AMR) is among the most urgent global health challenges of our time. AMR can develop with each use of an antimicrobial, regardless of the setting. The ongoing use of the same antimicrobials across sectors and the ability of microbes to transfer among people, animals, food, and environments; spread across borders through global trade and travel; and bring entire economies to a halt means that every antimicrobial consumed has global implications. Some microbes have already developed resistance to all known antimicrobials, meaning previously curable diseases have become untreatable. If immediate action is not taken, the effectiveness of these vital medicines will continue to diminish, further undermining modern medicine's ability to treat infectious diseases and perform essential medical procedures.1 The global spread of severe acute respiratory syndrome coronavirus 2 (SARS-CoV-2) and its variants that cause COVID-19 has sparked new discussions on the need for an international pandemic treaty,2 presenting a unique opportunity to reflect on AMR as one pathway through which new crossborder global health threats emerge. Similar to zoonoses such as COVID-19, AMR can lead to untreatable infectious diseases in humans with the potential to become deadly pandemics. AMR diminishes the global common pool of antimicrobial effectiveness - a nonexcludable but rivalrous resource - meaning that maintaining the viability of antimicrobial therapy is a global common-pool resource challenge.3 Overcoming this challenge will require global mechanisms to coordinate interests and investments, limit free riding, and steer cooperation toward preserving the common pool. This aspect of AMR enables us to draw lessons from other common-pool resource challenges, such as climate change, in building collective action to target the pathways by which AMR may emerge, maximize the antimicrobial commons for everyone's benefit, and avoid further descending into this tragedy-ofthe-commons scenario. Building global collective action while accommodating varying national circumstances is a monumental but, in our view, achievable task. The 2015 Paris Agreement under the United Nations Framework Convention on Climate Change, for example, successfully mobilized substantial collective action to protect a shared global commonpool resource similar enough to antimicrobial effectiveness that it can provide lessons for advancing global action in this area. While countries struggle to meet their specific climate targets, the Paris Agreement has stimulated global cooperation by engaging countries in an ongoing effort to mitigate greenhouse gas emissions and adapt to the impacts of climate change. AMR lacks an equivalent global vehicle for building cooperation and would benefit from a Paris Agreement-style coordinating structure. The Paris Agreement offers 6 key lessons relevant to managing the global antimicrobial commons (Table 1).</t>
  </si>
  <si>
    <t>SCOPUS_ID:34547806254</t>
  </si>
  <si>
    <t>10.1016/j.ypmed.2006.04.011</t>
  </si>
  <si>
    <t>Prevalence of leisure-time physical activity in Taiwanese adults: Results of four national surveys, 2000-2004</t>
  </si>
  <si>
    <t>['Asian', 'Cross-sectional survey', 'Exercise', 'National survey', 'Taiwan']</t>
  </si>
  <si>
    <t>Objectives.: Literature on the prevalence of physical activity in Asian countries is limited, despite evidence of increasing rates of sedentary-related disease such as obesity and diabetes. It is important to establish nationally representative data in countries such as Taiwan to set up levels and patterns of activity and to inform health policy. Methods.: Unpublished data from four cross-sectional nationally representative surveys comprising 29,226 people aged 20 and older were analyzed. We explored the population prevalence of meeting national recommendations for health, examined temporal change across a 4-year period, and attempted comparisons with neighboring Asian and selected westernized countries. Logistic regression analysis provided adjusted odds ratios of physical activity engagement for several demographic variables. Results.: Around 14% of Taiwanese adults met national recommendations. Similar to other Asian countries, but in contrast to declines with age seen in western populations, people aged 45 and older were more likely to be active than younger people. High-risk groups for inactivity were those aged 20-44 with limited formal education and in paid employment. Conclusions.: Overall prevalence in leisure-time physical activity was low. There is scope to increase active leisure for improving health, particularly among younger adults. Â© 2006 The Institute For Center Prevention.</t>
  </si>
  <si>
    <t>SCOPUS_ID:0031806607</t>
  </si>
  <si>
    <t>10.1097/00001648-199807000-00013</t>
  </si>
  <si>
    <t>Mortality of aerospace workers exposed to trichloroethylene</t>
  </si>
  <si>
    <t>['Aerospace workers', 'Cancer', 'Cohort study', 'Healthy worker effect', 'Respiratory disease', 'Trichloroethylene']</t>
  </si>
  <si>
    <t>We measured mortality rates in a cohort of 20,508 aerospace workers who were followed up over the period 1950-1993. A total of 4,733 workers had occupational exposure to trichloroethylene. In addition, trichloroethylene was present in some of the washing and drinking water used at the work site. We developed a job-exposure matrix to classify all jobs by trichloroethylene exposure levels into four categories ranging from 'none' to 'high' exposure. We calculated standardized mortality ratios for the entire cohort and the trichloroethylene-exposed subcohort. In the standardized mortality ratio analyses, we observed a consistent elevation for nonmalignant respiratory disease, which we attributable primarily to the higher background rates of respiratory disease in this region. We also compared trichloroethylene- exposed workers with workers in the 'low' and 'none' exposure categories. Mortality rate ratios for nonmalignant respiratory disease were near or less than 1.00 for trichloroethylene exposure groups. We observed elevated rate ratios for ovarian cancer among those with peak exposure at medium and high levels [relative risk (RR) = 2.74; 95% confidence interval (CI) - 0.84-8.99] and among women with high cumulative exposure (RR = 7.09; 95% CI = 2.14- 23.54). Among those with peak exposures at medium and high levels, we observed slightly elevated rate ratios for cancers of the kidney (RR = 1.89; 95% CI = 0.85-4.23), bladder (RR = 1.41; 95% CI = 0.85-2.55). Our findings do not indicate an association between trichloroethylene exposure and respiratory cancer, liver cancer, leukemia or lymphoma, or all cancers combined.</t>
  </si>
  <si>
    <t>SCOPUS_ID:85114120211</t>
  </si>
  <si>
    <t>10.2105/AJPH.2021.306271</t>
  </si>
  <si>
    <t>Action Health NYC: Effectiveness of a Health Care Access Program for the Uninsured, 2016-2017</t>
  </si>
  <si>
    <t>Objectives. To evaluate the effectiveness of a novel health care access program (ActionHealthNYC) for uninsured immigrants. Methods. The evaluation was conducted as a randomized controlled trial in New York City from May 2016 through June 2017. Using baseline and follow-up survey data, we assessed health care access, patient experience, and health status. Results. At baseline, 25% of participants had a regular source of care; two thirds had visited a doctor in the past year and reported 2.5 visits in the past 12 months, on average. Nine to 12 months later, intervention participants were 1.2 times more likely to report having a primary care provider (58% vs 46%), were 1.2 times more likely to have seen a doctor in the past 9 months (91% vs 77%), and had 1.5 times more health care visits (4.1 vs 2.9) compared with control participants. Conclusions. ActionHealthNYC increased health care access among program participants.</t>
  </si>
  <si>
    <t>SCOPUS_ID:84958775518</t>
  </si>
  <si>
    <t>10.1007/s10654-016-0129-7</t>
  </si>
  <si>
    <t>Analgesic use and the risk of primary adult brain tumor</t>
  </si>
  <si>
    <t>['Aspirin', 'Caseâ€“control study', 'Epidemiology', 'Glioblastoma', 'Glioma', 'Nonsteroidal anti-inflammatory agents', 'Prevention', 'Risk']</t>
  </si>
  <si>
    <t>Glioma and meningioma are uncommon tumors of the brain with few known risk factors. Regular use of aspirin has been linked to a lower risk of gastrointestinal and other cancers, though evidence for an association with brain tumors is mixed. We examined the association of aspirin and other analgesics with the risk of glioma and meningioma in a large US caseâ€“control study. Cases were persons recently diagnosed with glioma or meningioma and treated at medical centers in the southeastern US. Controls were persons sampled from the same communities as the cases combined with friends and other associates of the cases. Information on past use of analgesics (aspirin, other anti-inflammatory agents, and acetaminophen) was collected in structured interviews. Logistic regression was used to estimate odds ratios (ORs) and 95Â % confidence intervals (CIs) for analgesic use adjusted for potential confounders. All associations were considered according to indication for use. A total of 1123 glioma cases, 310 meningioma cases and 1296 controls were included in the analysis. For indications other than headache, glioma cases were less likely than controls to report regular use of aspirin (OR 0.69; CI 0.56, 0.87), in a dose-dependent manner (P trendÂ &lt;Â 0.001). No significant associations were observed with other analgesics for glioma, or any class of pain reliever for meningioma. Results suggest that regular aspirin use may reduce incidence of glioma.</t>
  </si>
  <si>
    <t>SCOPUS_ID:0025079087</t>
  </si>
  <si>
    <t>10.2105/AJPH.80.9.1127</t>
  </si>
  <si>
    <t>Predictors of vaccination behavior among persons ages 65 years and older</t>
  </si>
  <si>
    <t>We estimated influenza vaccination coverage of 32 percent among persons 65 years of age and older from the 1987 Behavioral Risk Factor Surveillance System survey. Race other than White, obesity, lack of seatbelt use, and current smoking were associated with decreased likelihood of having been vaccinated. Controlling for these factors, the best predictor of having received influenza vaccination was having had a medical checkup within the last year (Odds Ratio = 2.40, 95% confidence interval = 1.84, 3.14).</t>
  </si>
  <si>
    <t>SCOPUS_ID:85057877926</t>
  </si>
  <si>
    <t>10.1136/jech-2018-211107</t>
  </si>
  <si>
    <t>Influence of chronic diseases on societal participation in paid work, volunteering and informal caregiving in Europe: A 12-year follow-up study</t>
  </si>
  <si>
    <t>['chronic disease', 'Europe', 'hybrid model', 'informal care', 'longitudinal', 'paid work', 'volunteer activities']</t>
  </si>
  <si>
    <t>Background This study aims to provide insight into (1) the associations between having a chronic disease and participation in paid work, volunteer activities or informal care, (2) the associations between the onset of a chronic disease and these forms of societal participation, and (3) whether these associations differ across educational level and gender. Methods The study population consisted of n=21 875 respondents of the Survey of Health, Ageing and Retirement in Europe aged between 50 years and the country-specific retirement age. The influence of having and the onset of a chronic disease on societal participation was analysed using a hybrid Poisson regression model, combining fixed and random effects, and presented by relative risks (RRs). Results Individuals with a chronic disease were less likely to participate in paid work (RR: 0.69; 95% CI 0.67 to 0.71) and volunteer activities (RR: 0.92; 95% CI 0.88 to 0.97), but more likely to give informal care (RR: 1.05; 95% CI 1.01 to 1.08). Onset of a chronic disease was associated with a higher likelihood to quit paid work (RR: 0.91; 95% CI 0.86 to 0.97) and to give informal care (RR: 1.08; 95% CI 1.01 to 1.16). Lower educated individuals with a chronic disease or with the onset of a chronic disease were less likely to have paid work than higher educated individuals. Conclusion Individuals with a chronic disease were less likely to participate in paid work and volunteer activities, and more likely to provide informal care. Educational inequalities were present for paid work. More insight into which factors hinder societal participation among individuals with a chronic disease is needed.</t>
  </si>
  <si>
    <t>SCOPUS_ID:77950858701</t>
  </si>
  <si>
    <t>10.1007/s10654-010-9443-7</t>
  </si>
  <si>
    <t>Caffeine intake during pregnancy, late miscarriage and stillbirth</t>
  </si>
  <si>
    <t>['Caffeine', 'Miscarriage', 'Still birth']</t>
  </si>
  <si>
    <t>Caffeine is a commonly consumed drug during pregnancy with the potential to affect the developing fetus. Findings from previous studies have shown inconsistent results. We recruited a cohort of 2,643 pregnant women, aged 18-45 years, attending two UK maternity units between 8 and 12 weeks gestation from September 2003 to June 2006. We used a validated tool to assess caffeine intake at different stages of pregnancy and related this to late miscarriage and stillbirth, adjusting for confounders, including salivary cotinine as a biomarker of smoking status. There was a strong association between caffeine intake in the first trimester and subsequent late miscarriage and stillbirth, adjusting for confounders. Women whose pregnancies resulted in late miscarriage or stillbirth had higher caffeine intakes (geometric mean = 145 mg/day; 95% CI: 85-249) than those with live births (103 mg/day; 95% CI: 98-108). Compared to those consuming &lt; 100 mg/day, odds ratios increased to 2.2 (95% CI: 0.7-7.1) for 100-199 mg/day, 1.7 (0.4-7.1) for 200-299 mg/day, and 5.1 (1.6-16.4) for 300+ mg/day (P trend = 0.004). Greater caffeine intake is associated with increases in late miscarriage and stillbirth. Despite remaining uncertainty in the strength of association, our study strengthens the observational evidence base on which current guidance is founded. Â© 2010 Springer Science+Business Media B.V.</t>
  </si>
  <si>
    <t>SCOPUS_ID:19544379025</t>
  </si>
  <si>
    <t>10.1093/aje/kwi136</t>
  </si>
  <si>
    <t>Role of goiter and of menstrual and reproductive factors in thyroid cancer: A population-based case-control study in New Caledonia (South Pacific), a very high incidence area</t>
  </si>
  <si>
    <t>['Case-control studies', 'Goiter', 'Menarche', 'Menopause', 'New Caledonia', 'Pregnancy', 'Thyroid neoplasms']</t>
  </si>
  <si>
    <t>Exceptionally high incidence rates of thyroid cancer have been reported for Melanesien women in New Caledonia (South Pacific). To investigate the occurrence of thyroid cancer in that country and to clarify the role of goiter and hormonal factors in that disease in women, a countrywide population-based case-control study was conducted in 1993-1999. The study included 293 cases, identified through pathology registers and whose thyroid cancer was verified histologically, and 354 population controls. Thyroid cancer was associated with goiter, age at menarche, irregular menstruation, and hysterectomy. There was a dose-response trend with number of full-term pregnancies (p = 0.01), with an odds ratio of 2.2 (95% confidence interval: 1.1, 4.3) for women with eight or more pregnancies. Miscarriage, particularly as an outcome of the first pregnancy, was also indicated as a risk factor. The association between voluntary abortion and thyroid microcarcinoma could be explained by enhanced medical surveillance and improved cancer detection in women undergoing abortion. Oral contraceptives and hormone replacement therapy were unrelated to thyroid cancer. The very high birth rate among Melanesien women in New Caledonia, as well as late age at menarche, may explain, in part, their elevated incidence of thyroid cancer. Copyright Â© 2005 by the Johns Hopkins Bloomberg School of Public Health. All rights reserved.</t>
  </si>
  <si>
    <t>New Caledonia</t>
  </si>
  <si>
    <t>SCOPUS_ID:84859797546</t>
  </si>
  <si>
    <t>10.1093/eurpub/ckq144</t>
  </si>
  <si>
    <t>Iron deficiency anaemia prevalence in a population of immigrated women in Italy</t>
  </si>
  <si>
    <t>Background: Martial deficiency and sideropenic anaemia are the most diffused deficiency pathologies in the world. WHO recommends preventive screening of the new immigrant population. No epidemiological data exist on its prevalence among migrant population in Italy. Methods: A transversal study was conducted at San Gallicano Hospital in Rome through laboratory screening on 821 migrant women and interviews on a sub-sample of 550 women (including socio-demographic, anamnestic and nutritional information). Results: The complete sub-sample (laboratory results and questionnaire) shows a 20.5% [95% confidence interval (CI) 16.8-24.3] prevalence of anaemia and a 22.7% (95% CI 18.9-26.6) prevalence of sideropenia. Sideropenic anaemia was found in 11.5% (95% CI 8.5-14.4) of cases. Results are similar in the rest of the sample. There is significant association between anaemia and the clinical conditions of haemorrhoids [odds ratio (OR) 3.8; P&lt;0.000], hypermenorrhoea (OR 3.3; P&lt;0.000) and metrorrhagia (OR 5.9; P&lt;0.000). Africans were found to be at highest risk of anaemia (OR 5.5; P&lt;0.000). Feeding habits have a milder effect. Unemployed and low educated people are more likely to be affected by non-iron deficiency anaemia. Conclusion: The observed prevalence of sideropenia and sideropenic anaemia is much greater than what the scientific literature reports for Western populations. Pathologies inducing bleeding and the country of origin (i.e. genetic factors, pre-existing conditions) appear to be associated with anaemia. Nutritional factors are less important because of an adequate nutritional income. Prevention programmes should then aim at screening larger samples for improving the access of migrants to health-care services. Â© The Author 2011. Published by Oxford University Press on behalf of the European Public Health Association. All rights reserved.</t>
  </si>
  <si>
    <t>SCOPUS_ID:84877888738</t>
  </si>
  <si>
    <t>10.1016/j.amepre.2013.01.026</t>
  </si>
  <si>
    <t>School soft drink availability and consumption among U.S. secondary students</t>
  </si>
  <si>
    <t>Background: Consumption of sugar-sweetened beverages (SSBs) such as soft drinks has been associated with significantly increased energy intake and body weight. One strategy used to reduce soft drink consumption among adolescents has been reducing availability in schools; however, research is limited on associations between availability of soft drinks in school and student consumption. Purpose: This study examines associations between regular and diet soft drink availability in schools and student consumption using data from 329 secondary schools and 9284 students. Methods: Data were obtained from two sources: (1) nationally representative cross-sectional samples of students in Grades 8, 10, and 12 from U.S. public and private schools in 2010 and 2011 in the Monitoring the Future study and (2) administrators of the same schools in the Youth, Education, and Society study. Multilevel modeling conducted in 2012 examined associations between school availability and student consumption controlling for student sociodemographics and school characteristics. Results: In the total sample of more than 9000 students, regular and diet soft drink availability in school was not related to student consumption of these beverages in multivariate models. Yet, among African-American high school students, school regular and diet soft drink availability was significantly related to higher daily consumption (both before and after controlling for student and school factors). Conclusions: Although removal of soft drinks from schools may not result in significantly lower overall student consumption, such actions may result in significant decreases in soft drink consumption for specific student groups. Â© 2013 American Journal of Preventive Medicine.</t>
  </si>
  <si>
    <t>SCOPUS_ID:26444460834</t>
  </si>
  <si>
    <t>10.1093/ije/dyi105</t>
  </si>
  <si>
    <t>Consequences of different diagnostic 'gold standards' in test accuracy research: Carpal Tunnel Syndrome as an example</t>
  </si>
  <si>
    <t>['Carpal tunnel syndrome', 'Reference standards', 'ROC curve', 'Sensitivity and specificity', 'Ultrasonography']</t>
  </si>
  <si>
    <t>Test accuracy studies assume the existence of a well-defined illness definition and clear-cut diagnostic gold standards or reference standards. However, in clinical reality illness definitions may be vague or a mere description of a set of manifestations, mostly clinical signs and symptoms. This can lead to disagreements among experts about the correct classification of an illness and the adequate reference standard. Using data from a diagnostic accuracy study in carpal tunnel syndrome, we explored the impact of different definitions on the estimated test accuracy and found that estimated test performance characteristics varied considerably depending on the chosen reference standard. In situations without a clear-cut illness definition, randomized controlled trials may be preferable to test accuracy studies for the evaluation of a novel test. These studies do not determine the diagnostic accuracy, but the clinical impact of a novel test on patient management and outcome. Â© The Author 2005; all rights reserved.</t>
  </si>
  <si>
    <t>SCOPUS_ID:4544242415</t>
  </si>
  <si>
    <t>10.1093/aje/kwh263</t>
  </si>
  <si>
    <t>Comparability of skin screening histories obtained by telephone interviews and mailed questionnaires: A randomized crossover study</t>
  </si>
  <si>
    <t>['Cross-over studies', 'Data collection', 'Mass screening', 'Melanoma', 'Randomized controlled trials', 'Skin']</t>
  </si>
  <si>
    <t>The comparability of information collected through telephone interviews and information collected through mailed questionnaires has not been well studied. As part of the first phase of a randomized controlled trial of population screening for melanoma in Queensland, Australia, the authors compared histories of skin examination reported in telephone interviews and self-administered mailed questionnaires. A total of 1,270 subjects each completed a telephone interview and a mailed questionnaire 1 month apart in 1999; 564 subjects received the interview first, and 706 received the mailed questionnaire first. Agreement between the two methods was 91.2% and 88.6% for whole-body skin examination by a physician in the last 12 months and the last 3 years, respectively, and 81.9% for whole-body skin self-examination in the last 12 months. Agreement was lower for "any" skin self-examination. Agreement between the two methods was similar regardless of whether the interview or the questionnaire was administered first. Missing data were less frequent for interviews (0.5%) than for mailed questionnaires (3.8%). Costs were estimated at A$9.55 (US$6.21) per completed interview and A$3.01 (US$1.96) per questionnaire. The similarity of results obtained using telephone interviews and mailed questionnaires, coupled with the substantially higher cost of telephone interviews, suggests that self-administered mailed questionnaires are an appropriate method of assessing this health behavior.</t>
  </si>
  <si>
    <t>SCOPUS_ID:0030939581</t>
  </si>
  <si>
    <t>10.1006/pmed.1996.9986</t>
  </si>
  <si>
    <t>Sunbed use in Swedish urban adolescents related to behavioral characteristics</t>
  </si>
  <si>
    <t>['lifestyle', 'self-esteem', 'social learning', 'sunbed', 'value expectancy']</t>
  </si>
  <si>
    <t>Background. Sunbed use among Swedish adolescents has not been extensively studied, nor has the social learning process associated with it. The purpose of this study was to explore Swedish adolescents' sunbed use in relation to sex, age, smoking, perceived physical attractiveness, attitudes to artificial and natural UV exposure, psychosomatic symptoms, and risk knowledge. Methods. In the spring of 1993, 60 school classes comprising 1,502 students ages 14-19 were randomly selected to answer a questionnaire concerning sunbed use and sunbathing habits, smoking, perceived physical attractiveness, psychosomatic symptoms, and need for information about and knowledge of the risks of UV exposure. Results. Of 1,252 respondents, 57% had used sunbeds (females 70%, males 44%) â‰¤ four times during the previous year. A marked increase (P &lt; 0.001) in both sunbed use and smoking was detected between the 8th and the 9th grade (at ages 14-15). Sunbed use was also significantly correlated with sex, age, excessive tanning in natural sunlight, and low perceived physical attractiveness. The need for information on risks of high UV exposure was greatest among the best informed students and among students with high UV exposure (sunbed use, excessive tanning in natural sunlight). Conclusions. It seems doubtful whether further information on UV risks would result in altered behavior among highly exposed students, who seem receptive to information and have good knowledge. For a better understanding of the mechanisms underlying the association between sunbed use, smoking, and self-esteem, more in-depth, qualitative studies are required.</t>
  </si>
  <si>
    <t>SCOPUS_ID:85204379014</t>
  </si>
  <si>
    <t>10.1136/jech-2023-221761</t>
  </si>
  <si>
    <t>Frailty index is an independent predictor of all-cause and cardiovascular mortality in Eastern Europe: a multicentre cohort study</t>
  </si>
  <si>
    <t>Background This study investigates the association between frailty and mortality in Eastern European populations, which remains largely unexplored compared with Western Europe. The aim is to assess the risk of all-cause and cardiovascular mortality associated with varying levels of frailty. Methods A prospective multicentre cohort study was conducted, involving random population samples from the Czech Republic, Poland and Lithuania. The baseline survey (2002-2005) included 26 746 individuals aged 45-69 years, with an average follow-up of 13 years. Frailty was measured using a Comprehensive Geriatric Assessment (CGA)-based Frailty Index (FI), calculating the number of deficits in each domain. Cox proportional regression models and inverse probability weighting (IPW) were employed to account for risk factor differences among the frailty groups: robust, prefrail, mild, moderate and severe. Results The study included 14 287 people, among whom 891 were frail, with a total of 2402 deaths. Compared with non-frail persons, those with mild (IPW HR 2.06, 95% CI 1.60 to 2.66) and severe (IPW HR 2.71, 95% CI 1.45 to 5.07) frailty had more than twofold elevated risk of all-cause mortality. For cardiovascular mortality, the corresponding HRs were (IPW HR 3.05, 95% CI 2.14 to 4.35) and (IPW HR 3.88, 95% CI 1.95 to 7.74). Men exhibited a higher mortality risk at all frailty levels only in unweighted analysis. Country-specific differences were not significant. Conclusions A CGA-based FI is an independent predictor of all-cause and cardiovascular mortality, with even mild frailty increasing the risk. Implementing frailty assessments can improve health risk prediction in older adults from Eastern Europe.</t>
  </si>
  <si>
    <t>Lithuania</t>
  </si>
  <si>
    <t>SCOPUS_ID:85046443612</t>
  </si>
  <si>
    <t>10.1016/j.ypmed.2018.04.032</t>
  </si>
  <si>
    <t>Lack of community-oriented policing practices partially mediates the relationship between racial residential segregation and â€œblack-on-blackâ€ homicide rates</t>
  </si>
  <si>
    <t>['Black-on-black', 'Intraracial crime', 'Minority health', 'Residential segregation', 'Social determinants of health']</t>
  </si>
  <si>
    <t>Although black-white racial residential segregation in the US has continued to decline, blacks still experience greater levels of segregation than other racial groups. The present study examined whether a lack of community policing practices in 2012 mediated the relationship between racial segregation in 2010 and intraracial (i.e., â€œblack-onblackâ€) homicides in 2013. We collected incorporated-place-level secondary data from several sources and performed mediation analysis to test relationships among variables. Consistent with previous research, higher levels of segregation were associated with higher intraracial homicide rates; however, the effect was mediated by lack of community policing efforts. Specifically, our findings suggest that lack of community policing practices might explain 13% of the relationship between black-white residential segregation and intraracial homicide. Given the history and complexity of racial residential segregation in the US, one immediate measure by which policymakers might improve health in segregated places is the implementation and expansion of community policing initiatives.</t>
  </si>
  <si>
    <t>SCOPUS_ID:0035723974</t>
  </si>
  <si>
    <t>10.1023/A:1014586129113</t>
  </si>
  <si>
    <t>Use of multiple correspondence analysis and cluster analysis to study dietary behaviour: Food consumption questionnaire in the SU.VI.MAX. cohort</t>
  </si>
  <si>
    <t>['Cluster analysis', 'Dietary patterns', 'Food consumption habits', 'Food frequency questionnaire', 'Multiple correspondence analysis', 'Nutritional epidemiology']</t>
  </si>
  <si>
    <t>Although the effects of individual foods or nutrients on the development of diseases and their risk factors have been investigated in many studies, little attention has been given to the effect of overall dietary patterns. The main objectives of this study were to identify dietary patterns and groups of subjects with similar food consumption habits, i.e. 'dietary profiles', using multiple correspondence analysis and cluster analysis. A food frequency questionnaire was sent to a large population-based sample (2923 women and 2180 men), recruited among the 'SUpplÃ©mentation en VItamines et MinÃ©raux AntioXydants' (SU.VI.MAX.) cohort participants in France. The food items were dichotomised in order to focus the study on the highest levels of consumption. Multiple correspondence analysis allows the construction of principal components, which optimally summarise the data, and enables the construction of graphical displays. An interesting property of these graphical displays is that associations between food items can be observed on various projection planes, each category of each food item being located at the centre of gravity of the subjects corresponding to this category. An ascending hierarchical classification was unsuccessfully tried in order to determine clusters from these principal components. Therefore, a 'dissection' of the cloud of points was performed according to the orientation of the axes, providing a readily interpretable eight-dietary profiles typology for each sex. This statistical approach allows identification of particular dietary patterns and dietary profiles, which might be more appropriate in studies of diet-disease associations than the single food or nutrient approach that has dominated past epidemiological research.</t>
  </si>
  <si>
    <t>SCOPUS_ID:0027253382</t>
  </si>
  <si>
    <t>10.1093/ije/22.2.294</t>
  </si>
  <si>
    <t>The aetiology and risk factors for warts among poultry processing workers</t>
  </si>
  <si>
    <t>We conducted an investigation at a poultry processing plant in New Zealand to estimate the prevalence of warts among workers and the risk of developing warts associated with specific work areas or individual work practices. We obtained information on demographic characteristics and self-reported medical and occupational histories from 88 (83%) of 106 permanent employees at the plant; almost half (39 people or 44%) had developed wart-like lesions on their arms or hands after they began working at this plant. We also conducted clinical evaluations of 28 of the 32 (88%) people with wart-like lesions at the time of the investigation; in all but one case, a diagnosis of warts was confirmed. We collected scrapings of warts from 22 (79%) people and identified human papillomavirus (HPV) type 7, which is reportedly uncommon in the general public, in 12 of these specimens. People working at the time of their interview in areas where they often handled dead, raw, unfrozen chickens were three times more likely to have developed warts (Odds ratio [OR] = 3.0, 95% confidence interval [Cl]: 1.2-8.0); for those who had ever worked in these 'high-risk' areas, this excess risk almost doubled (OR = 5.6, 95% Cl: 2.1-14.7). Nine of the 12 (75%) people with HPV type 7 had worked in these areas at some time. In contrast to previous reports, we found no increased risk of having warts associated with environmental factors or the frequency of cuts and abrasions. Precautions to prevent infection with HPV and to limit spread might include having workers in identified high-risk areas (especially people with wart-like lesions) wear vinyl/rubber gloves, if practical. Â© 1993 International Epidemiological Association.</t>
  </si>
  <si>
    <t>SCOPUS_ID:84867537641</t>
  </si>
  <si>
    <t>10.2105/AJPH.2012.300816</t>
  </si>
  <si>
    <t>Type A behavior pattern and coronary heart disease: Philip Morris's "crown jewel"</t>
  </si>
  <si>
    <t>The type A behavior pattern (TABP) was described in the 1950s by cardiologists Meyer Friedman and Ray Rosenman, who argued that TABP was an important risk factor for coronary heart disease. This theory was supported by positive findings from the Western Collaborative Group Study and the Framingham Study. We analyzed tobacco industry documents to show that the tobacco industry was a major funder of TABP research, with selected results used to counter concerns regarding tobacco and health. Our findings also help explain inconsistencies in the findings of epidemiological studies of TABP, in particular the phenomenon of initially promising results followed by negative findings. Our analysis suggests that these "decline effects" are partly explained by tobacco industry involvement in TABP research.</t>
  </si>
  <si>
    <t>SCOPUS_ID:84859505185</t>
  </si>
  <si>
    <t>10.1093/aje/kwr409</t>
  </si>
  <si>
    <t>Parental incarceration and gender-based risks for increased body mass index: Evidence from the National Longitudinal Study of Adolescent Health in the United States</t>
  </si>
  <si>
    <t>['Body mass index', 'Collateral consequences of incarceration', 'Gender and stress internalization', 'Internalizing/externalizing behaviors', 'Parental incarceration', 'Risk factors for obesity']</t>
  </si>
  <si>
    <t>Although recent studies suggest that 13% of young adults, including at least one-fourth of African Americans, experience parental incarceration, little research has examined links between parental incarceration and physical health. Using data from the National Longitudinal Study of Adolescent Health (1994-2008) and gender-based theories of stress, the authors examined whether parental incarceration is associated with increased body mass index among women but not men. Panel analysis spanning adolescence and adulthood, controlling for stressful life events, internalizing behaviors, and a range of individual, familial, and neighborhood characteristics, reveals that body mass index for women who have experienced parental incarceration is 0.49 units (P &lt; 0.004) higher than that for women whose parents have never been incarcerated. This association is not evident among men. Similarly, in change score models between waves II and IV, women experiencing parental incarceration have a 0.92-unit increase in body mass index (P &lt; 0.026) relative to women who did not have a parent undergo incarceration. In supplemental analysis examining if gender differences in incarceration stress response (externalizing vs. internalizing) explain these findings, the authors found that obesity status moderates the relation between depression and parental incarceration. Results suggest a stress internalization process that, for the first time, links parental incarceration with obesity among women. Â© The Author 2012. Published by Oxford University Press on behalf of the Johns Hopkins Bloomberg School of Public Health. All rights reserved.</t>
  </si>
  <si>
    <t>SCOPUS_ID:41849092453</t>
  </si>
  <si>
    <t>10.1093/ije/dym253</t>
  </si>
  <si>
    <t>Has the impact of heat waves on mortality changed in France since the European heat wave of summer 2003? A study of the 2006 heat wave</t>
  </si>
  <si>
    <t>['Excess mortality', 'Heat waves', 'Mortality', 'Preventive measures']</t>
  </si>
  <si>
    <t>Background: In July 2006, a lasting and severe heat wave occurred in Western Europe. Since the 2003 heat wave, several preventive measures and an alert system aiming at reducing the risks related to high temperatures have been set up in France by the health authorities and institutions. In order to evaluate the effectiveness of those measures, the observed excess mortality during the 2006 heat wave was compared to the expected excess mortality. Methods: A Poisson regression model relating the daily fluctuations in summer temperature and mortality in France from 1975 to 2003 was used to estimate the daily expected number of deaths over the period 2004-2006 as a function of the observed temperatures. Results: During the 2006 heat wave (from 11 to 28 July), about 2065 excess deaths occurred in France. Considering the observed temperatures and with the hypothesis that heat-related mortality had not changed since 2003, 6452 excess deaths were predicted for the period. The observed mortality during the 2006 heat wave was thus markedly less than the expected mortality (âˆ¼4400 less deaths). Conclusions: The excess mortality during the 2006 heat wave, which was markedly lower than that predicted by the model, may be interpreted as a decrease in the population's vulnerability to heat, together with, since 2003, increased awareness of the risk related to extreme temperatures, preventive measures and the set-up of the warning system. Â© The Author 2008; all rights reserved.</t>
  </si>
  <si>
    <t>SCOPUS_ID:0027161584</t>
  </si>
  <si>
    <t>10.1016/s0749-3797(18)30673-1</t>
  </si>
  <si>
    <t>Unintentional firearm injuries: The price of protection</t>
  </si>
  <si>
    <t>Firearms may provide a measure of self-protection, but they also yield tragic consequences. Although the rate of unitentional firearm deaths in the United States has declined steadily for the past 50 years, 1,500 people still die annually because of the unintentional discharge of firearms. Less is known about nonfatal injuries; powder firearms are estimated to injure 12,000 to 30,000 people annually, and nonpowder firearms are estimated to injure 19,500 to 34,500 people annually. Compared with other injury circumstances, inintentional firearm injuries disproportionately affect children younger than 15 years of age and men who injure themselves or ther people. Injuries among children often occur in homes and are characterized by a lack of parental supervision and by ready access to loaded firearms. Potential primary prevention strategies include requiring design modifications, such as trigger locks and redundant safety devices; educating firearm owners, children's caretakers, and health care providers about the risk of firearm injury and about prevention; and restricting children's access to firearms.</t>
  </si>
  <si>
    <t>SCOPUS_ID:19944405771</t>
  </si>
  <si>
    <t>10.1016/j.ypmed.2004.11.018</t>
  </si>
  <si>
    <t>Impact of a major thermoelectric plant on self-perceived health status</t>
  </si>
  <si>
    <t>['Health perception', 'Health status', 'Italy', 'SF-12', 'Thermoelectric plant']</t>
  </si>
  <si>
    <t>Background. Measuring self-perceived health status and risk perception according to environmental factors remains a major open issue with important health policy implications. Methods. To measure self-perceived health status in an area where a major thermoelectric plant has been active since 1994, in October 2001, we conducted a two sample survey using the SF-12 Health Survey. The study sample (2001 individuals) representative of the population living in the plant area (Montalto di Castro, Central Italy) was compared with a random sample of the general Italian population (1928 individuals). Mean values were adjusted for age, sex and education. Results. SF-12 summary scales means are comparable in both samples: 50.2 (SE: 0.3) versus 49.9 (SE: 0.3) for the physical score, and 47.7 (SE: 0.4) versus 48.7 (SE: 0.4) for the mental score for Montalto di Castro area and Italian sample respectively. Conclusion. People living near a major thermoelectric plant have a subjective health status comparable to that reported by the general Italian population. Â© 2005 Elsevier Inc. All rights reserved.</t>
  </si>
  <si>
    <t>SCOPUS_ID:9344236046</t>
  </si>
  <si>
    <t>10.1093/aje/kwh317</t>
  </si>
  <si>
    <t>Food consumption by children and the risk of childhood acute leukemia</t>
  </si>
  <si>
    <t>['Ascorbic acid', 'Case-control studies', 'Child', 'Diet', 'Epidemiologic methods', 'Leukemia', 'Nutrition']</t>
  </si>
  <si>
    <t>The possible relation between child's early diet and risk of childhood leukemia has remained largely unexplored. The authors' objective was to determine what particular foods consumed early in life (first 2 years) are associated with risk of childhood leukemia in a 1995-2002 case-control study of a diverse California population. Dietary data were obtained from a questionnaire administered to the child's caregiver. Conditional logistic regression was used to analyze 328 case-control sets matched on age, sex, Hispanic status, and maternal race. Regular consumption of oranges/bananas (odds ratio = 0.49, 95% confidence interval: 0.26, 0.94) and orange juice (odds ratio = 0.54, 95% confidence interval: 0.31, 0.94) during the first 2 years of life was associated with a reduction in risk of childhood leukemia diagnosed between the ages of 2 and 14 years. Restricting the analysis to leukemia diagnosed between the ages of 2 and 5 years reflected a similar pattern of reduced risk. No association between eating hot dogs/lunch meats and risk of leukemia was found. These results suggest that fruits or fruit juices that contain vitamin C and/or potassium may reduce the risk of childhood leukemia, especially if they are consumed on a regular basis during the first 2 years of life.</t>
  </si>
  <si>
    <t>SCOPUS_ID:36549082924</t>
  </si>
  <si>
    <t>10.1016/j.ypmed.2007.05.012</t>
  </si>
  <si>
    <t>Tobacco use and perceived financial strain among junior enlisted in the U.S. Military in 2002</t>
  </si>
  <si>
    <t>['Military', 'Smoking', 'Tobacco']</t>
  </si>
  <si>
    <t>Objective: The detrimental health effects of tobacco use have long been documented and accepted. Recent research has begun to explore the financial strain that tobacco places on those who use it (e.g. Mokdad, A.H., Marks, J.S., Stroup, D.F., Gerberding, J.L., 2004. Actual causes of death in the United States, 2000. J. Am. Med. Assoc. 291, 1239-1245). The issue of this financial burden is particularly salient for young enlisted in the military who often struggle with financial issues and who continue to use tobacco at relatively high rates. Methods: Using the 2002 Department of Defense Survey of Health Related Behaviors among Military Personnel, the current study examines the percentage of income young military members spend on tobacco given varying levels of consumption. In addition, a representative sample of junior enlisted (E1-E4) from all four military branches were surveyed about their tobacco use and their experiences of financial strain and experienced stress from financial problems. Results: Adjusted logistic models demonstrated that smokers reported substantially higher amounts of both financial strain and stress from financial problems then those who did not smoke. Conclusions: This study suggests there is a relationship between financial stress and tobacco use among junior military members. Â© 2007 Elsevier Inc. All rights reserved.</t>
  </si>
  <si>
    <t>SCOPUS_ID:0034210558</t>
  </si>
  <si>
    <t>10.1093/oxfordjournals.aje.a010145</t>
  </si>
  <si>
    <t>Epidemiology of transmissible diseases after elimination</t>
  </si>
  <si>
    <t>['Communicable disease control/methods', 'Communicable diseases/transmission', 'Disease outbreaks/prevention and control', 'Epidemiologic methods', 'Immunity', 'Vaccination']</t>
  </si>
  <si>
    <t>Elimination of an infectious disease is often understood to mean the total absence of cases in a population. This situation can occur only if the entire population is immune as a result of either natural disease or vaccination. However, this costly and unrealistic scenario is not necessary to ensure elimination, more appropriately defined as a situation in which sustained transmission cannot occur and secondary spread from importations of disease will end naturally, without intervention. The authors describe the size and duration of outbreaks caused by imported infections after indigenous transmission has been eliminated. They show that the status of the elimination process can be monitored by assessing the proportion of cases imported and the distribution of outbreak sizes. Measles in Canada, the United States, and the United Kingdom provides a good example of the relevance of these criteria. Surveillance of the size and duration of these outbreaks enables maintenance of elimination to be monitored.</t>
  </si>
  <si>
    <t>SCOPUS_ID:85131223867</t>
  </si>
  <si>
    <t>10.1097/EDE.0000000000001488</t>
  </si>
  <si>
    <t>Beyond Vaccination Rates: A Synthetic Random Proxy Metric of Total SARS-CoV-2 Immunity Seroprevalence in the Community</t>
  </si>
  <si>
    <t>['Multilevel regression and poststratification', 'Naturally and vaccine-acquired', 'Sociodemographic discrepancy', 'Total immunity seroprevalence']</t>
  </si>
  <si>
    <t>Background: Explicit knowledge of total community-level immune seroprevalence is critical to developing policies to mitigate the social and clinical impact of SARS-CoV-2. Publicly available vaccination data are frequently cited as a proxy for population immunity, but this metric ignores the effects of naturally acquired immunity, which varies broadly throughout the country and world. Without broad or random sampling of the population, accurate measurement of persistent immunity post-natural infection is generally unavailable. Methods: To enable tracking of both naturally acquired and vaccine-induced immunity, we set up a synthetic random proxy based on routine hospital testing for estimating total immunoglobulin G (IgG) prevalence in the sampled community. Our approach analyzed viral IgG testing data of asymptomatic patients who presented for elective procedures within a hospital system. We applied multilevel regression and poststratification to adjust for demographic and geographic discrepancies between the sample and the community population. We then applied state-based vaccination data to categorize immune status as driven by natural infection or by vaccine. Results: We validated the model using verified clinical metrics of viral and symptomatic disease incidence to show the expected biologic correlation of these entities with the timing, rate, and magnitude of seroprevalence. In mid-July 2021, the estimated immunity level was 74% with the administered vaccination rate of 45% in the two counties. Conclusions: Our metric improves real-time understanding of immunity to COVID-19 as it evolves and the coordination of policy responses to the disease, toward an inexpensive and easily operational surveillance system that transcends the limits of vaccination datasets alone.</t>
  </si>
  <si>
    <t>SCOPUS_ID:0025881367</t>
  </si>
  <si>
    <t>10.1093/oxfordjournals.aje.a115994</t>
  </si>
  <si>
    <t>Completeness of the discharge diagnoses as a measure of birth defects recorded in the hospital birth record</t>
  </si>
  <si>
    <t>['Abnormalities', 'Diagnosis', 'Hospital records', 'Infant', 'Information systems', 'Newborn']</t>
  </si>
  <si>
    <t>Licensed hospitals usually maintain a discharge diagnoses index, which provides an inexpensive tool for the surveillance of birth defects diagnosed shortly after birth. Government agencies in several states routinely use discharge diagnoses for this purpose. To evaluate the completeness of the discharge diagnoses, the authors compared birth defects noted in the discharge diagnoses with those noted anywhere in the hospital birth record in a cohort of 3,421 infants born to US Army veterans from 1966 to 1986. In this cohort, 237 birth defect cases were documented in hospital birth records, and 49% of those cases were missed in the discharge diagnoses (28% of major defect cases and 66% of minor defect cases). The extent of missed defects varied greatly by organ system and by specific defect. Significant predictors of a missed defect were the presence of multiple defects, female sex, and western region of birth. The underascertainment of defects in the discharge diagnoses should be considered in the development and operation of surveillance systems using this source of data. Am J Epidemiol 1991; 134: 69-77. Â© 1991 by The Johns Hopkins University School of Hygiene and Public Health.</t>
  </si>
  <si>
    <t>SCOPUS_ID:85206017796</t>
  </si>
  <si>
    <t>10.1093/aje/kwae079</t>
  </si>
  <si>
    <t>The role and limitations of electronic medical records versus patient interviews for determining symptoms of, underlying comorbidities of, and medication use by patients with COVID-19</t>
  </si>
  <si>
    <t>['COVID-19', 'data accuracy', 'electronic health records', 'epidemiologic methods', 'medical records', 'SARS-CoV-2', 'telephone interviews']</t>
  </si>
  <si>
    <t>Electronic medical records (EMRs) are important for rapidly compiling information to determine disease characteristics (eg, symptoms) and risk factors (eg, underlying comorbidities, medications) for disease-related outcomes. To assess EMR data accuracy, agreement between EMR abstractions and patient interviews was evaluated. Symptoms, medical history, and medication use among patients with COVID-19 collected from EMRs and patient interviews were compared using overall agreement (ie, same answer in EMR and interview), reported agreement (yes answer in both EMR and interview among those who reported yes in either), and Îº statistics. Overall, patients reported more symptoms in interviews than in EMR abstractions. Overall agreement was high (â‰¥50% for 20 of 23 symptoms), but only subjective fever and dyspnea had reported agreement of â‰¥50%. The Îº statistics for symptoms were generally low. Reported medical conditions had greater agreement with all condition categories (n = 10 of 10) having â‰¥50% overall agreement and half (n = 5 of 10) having â‰¥50% reported agreement. More nonprescription medications were reported in interviews than in EMR abstractions, leading to low reported agreement (28%). Discordance was observed for symptoms, medical history, and medication use between EMR abstractions and patient interviews. Investigations using EMRs to describe clinical characteristics and identify risk factors should consider the potential for incomplete data, particularly for symptoms and medications.</t>
  </si>
  <si>
    <t>SCOPUS_ID:48749123169</t>
  </si>
  <si>
    <t>10.2105/AJPH.2008.135020</t>
  </si>
  <si>
    <t>Purchasing behavior and calorie information at fast-food chains in New York City, 2007</t>
  </si>
  <si>
    <t>We surveyed 7318 customers from 275 randomly selected restaurants of 11 fast food chains. Participants purchased a mean of 827 calories, with 34% purchasing 1000 calories or more. Unlike other chains, Subway posted calorie information at point of purchase and its patrons more often reported seeing calorie infomation than patrons of other chains (32% vs 4%; P&lt;.001); Subway patrons who saw calorie information purchased 52 fewer calories than did other Subway patrons (P&lt;.01). Fast-food chains should display calorie information prominently at point of purchase, where it can be seen and used to inform purchases.</t>
  </si>
  <si>
    <t>SCOPUS_ID:0037402370</t>
  </si>
  <si>
    <t>10.1016/S0091-7435(03)00018-5</t>
  </si>
  <si>
    <t>Influence of physical activity-related joint stress on the risk of self-reported hip/knee osteoarthritis: A new method to quantify physical activity</t>
  </si>
  <si>
    <t>['Exercise', 'Osteoarthritis', 'Physical activity', 'Public health']</t>
  </si>
  <si>
    <t>Background. The relationship between physical activity (PA) and the development of hip/knee osteoarthritis (OA) has not been clearly defined. The purpose of this study was to develop a method to quantify PA-related joint stress and to assess its influence on the risk of hip/knee OA. Methods. Participants in a large longitudinal study, without knee/hip OA (n = 5284), were asked about their PA participation in 1986. PA-related joint stress was calculated using information on the frequency, intensity, and duration of individual types of PA, and incorporated a quantification of joint stress. Self-reported, physician-diagnosed hip/knee OA was ascertained by survey in 1990, 1995, and 1999 (average length of follow-up: 12.8 years). Results. The joint stress PA score was not associated with an increased risk of hip/knee OA. Also, among walkers and runners there was no association between the frequency, pace, or weekly training mileage and hip/knee OA. Older age, previous joint injury and surgery, and higher body mass index were confirmed as independent risk factors for hip/knee OA. Conclusions. Participation in PA as an adult does not increase the risk of hip/knee OA and there does not seem to be a threshold of increasing risk with increased training among walkers and runners. Â© 2003 American Health Foundation and Elsevier Science (USA). All rights reserved.</t>
  </si>
  <si>
    <t>SCOPUS_ID:0031455946</t>
  </si>
  <si>
    <t>10.1023/A:1007481925241</t>
  </si>
  <si>
    <t>Antibiotics utilization during the war period: Influence of drug donations</t>
  </si>
  <si>
    <t>['Antibiotics', 'Drug donations', 'Drug utilization']</t>
  </si>
  <si>
    <t>The purpose of the present study was to investigate the antibiotics utilization in the University Hospital Center of Rijeka (UHC), with capacity of 1566 beds, during the period of 4 years (1990-1994). The data concerning the antibiotics utilization were collected from a hospital pharmacy record and calculated as the defined daily dose (DDD) per 100 bed days. Total antibiotics use decreased continually from 1990 through 1994. According to our study, metronidazole became the most frequently prescribed antibiotic. Comparing the 1994 to the 1990 antibiotics utilization, we may notice an outstanding decrease in cotimoxazole, ampicillin and cefalexin utilization and an increase in amoxicillin + clavulanic acid, gentamycin and cefuroxime (there are no tetracyclines among the 10 most frequently prescribed antibiotics). The changes noticed in the use of antibiotics are partly mused by changes in therapeutic principles, but we consider drug donations as the most important factor. Drug donations have retained the treatment quality of our patients in very difficult conditions in Croatia during the war period.</t>
  </si>
  <si>
    <t>Croatia</t>
  </si>
  <si>
    <t>SCOPUS_ID:0025197301</t>
  </si>
  <si>
    <t>10.1136/jech.44.3.231</t>
  </si>
  <si>
    <t>Regional variations in wheezing illness in British children: Effect of migration during early childhood</t>
  </si>
  <si>
    <t>Study objective - The aim was to examine the regional distribution of wheezing illness among British children, and the age at which geographical differences may be determined. Design - Cross sectional analyses and study of interregional migrants were used. Subjects - The subjects were national cohorts of British children born in 1958 and 1970. Measurements and main results - The regional distribution of wheezing illness showed significant heterogeneity at age 5 (1970 cohort) and 7 (1958 cohort). In both cohorts, children in Scotland had a low prevalence of wheeze, which could not be attributed to underreporting of mild cases. There was a less consistent tendency for high prevalence in Wales, and in the South Western and Midlands regions of England. In the 1958 cohort, the regional differentials diminished progressively with age and were negligible at age 23. There was a poor correlation between the regional distribution of childhood asthma and the common geographical pattern shown by eczema in infancy and hay fever at age 23. Analysis of interregional migrants suggested that the regional variation in each cohort at age 5-7 was primarily related to the region of current residence, and not to the region of birth. Conclusions - Genetic constitution, perinatal exposures, or early childhood experiences are unlikely to account for the regional variation in wheezing illness. Although local patterns of symptom reporting or disease labelling may be acquired by parents who move to a new region, environmental factors operating at a regional level probably determine the prevalence of asthma in primary school children. These influences do not appear to have long lasting effects upon the tendency to wheeze in adolescence and early adulthood.</t>
  </si>
  <si>
    <t>SCOPUS_ID:70350056584</t>
  </si>
  <si>
    <t>10.2105/AJPH.2008.149005</t>
  </si>
  <si>
    <t>Childhood abuse and early menarche: Findings from the black women's health study</t>
  </si>
  <si>
    <t>Objectives. We examined the association between childhood abuse and early menarche in a sample of US Black women. Methods. We conducted multivariable log-binomial regression on data from 35330 participants in the Black Women's Health Study to estimate risk ratios and 95% confidence intervals for the relation of childhood physical and sexual abuse with early age at menarche (i.e., &lt;12 years). Results. In adjusted analyses, sexual abuse was positively associated with early menarche, and the risk of early menarche increased with increasing frequency of sexual abuse incidents. We observed a weak but statistically significant association between physical abuse and early menarche. Associations between sexual abuse and early menarche were stronger when we used a more stringent cutpoint for early menarche (i.e., &lt;11 years). Conclusions. Our data suggest an increased risk of early menarche among Black women who experienced childhood sexual abuse. Evidence for an association between childhood physical abuse and early menarche was equivocal.</t>
  </si>
  <si>
    <t>SCOPUS_ID:82955242404</t>
  </si>
  <si>
    <t>10.1093/aje/kwr312</t>
  </si>
  <si>
    <t>Fifty-five years of international epidemic-assistance investigations conducted by CDC's disease detectives</t>
  </si>
  <si>
    <t>['Centers for Disease Control and Prevention (U.S.)', 'epidemics', 'epidemiologic methods', 'world health', 'World Health Organization']</t>
  </si>
  <si>
    <t>For more than 60 years, the Centers for Disease Control and Prevention (CDC) has used its scientific expertise to help people throughout the world live healthier, safer, longer lives through science-based health action. In 1951, CDC officially established the Epidemic Intelligence Service to help build public health capacity. During 1950-2005, CDC's Epidemic Intelligence Service officers conducted 462 international epidemiologic field investigations in 131 foreign countries and 7 territories. Investigations have included responding to emerging infectious and noninfectious disease outbreaks, assisting in disaster response, and evaluating core components of public health programs worldwide. Approximately 81% of investigations were responses to infectious disease outbreaks, but the proportion of investigations related to chronic and other noninfectious conditions increased 7-fold (6%-45%). These investigations have contributed to detecting and characterizing new pathogens (e.g., severe acute respiratory syndrome-associated coronavirus) and conditions, provided insights regarding factors that cause or contribute to disease acquisition (e.g., Ebola hemorrhagic fever), led to development of new diagnostics and surveillance technologies, and provided information upon which global health policies and regulations can be based. CDC's disease detectives will undoubtedly continue to play a critical role in global health and in responding to emerging global disease threats. Â© 2011 The Author.</t>
  </si>
  <si>
    <t>SCOPUS_ID:85105610311</t>
  </si>
  <si>
    <t>10.1093/aje/kwaa268</t>
  </si>
  <si>
    <t>Alignment of dietary patterns with the dietary guidelines for Americans 2015-2020 and risk of all-cause and cause-specific mortality in the women's health initiative observational study</t>
  </si>
  <si>
    <t>['Diet', 'Diet quality indices', 'Mortality risk', 'Postmenopausal women', 'Prospective cohort study']</t>
  </si>
  <si>
    <t>Poor diet quality is a leading risk factor for death in the United States. We examined the association between Healthy Eating Index-2015 (HEI-2015) scores and death from all causes, cardiovascular disease (CVD), cancer, Alzheimer disease, and dementia not otherwise specified (NOS) among postmenopausal women in theWomen's Health Initiative Observational Study (1993-2017). This analysis included 59,388 participants who completed a food frequency questionnaire and were free of cancer, CVD, and diabetes at enrollment. Stratified Cox proportional hazards models were fit using person-years from enrollment as the underlying time metric. We estimated multivariable adjusted hazard ratios and 95% confidence intervals for risk of death associated with HEI-2015 quintiles, with higher scores reflecting more optimal diet quality. Over a median of 18.2 years, 9,679 total deaths 3,303 cancer deaths, 2,362 CVD deaths, and 488 deaths from Alzheimer disease and dementia NOS occurred. Compared with those with lower scores, women with higher HEI-2015 scores had an 18% lower risk of all-cause death and 21% lower risk of cancer death. HEI-2015 scores were not associated with death due to CVD, Alzheimer disease, and dementia NOS. Consuming a diet aligned with 2015-2020 US dietary guidelines may have beneficial impacts for preventing overall causes of death and death from cancer.</t>
  </si>
  <si>
    <t>SCOPUS_ID:77953561364</t>
  </si>
  <si>
    <t>10.2105/AJPH.2009.179242</t>
  </si>
  <si>
    <t>Clean indoor air ordinance coverage in the appalachian region of the United States</t>
  </si>
  <si>
    <t>Objectives. We sought to quantitatively examine the pattern of, and socioeconomic factors associated with, adoption of clean indoor air ordinances in Appalachia. Methods. We collected and reviewed clean indoor air ordinances in Appalachian communities In 6 states and rated the ordinances for completeness of coverage in workplaces, restaurants, and bars. Additionally, we computed a strength score to measure coverage In 7 locations. We fit mixed-effects models to determine whether the presence of a comprehensive ordinance and the ordinance strength were related to community socioeconomic disadvantage. Results. Of the 332 communities included in the analysis, fewer than 20% had adopted a comprehensive workplace, restaurant, or bar ordinance. Most ordinances were weak, achieving on average only 43% of the total possible points. Communities with a higher unemployment rate were less likely and those with a higher education level were more likely to have a strong ordinance. Conclusions. The majority of residents in these communities are not protected from secondhand smoke. Efforts to pass strong statewide clean indoor air laws should take prioritv over local initiatives in these states.</t>
  </si>
  <si>
    <t>SCOPUS_ID:0037383803</t>
  </si>
  <si>
    <t>10.1136/jech.57.4.254</t>
  </si>
  <si>
    <t>Defining equity in health</t>
  </si>
  <si>
    <t>Study objective: To propose a definition of health equity to guide operationalisation and measurement, and to discuss the practical importance of clarity in defining this concept. Design: Conceptual discussion. Setting, Patients/Participants, and Main results: not applicable. Conclusions: For the purposes of measurement and operationalisation, equity in health is the absence of systematic disparities in health (or in the major social determinants of health) between groups with different levels of underlying social advantage/disadvantoge - that is, wealth, power, or prestige. Inequities in health systematically put groups of people who are already socially disadvantaged (for example, by virtue of being poor, female, and/or members of a disenfranchised racial, ethnic, or religious group) at further disadvantage with respect to their health; health is essential to wellbeing and to overcoming other effects of social disadvantage. Equity is an ethical principle; it also is consonant with and closely related to human rights principles. The proposed definition of equity supports operationalisation of the right to the highest attainable standard of health as indicated by the health status of the most socially advantaged group. Assessing health equity requires comparing health and its social determinants between more and less advantaged social groups. These comparisons are essential to assess whether national and international policies are leading toward or away from greater social justice in health.</t>
  </si>
  <si>
    <t>SCOPUS_ID:0033015517</t>
  </si>
  <si>
    <t>10.2105/AJPH.89.6.834</t>
  </si>
  <si>
    <t>Dental care access and use among HIV-infected women</t>
  </si>
  <si>
    <t>Objectives. This study sought to identify predictors of dental care use in HIV-infected women. Methods. In a cross-sectional survey of HIV-infected women enrolled in the northern California site of the Women's Interagency HIV Study, dental care use and unmet need were assessed relation to selected variables. Results. Among 213 respondents, who were predominantly Black and younger than 45 years, 43% had not seen a dentist and 53% (among dentate women) reported no dental cleaning in more than a year (although 67% had dental insurance coverage, mainly state Medicaid). Nine percent were edentulous. Among nonusers of dental care, 78% reported that they wanted care but failed to get it. Barriers included fear of and discomfort with dentists, not getting around to making an appointment, and not knowing which dentist to visit. Multivariate analysis showed that lack of past-year dental care was associated mainly with unemployment, a perception of poor oral health, and edentulism. Conclusions. HIV-positive women appear to be underusing dental care services. Fear and lack of information regarding available resources, in addition to unemployment and perception of poor oral health, may be important barriers.</t>
  </si>
  <si>
    <t>SCOPUS_ID:84864604782</t>
  </si>
  <si>
    <t>10.1093/eurpub/ckr196</t>
  </si>
  <si>
    <t>Incidence and 30-day case fatality for acute myocardial infarction in England in 2010: National-linked database study</t>
  </si>
  <si>
    <t>Background: There are limited national population-based epidemiological data on acute myocardial infarction (AMI) in England, making the current burden of disease, and clinical prognosis, difficult to quantify. The aim of this study was to provide national estimates of incidence and 30-day case fatality rate (CFR) for first and recurrent AMI in England. Methods: Population-based study using person-linked routine hospital and mortality data on 79 896 individuals of any age, who were admitted to hospital for AMI or who died suddenly from AMI in 2010. Results: Of 82 252 AMI events in 2010, 83 were first. Age-standardized incidence of first AMI per 100 000 population was 130 (95 CI 129-131) in men and 55.9 (95 CI 55.3-56.6) in women. Age-standardized 30-day overall CFRs including sudden AMI deaths for men and women, respectively, were 32.4 (95 CI 32.0-32.9) and 30.3 (95 CI 29.8-30.9) for first AMI and 29.7 (95 CI 28.7-30.7) and 26.7 (95 CI 25.5-27.9) for recurrent AMI. Age-standardized hospitalized 30-day CFR was 12.0 (95 CI 11.6-12.3) for men and 12.3 (95 CI 11.9-12.7) for women. Conclusions: While the majority of AMIs are not fatal, of those that are, two-thirds occur as sudden AMI deaths. About one in six of all AMIs are recurrent events. These findings reinforce the importance of primary and secondary prevention in reducing AMI morbidity and mortality. Â© 2012 The Author 2012. Published by Oxford University Press on behalf of the European Public Health Association.</t>
  </si>
  <si>
    <t>SCOPUS_ID:33644756848</t>
  </si>
  <si>
    <t>10.1007/s10654-005-5438-1</t>
  </si>
  <si>
    <t>Serum ionised calcium and cardiovascular disease in 45-years old men and women followed for 18 years</t>
  </si>
  <si>
    <t>['Calcium', 'Cardiovascular', 'Epidemiology', 'Ischemic heart disease']</t>
  </si>
  <si>
    <t>High level of total serum calcium within the normal range has been associated with increased cardiovascular risk. We wanted to evaluate whether the physiological active ionised form of calcium also was a risk factor for cardiovascular disease (CVD). Methods: A total of 974 participants from a health survey in 1981 in Copenhagen had ionised serum calcium and different cardiovascular risk factors measured. The participants were followed until 1999 in The National Hospital Patients Registry and The National Death Registry in Denmark regarding the diagnosis ischemic heart disease (IHD) and a broader definition of CVD. Persons with ionised serum calcium in the highest quintile were compared with persons in the lower four quintiles. Results: In a univariate analysis persons with ionised serum calcium in the highest quintile had increased risk of IHD (p = 0.001) and CVD (p = 0.02) compared to persons in the lower quintiles. The increased risk disappeared when gender and cardiovascular confounders were included in a Cox proportional hazards analysis (p = 0.20 for IHD and p = 0.50 for CVD, respectively). In a separate analysis of men and IHD the result remained insignificant (p = 0.07). Conclusions: Serum ionised calcium in the upper quintile in women and men together did not seem to be a risk factor in development of IHD and CVD, but a non-significant tendency towards increased risk of IHD was observed in men with ionised calcium in the upper quintile compared to men in the lower four quintiles. Â© Springer 2006.</t>
  </si>
  <si>
    <t>SCOPUS_ID:84885371719</t>
  </si>
  <si>
    <t>10.1136/jech-2013-202583</t>
  </si>
  <si>
    <t>Sports facilities in Madrid explain the relationship between neighbourhood economic context and physical inactivity in older people, but not in younger adults: A case study</t>
  </si>
  <si>
    <t>Background Neighbourhood characteristics may contribute to differences in physical inactivity. Purpose To evaluate whether the availability of sports facilities helps explain the differences in physical inactivity according to the economic context of the neighbourhood. Methods 6607 participants representative of the population aged 16-74 years, resident in Madrid (Spain) in 2005, were analysed. Using ORs calculated by multilevel logistic regression, the association between per capita income of the neighbourhood of residence and physical inactivity was estimated, after adjusting for age, population density, individual socioeconomic characteristics and the availability of green spaces. The analysis was repeated after further adjustment for the availability of sports facilities to determine if this reduced the magnitude of the association. Results Residents in the neighbourhoods with the lowest per capita income had the highest OR for the prevalence of physical inactivity. In participants aged 16-49 years, after adjusting for the availability of sports facilities, the magnitude of the OR in the poorest neighbourhoods with respect to the richest neighbourhoods increased in men (from 2.22 to 2.35) and declined by 13% in women (from 2.13 to 1.98). In contrast, in the population aged 50-74 years, this adjustment reduced the magnitude of the OR by 21% in men (from 2.00 to 1.80) and by 53% in women (from 2.03 to 1.48). Conclusions The poorest neighbourhoods show the highest prevalence of physical inactivity. The availability of sports facilities explains an important part of this excess prevalence in participants aged 50-74 years, but not in younger individuals.</t>
  </si>
  <si>
    <t>SCOPUS_ID:85042655224</t>
  </si>
  <si>
    <t>10.1016/j.ypmed.2018.02.023</t>
  </si>
  <si>
    <t>Active learning improves on-task behaviors in 4th grade children</t>
  </si>
  <si>
    <t>['Academic engagement', 'Children', 'Elementary school', 'Physically active academic lessons']</t>
  </si>
  <si>
    <t>While increased opportunities for physical activity (PA) are a critical, public health need for children, school-based interventions often place teachers in the position to choose between PA and time spent on academic lessons. Active learning is designed to overcome this by combining PA with academic material. Moreover, teachers are likely to be more responsive to change in academic-related outcomes than in PA. This study utilizes a large, cluster randomized control trial in which student attention, or time on task (TOT) and accelerometer-based PA is assessed in conjunction with active learning. Participants were 2716 children (46% male, 46% white) from 28 elementary schools in Central Texas that were assigned to either: 1) active learning (math n = 10; spelling n = 9); or 2) traditional, sedentary academic lessons (n = 9). PA was measured with accelerometers. TOT was measured through a momentary time sampling protocol. A series of three-level (student, classroom, school) regression models estimated the effect of the intervention. The intervention lead to significantly increased TOT. Moreover, the dose of PA (steps) during the intervention was positively associated with the increase in TOT. In contrast, a greater dose of PA was associated with reduced TOT for students in control schools. Race, gender, and SES did not moderate these effects. Planned PA - as a part of an active, academic lesson - positively impacted TOT. In contrast, a traditional, sedentary lesson was associated with lower TOT. This differential impact offers intriguing possibilities to better understand the relationship between PA and academic performance.</t>
  </si>
  <si>
    <t>SCOPUS_ID:43049167431</t>
  </si>
  <si>
    <t>10.2105/AJPH.2007.113639</t>
  </si>
  <si>
    <t>Reduction of state victim compensation disparities in disadvantaged crime victims through active outreach and assistance: A randomized trial</t>
  </si>
  <si>
    <t>Objectives. We examined whether providing active outreach and assistance to crime victims as part of comprehensive psychosocial services reduced disparities in access to state compensation funds. Methods. We analyzed data from a randomized trial of injured crime victims (N=541) and compared outcomes from comprehensive psychosocial services with usual community care. We examined the impact of outreach and assistance on disparities in applying for victim compensation by testing for interactions between victim characteristics and treatment condition in logistic regression analyses. Results. Victims receiving comprehensive services were much more likely to apply for victim compensation than were victims receiving usual care. Comprehensive services decreased disparities associated with younger age, lower levels of education, and homelessness. Conclusions. State-level victim compensation funds are available to help individuals recover physically, psychologically, and financially from crime victimization. However, few crime victims apply for victim compensation, and there are particularly low application rates among young, male, ethnic minority, and physical assault victims. Active outreach and assistance can address disparities in access to victim compensation funds for disadvantaged populations and should be offered more widely to victims of violent crime.</t>
  </si>
  <si>
    <t>SCOPUS_ID:85066840805</t>
  </si>
  <si>
    <t>10.1093/aje/kwy271</t>
  </si>
  <si>
    <t>Potential effects on mortality of replacing sedentary time with short sedentary bouts or physical activity: A national cohort study</t>
  </si>
  <si>
    <t>['Accelerometer', 'Epidemiology', 'Mortality', 'Physical activity', 'Sedentary']</t>
  </si>
  <si>
    <t>Little is known concerning the type of activity that should be substituted for sedentary time and its potentially most hazardous form (prolonged sedentary bouts) to impart health benefit. We used isotemporal substitution techniques to examine whether 1) replacing total sedentary time with light-intensity or moderate to vigorous physical activity (LIPA or MVPA) or 2) replacing prolonged sedentary bouts with shorter sedentary bouts is associated with reductions in all-cause mortality risk. Participants (n = 7,999) from the Reasons for Geographic and Racial Differences in Stroke (REGARDS) study, a national cohort of US adults aged =45 years, were studied. Sedentary time was measured by accelerometry between 2009 and 2013. There was a beneficial association with mortality risk for replacing total sedentary time with both LIPA (per 30 minutes, hazard ratio (HR) = 0.83; 95% confidence interval (CI): 0.80, 0.87) and MVPA (per 30 minutes, HR = 0.65; 95% CI: 0.50, 0.85). Similarly, there was a beneficial association for replacing prolonged sedentary-bout time with LIPA and MVPA but not for replacement with shorter sedentary bouts (per 30 minutes, HR = 1.00; 95% CI: 0.96, 1.03). These findings suggest short sedentary bouts still carry mortality risk and are not a healthful alternative to prolonged sedentary bouts. Instead, physical activity of any intensity is needed to mitigate the mortality risks incurred by sedentary time.</t>
  </si>
  <si>
    <t>SCOPUS_ID:44449138148</t>
  </si>
  <si>
    <t>10.1093/aje/kwn055</t>
  </si>
  <si>
    <t>Effects of socioeconomic position on inflammatory and hemostatic markers: A life-course analysis in the 1958 British birth cohort</t>
  </si>
  <si>
    <t>['C-reactive protein', 'Cohort studies', 'Fibrinogen', 'Hemostasis', 'Inflammation', 'Social class', 'Tissue plasminogen activator', 'Von Willebrand factor']</t>
  </si>
  <si>
    <t>The cumulative effects of socioeconomic position (SEP) on cardiovascular disease have been described, but the pathways are unclear. In this study, the authors examined the effects of life-course SEP on inflammatory and hemostatic markers: fibrinogen, C-reactive protein, von Willebrand factor antigen, and tissue plasminogen activator antigen. Data from the 1958 British birth cohort, including data on persons who underwent a biomedical follow-up in 2002-2004, were used. Social class was determined at three stages of respondents' lives: childhood (birth), early adulthood (age 23 years), and midlife (age 42 years). A cumulative indicator score of SEP was calculated that ranged from 0 (always in the highest social class) to 9 (always in the lowest social class). In men and women, associations were observed between cumulative indicator score and fibrinogen (p &lt; 0.001), C-reactive protein (p &lt; 0.001), von Willebrand factor antigen (p â‰¤ 0.05), and tissue plasminogen activator antigen (p &lt; 0.001 only in women). The trends in fibrinogen and C-reactive protein remained after adjustment for body mass index, smoking, and physical activity. However, the trends became nonsignificant for von Willebrand factor antigen and tissue plasminogen activator antigen in women. Risk exposure related to SEP accumulates across the life course and contributes to raised levels of fibrinogen and C-reactive protein, while childhood SEP influences hemostatic markers more than does adult SEP. Â© The Author 2008. Published by the Johns Hopkins Bloomberg School of Public Health. All rights reserved.</t>
  </si>
  <si>
    <t>SCOPUS_ID:84893821907</t>
  </si>
  <si>
    <t>10.1016/j.amepre.2013.10.024</t>
  </si>
  <si>
    <t>Anthropometry, silhouette trajectory, and risk of breast cancer in Mexican women</t>
  </si>
  <si>
    <t>Background Obesity has been associated with breast cancer risk in the Caucasian population but the association remains unclear in the Hispanics. Previous studies conducted among Hispanics in the U.S. have shown inconsistent results. Purpose The association between anthropometry, body shape evolution across lifetime, and the risk of breast cancer was assessed using a multi-center population-based case-control study conducted in Mexico. Methods One thousand incident cases and 1074 matched control women aged 35-69 years were recruited between 2004 and 2007, and analyzed in 2011-2012. Conditional logistic regression models were used. Results Height was related to an increased risk of breast cancer in both premenopausal (p trend=0.03) and postmenopausal women (p trend=0.002). In premenopausal women, increase in BMI; waist circumference (WC); hip circumference (HC); and waist-hip ratio (WHR) were inversely associated with breast cancer risk (p trends&lt;0.001 for BMI and WC, 0.003 for HC, and 0.016 for WHR). In postmenopausal women, decreased risks were observed for increased WC (p trend=0.004) and HC (p trend=0.009) among women with time since menopause &lt;10 years. Further analysis of body shape evolution throughout life showed strong and significant increase in risk of breast cancer among women with increasing silhouettes size over time compared to women with no or limited increase. Conclusions These findings suggest that anthropometric factors may have different associations with breast cancer risk in Hispanic women than in Caucasian women. This study also shows the importance of considering the evolution of body shape throughout life. Â© 2014 American Journal of Preventive Medicine .</t>
  </si>
  <si>
    <t>SCOPUS_ID:85041406448</t>
  </si>
  <si>
    <t>10.1016/j.ypmed.2017.12.011</t>
  </si>
  <si>
    <t>Health impact assessment of cycling network expansions in European cities</t>
  </si>
  <si>
    <t>['Costâ€“benefit analysis', 'Cycling network', 'Health impact assessment', 'Mode share', 'Mortality', 'Open data']</t>
  </si>
  <si>
    <t>We conducted a health impact assessment (HIA) of cycling network expansions in seven European cities. We modeled the association between cycling network length and cycling mode share and estimated health impacts of the expansion of cycling networks. First, we performed a non-linear least square regression to assess the relationship between cycling network length and cycling mode share for 167 European cities. Second, we conducted a quantitative HIA for the seven cities of different scenarios (S) assessing how an expansion of the cycling network [i.e. 10% (S1); 50% (S2); 100% (S3), and all-streets (S4)] would lead to an increase in cycling mode share and estimated mortality impacts thereof. We quantified mortality impacts for changes in physical activity, air pollution and traffic incidents. Third, we conducted a costâ€“benefit analysis. The cycling network length was associated with a cycling mode share of up to 24.7% in European cities. The all-streets scenario (S4) produced greatest benefits through increases in cycling for London with 1,210 premature deaths (95% CI: 447â€“1,972) avoidable annually, followed by Rome (433; 95% CI: 170â€“695), Barcelona (248; 95% CI: 86â€“410), Vienna (146; 95% CI: 40â€“252), Zurich (58; 95% CI: 16â€“100) and Antwerp (7; 95% CI: 3â€“11). The largest costâ€“benefit ratios were found for the 10% increase in cycling networks (S1). If all 167 European cities achieved a cycling mode share of 24.7% over 10,000 premature deaths could be avoided annually. In European cities, expansions of cycling networks were associated with increases in cycling and estimated to provide health and economic benefits.</t>
  </si>
  <si>
    <t>SCOPUS_ID:13344255042</t>
  </si>
  <si>
    <t>10.1093/eurpub/3.1.38</t>
  </si>
  <si>
    <t>Cholesterol screening: Observed cholesterol reduction in a prospective study in Norway</t>
  </si>
  <si>
    <t>['Cholesterol reduction', 'Cholesterol screening', 'Norway', 'Prospective study']</t>
  </si>
  <si>
    <t>The general public of the City of Bergen, Norway was Invited to participate in a cholesterol screening programme in October 1988. Participants received the results of the cholesterol screening and nutritional information from trained health personnel. A short questionnaire was mailed to all 354 participants 1-2 weeks after the initial cholesterol screening. In March 1990, all participants were invited to have their cholesterol levels re-examined. Psychosocial factors believed to be predictive of future serum cholesterol changes were assessed at baseline along with demographic variables. The majority of participants (61%) reduced their cholesterol level from October 1988 to March 1990, and the average reduction in cholesterol level for the total population was 4.0%. Baseline cholesterol levels, being confident of one's own ability to change one's diet (self-efficacy), seeing heart disease risk reduction as very important, and marital status were factors that significantly predicted successful cholesterol reduction 18 months later. Â© 1993 European Journal of Public Health.</t>
  </si>
  <si>
    <t>SCOPUS_ID:0029067898</t>
  </si>
  <si>
    <t>10.1016/s0749-3797(18)30472-0</t>
  </si>
  <si>
    <t>Changes in blood cholesterol awareness: Final results from the South Carolina Cardiovascular Disease Prevention Project</t>
  </si>
  <si>
    <t>We examined changes in five indicators of blood cholesterol awareness in two comparable biracial communities in South Carolina. One community received three years of cholesterol education and intervention activities implemented by a state health department and the other served as a comparison. Cross- sectional, interviewer-administered, random digit-dialed telephone surveys of 11,070 adults 18 years and older were conducted in 1987, 1988, 1989, and 1991. Changes in community levels of knowledge, preventive behavior, risk awareness, and treatment were assessed and compared between the two communities with analysis of covariance techniques that adjusted for age, race, and sex. Significant increases in knowledge, behavior, and risk awareness were observed for most groups defined by race, sex, or age in both communities. Significant net intervention increases between 1987 and 1991 were seen for knowledge of good cholesterol level (+16.4%, P &lt; .001); behavioral action of ever having blood cholesterol checked (+ 1.8.6%, P &lt; .001) and knowledge of personal level of blood cholesterol (+16.0%, P &lt; .01). These results suggest that a community-wide blood cholesterol screening and education program can be effective in increasing blood cholesterol knowledge, risk awareness, and preventive behavior, thus serving as part of a public health strategy to lower and treat high blood cholesterol levels in a community.</t>
  </si>
  <si>
    <t>SCOPUS_ID:85126388975</t>
  </si>
  <si>
    <t>10.1136/jech-2021-217010</t>
  </si>
  <si>
    <t>Impact of COVID-19 lockdowns on hospital presentations and admissions in the context of low community transmission: evidence from time series analysis in Melbourne, Australia</t>
  </si>
  <si>
    <t>Background Melbourne, Australia, successfully halted exponential transmission of COVID-19 via two strict lockdowns during 2020. The impact of such restrictions on healthcare-seeking behaviour is not comprehensively understood, but is of global importance. We explore the impact of the COVID-19 pandemic on acute, subacute and emergency department (ED) presentations/ admissions within a tertiary, metropolitan health service in Melbourne, Australia, over two waves of community transmission (1 March to 20 September 2020). Methods We used 4 years of historical data and novel forecasting methods to predict counterfactual hospital activity for 2020, assuming absence of COVID-19. Observed activity was compared with forecasts overall, by age, triage category and for myocardial infarction and stroke. Data were analysed for all patients residing in the health service catchment area presenting between 4 January 2016 and 20 September 2020. Results ED presentations (n=401 805), acute admissions (n=371 723) and subacute admissions (n=15 676) were analysed. Substantial departures from forecasted presentation levels were observed during both waves in the ED and acute settings, and during the second wave in subacute. Reductions were most marked among those aged &gt;80 and &lt;18 years. Presentations persisted at expected levels for urgent conditions, and ED triage categories 1 and 5, with clear reductions in categories 2-4. Conclusions Our analyses suggest citizens were willing and able to present with life-threatening conditions during Melbourne's lockdowns, and that switching to telemedicine did not cause widespread spill-over from primary care into ED. During a pandemic, lockdowns may not inhibit appropriate hospital attendance where rates of infectious disease are low.</t>
  </si>
  <si>
    <t>SCOPUS_ID:3042728016</t>
  </si>
  <si>
    <t>10.1093/aje/kwh159</t>
  </si>
  <si>
    <t>Perinatal factors and development of islet autoimmunity in early childhood: The diabetes autoimmunity study in the young</t>
  </si>
  <si>
    <t>['Autoimmunity', 'Child', 'Diabetes mellitus, type I', 'Environment', 'Infant, newborn', 'Perinatal care', 'Pregnancy', 'Prospective studies']</t>
  </si>
  <si>
    <t>The objective of this study was to test whether maternal age at delivery, child's birth order, cesarean section, complicated delivery, maternal smoking during pregnancy, or neonatal jaundice predict islet autoimmunity in children at genetically increased risk of type 1 diabetes in a birth cohort with blood draws at ages 9, 15, and 24 months and yearly thereafter. Newborns with diabetes-associated human leukocyte antigen genotypes (n = 938) and offspring or siblings of persons with type 1 diabetes (n = 428) from the Denver, Colorado, metropolitan area were examined from January 1994 to February 2003. Information on perinatal factors was collected by using questionnaires soon after the birth. Islet autoimmunity was defined as positivity for â‰¥1 autoantibody to glutamic acid decarboxylase65, insulin, or protein tyrosine phosphatase-2/ICA512 at â‰¥2 consecutive visits (n = 52; mean follow-up, 3.9 years). Complicated delivery (breech, forceps, vacuum extraction) predicted a higher risk of islet autoimmunity (hazard ratio = 2.10, 95% confidence interval: 1.09, 4.05). Increasing maternal age was related to risk of islet autoimmunity among first-degree relatives of persons with type 1 diabetes (hazard ratios = 3.96 and 8.88 for maternal ages 25-34 and â‰¥35 years, respectively, compared with &lt;25 years; p for trend = 0.008. Other factors evaluated were not related to risk of islet autoimmunity. In conclusion, influences in utero or during delivery may affect the fetal immune system.</t>
  </si>
  <si>
    <t>SCOPUS_ID:85135501539</t>
  </si>
  <si>
    <t>10.1093/eurpub/ckac039</t>
  </si>
  <si>
    <t>The impact of pausing the Oxford-AstraZeneca COVID-19 vaccine on uptake in Europe: A difference-in-differences analysis</t>
  </si>
  <si>
    <t>Background: Several countries paused their rollouts of the Oxford-AstraZeneca coronavirus disease-19 (COVID-19) vaccine in mid-March 2021 due to concerns about vaccine-induced thrombosis and thrombocytopenia. Many warned that this risked damaging public confidence during a critical period of pandemic response. This study investigated whether the pause in the use of the Oxford-AstraZeneca vaccine had an impact on subsequent vaccine uptake in European countries. Methods: We used a difference-in-differences approach capitalizing on the fact that some countries halted their rollouts whilst others did not. A longitudinal panel was constructed for European Economic Area countries spanning 15 weeks in early 2021. Media reports were used to identify countries that paused the Oxford-AstraZeneca vaccine and the timing of this. Data on vaccine uptake were available through the European Centre for Disease Control and Prevention COVID-19 Vaccine Tracker. Difference-in-differences linear regression models controlled for key confounders that could influence vaccine uptake, and country and week fixed effects. Further models and robustness checks were performed. Results: The panel included 28 countries, with 19 in the intervention group and 9 in the control group. Pausing the Oxford-AstraZeneca vaccine was associated with a 0.52% decrease in uptake for the first dose of a COVID-19 vaccine and a 1.49% decrease in the uptake for both doses, comparing countries that paused to those that did not. These estimates are not statistically significant (P = 0.86 and 0.39, respectively). For the Oxford-AstraZeneca vaccine only, the pause was associated with a 0.56% increase in uptake for the first dose and a 0.07% decrease in uptake for both doses. These estimates are also not statistically significant (P = 0.56 and 0.51, respectively). All our findings are robust to sensitivity analyses. Conclusions: As new COVID-19 vaccines emerge, regulators should be cautious to deviate from usual protocols if further investigation on clinical or epidemiological grounds is warranted.</t>
  </si>
  <si>
    <t>SCOPUS_ID:33749332348</t>
  </si>
  <si>
    <t>10.2105/AJPH.2004.049296</t>
  </si>
  <si>
    <t>The mental health of married, cohabiting, and non-coresident parents with infants</t>
  </si>
  <si>
    <t>Objectives. We compared recent parents (married, cohabiting, not cohabiting but romantically involved, and not romantically involved) to examine the association between mental health problems and relationship status. Methods. We analyzed data from the Fragile Families and Child Wellbeing Study that followed a cohort of approximately 4900 births in large US cities. Our study included a large oversample of nonmarital births (n = 3700) and interviews with both mothers and fathers. We used the Composite International Diagnostic Interview Short Form to assess depression and generalized anxiety 1 year after the birth. Self reports were used to measure heavy drinking, illicit drug use, incarceration, and partner violence. Results. Unmarried parents reported more mental health and behavioral problems than did married parents, and unmarried parents whose relationships ended before the birth reported more impairment compared with other groups of unmarried parents. Conclusions. A substantial number of children are born to unmarried parents and are at risk for poor parenting and poor developmental outcomes. Government initiatives aimed at increasing marriage rates among low-income couples need to consider the mental health status of unmarried parents.</t>
  </si>
  <si>
    <t>SCOPUS_ID:84883827714</t>
  </si>
  <si>
    <t>10.1016/j.ypmed.2013.06.026</t>
  </si>
  <si>
    <t>Inequalities in Pap smear screening for cervical cancer in Brazil</t>
  </si>
  <si>
    <t>['Cancer screening', 'Epidemiology', 'Health inequities', 'Papanicolau smear', 'Tumor virus infection', 'Uterine cervical neoplasm']</t>
  </si>
  <si>
    <t>Objective: To examine the risk factors associated with never being screened for cervical cancer (CC) in Brazil. Methods: Using the National Household Sample Survey 2008 (PNAD), we analyzed data from 102,108 Brazilian women ages 25-64. years. The patients were analyzed as having been or never having been screened with a Pap smear (Yes/No). Age-adjusted prevalence of never-screening was analyzed using a Chi-squared test. Crude and adjusted models using Poisson regression were performed. Results: The prevalence of never-screened women for CC was 12.9%, 11.5% and 22.2% in Brazil in general, urban and rural areas, respectively. The Brazilian region with the highest prevalence of never-screening was the North (17.4%, 14.7% and 27.3% in general, urban and rural areas, respectively). The factors associated with a higher risk for never being screened were the following: poverty, younger age, lower educational level, non-white skin color, a greater number of children, no supplemental health insurance and not having visited a doctor in the past 12. months. Conclusion: Socioeconomic and demographic conditions lead to inequalities in access to Pap smear screening in Brazil. Public health policy addressing these risk groups is necessary. Â© 2013 Elsevier Inc.</t>
  </si>
  <si>
    <t>SCOPUS_ID:85052630767</t>
  </si>
  <si>
    <t>10.1136/jech-2018-210472</t>
  </si>
  <si>
    <t>Primary school achievement and socioeconomic attainment in individuals affected by parental cancer in childhood or adolescence: A Danish nationwide register-based study</t>
  </si>
  <si>
    <t>['cancer', 'child health', 'education', 'lifecourse / childhood circumstances', 'socio-economic']</t>
  </si>
  <si>
    <t>Background Children who experience parental cancer are at increased risk of developing emotional, social, cognitive and behavioural problems. Our aim was to investigate how experience of parental cancer in childhood or adolescence is associated with primary school achievement, educational attainment and income in early adult life. Methods This is a register-linkage, prospective study of children born in Denmark from 1978 through 1999 and their parents. Parental cancer experience before the ages of 15 and 18 was identified in the Danish National Patient Registry. Final grade point average (GPA) in ninth grade, educational attainment and disposable personal income at the age of 30 were identified in Statistics Denmark registers. General linear models and multinomial logistic regression were used to estimate beta estimates of GPA, and relative risk ratios (RRR) for lower educational and income levels compared with children without parental cancer, taking parental educational status into account. Results Children who had experienced parental cancer achieved a slightly lower final GPA in ninth grade and had a higher risk of low educational attainment (RRR: 1.20; 95% CI 1.14 to 1.25) and attenuated income at the age of 30 (RRR: 1.11; 95% CI 1.06 to 1.16). For all outcomes, analyses suggested substantial deterioration in achievements in subgroups of children whose parent had a severe cancer type (RRR Low education: 1.52; 95% CI 1.39 to 1.66) or if the parent died of cancer (RRR Low education: 1.61; 95% CI 1.49 to 1.75). Conclusion Educational and socioeconomic attainments in early adulthood were affected negatively in individuals who had experienced parental cancer as children or adolescents. The associations appeared stronger the more severe the cancer was.</t>
  </si>
  <si>
    <t>SCOPUS_ID:85037709028</t>
  </si>
  <si>
    <t>10.1093/aje/kwx185</t>
  </si>
  <si>
    <t>Parental Age and Risk of Lymphoid Neoplasms</t>
  </si>
  <si>
    <t>['adult offspring', 'case-control studies', 'lymphoma', 'maternal age', 'paternal age', 'risk factors']</t>
  </si>
  <si>
    <t>High parental age at childbirth has repeatedly been linked to childhood malignancies, while few studies have focused on the offspring's risk of adult cancer. In this population-based case-control study, we identified 32,000 patients with lymphoid neoplasms, diagnosed at ages 0-79 years during the period 1987-2011, and 160,000 matched controls in Sweden. Using prospectively registered data on their first-degree relatives, we evaluated the impact of parental age on the risk of lymphoid neoplasms by subtype. Overall, each 5-year increment in maternal age was associated with a 3% increase in incidence of offspring lymphoid neoplasms (hazard ratio = 1.03, 95% confidence interval: 1.02, 1.04). The association was similar for paternal age and present even among individuals older than 70 years of age at diagnosis. Stratified analyses further revealed that the association was limited to certain subtypes, mostly of indolent nature. Risks of chronic lymphocytic leukemia, follicular lymphoma, and mantle cell lymphoma were 5%-10% higher per 5-year increment in maternal age, but no associations were observed for acute lymphoblastic leukemia, plasma cell neoplasms, or diffuse large B-cell lymphoma. These findings indicated that prenatal genetic or epigenetic changes influence risk of adult lymphoid neoplasms and suggest a difference in this association between aggressive and indolent lymphoma subtypes.</t>
  </si>
  <si>
    <t>SCOPUS_ID:84942552752</t>
  </si>
  <si>
    <t>10.1007/s10654-015-0039-0</t>
  </si>
  <si>
    <t>Reference ranges and determinants of total hCG levels during pregnancy: the Generation R Study</t>
  </si>
  <si>
    <t>['Determinants', 'hCG', 'Pregnancy', 'Reference range']</t>
  </si>
  <si>
    <t>Human chorionic gonadotropin (hCG) is a pregnancy hormone secreted by the placental synctiotrophoblast cell layer that has been linked to fetal growth and various placental, uterine and fetal functions. In order to investigate the effects of hCG on clinical endpoints, knowledge on reference range (RR) methodology and determinants of gestational hCG levels is crucial. Moreover, a better understanding of gestational hCG physiology can improve current screening programs and future clinical management. Serum total hCG levels were determined in 8195 women participating in the Generation R Study. Gestational age specific RRs using â€˜ultrasound derived gestational ageâ€™ (US RRs) were calculated and compared with â€˜last menstrual period derived gestational ageâ€™ (LMP RRs) and a model-based RR. We also investigated which pregnancy characteristics were associated with hCG levels. Compared to the US RRs, the LMP RRs were lower, most notably for the median and lower limit levels. No considerable differences were found between RRs calculated in the general population or in uncomplicated pregnancies only. Maternal smoking, BMI, parity, ethnicity, fetal gender, placental weight and hyperemesis gravidarum symptoms were associated with total hCG. We provide gestational RRs for total hCG and show that total hCG values and RR cut-offs during pregnancy vary depending on pregnancy dating methodology. This is likely due to the influence of hCG on embryonic growth, suggesting that ultrasound based pregnancy dating might be less reliable in women with high/low hCG levels. Furthermore, we identify different pregnancy characteristics that influence total hCG levels considerably and should therefore be accounted for in clinical studies.</t>
  </si>
  <si>
    <t>SCOPUS_ID:85153606514</t>
  </si>
  <si>
    <t>10.1093/eurpub/ckad002</t>
  </si>
  <si>
    <t>Comparative understanding and preference of Nutri-Score and NutrInform Battery in a sample of Spanish consumers</t>
  </si>
  <si>
    <t>Background: Interpretive front-of-pack labels (FoPLs) are supported by World Health Organization as an important policy tool to promote healthy diets. At present, various FoPLs formats co-exist in the European Union (EU). However, as part of the Farm to Fork strategy published in 2020, the European Commission stated that it would propose a single mandatory FoPL. The aim of this study was to analyze Spanish consumers' preference and objective understanding of Nutri-Score and NutrInform, two FoPLs that are currently the subject of debate in the EU. Methods: In a representative sample of 1026 Spanish adults (50% women, mean age Â± SD = 46 Â± 14 years), objective understanding was assessed by asking participants to identify the healthiest food products in three food categories (breakfast products, breakfast cereals and added fats). The preference dimensions were tested by asking participants about the perceived helpfulness of the FoPL in discriminating the nutritional quality of food products (subjective understanding) and their overall assessment of the FoPL's ease of use, informativeness, trust and liking (perception). Results: In terms of objective understanding, Nutri-Score was significantly associated with an increase in consumers' ability to identify healthier food products across all food categories compared with NutrInform [OR (odds ratio) = 19.1 [14.2-25.7], P &lt; 0.0001]. On the preference dimension, Nutri-Score was perceived as significantly easier to use and was more liked than NutrInform (standardized principal component analysis dimension, respectively, 0.32 Â± 1.58 vs. -0.29 Â± 1.66, P &lt; 0.0001 and 0.080 Â± 1.18 vs. -0.072 Â± 1.17, P = 0.039). Conclusions: This study provides new evidence to support Nutri-Score in comparison with NutrInform in Spanish consumers, on both objective understanding and preference aspects.</t>
  </si>
  <si>
    <t>SCOPUS_ID:85051239049</t>
  </si>
  <si>
    <t>10.2105/AJPH.2018.304598</t>
  </si>
  <si>
    <t>Intergenerational continuity in adverse childhood experiences and rural community environments</t>
  </si>
  <si>
    <t>Objectives. To understand the role of the community environment on intergenerational continuity in adverse childhood experiences (ACEs) among a rural White sample. Methods. Parents in 12 counties in rural Iowa reported retrospectively on their own ACEs in 1989. We measured their child's ACEs retrospectively and prospectively across adolescence (n = 451 families). We measured structural and social process-related measures of community environment (i.e., community socioeconomic status, parents' perception of community services, perceived community social cohesion, and neighborhood alcohol vendor density) on multiple occasions during the child's adolescence. Results.The 4 measures of community environment were all correlated with the child's ACEs, but only alcohol vendor density predicted ACEs after inclusion of covariates. Intergenerational continuity in ACEs was moderated by both social cohesion (b =-0.11; SE = 0.04) and alcohol vendor density (b =-0.11; SE = 0.05). Conclusions. Efforts to increase community social cohesion and manage alcohol vendor density may assist families in breaking the cycle of maltreatment across generations.</t>
  </si>
  <si>
    <t>SCOPUS_ID:38549087566</t>
  </si>
  <si>
    <t>10.1093/eurpub/ckm049</t>
  </si>
  <si>
    <t>Associations between sport participation, demographic and socio-cultural factors in Portuguese children and adolescents</t>
  </si>
  <si>
    <t>['Adolescents', 'Children', 'Demographic', 'Socio-cultural', 'Sport participation']</t>
  </si>
  <si>
    <t>Background: The number of studies that focus on factors influencing the sport participation (SP) of children and adolescents is limited. The present study examines the associations between demographic [age, gender and socio-economic status (SES)] and socio-cultural factors (SP of family, and peers and physical educator influences) and the SP of children and adolescents. Methods: A random sample of 3352 Portuguese children/adolescents, 10-18 years, their parents and siblings was surveyed. The assessment of SP was based on a psychometrically established questionnaire. Multivariable logistic regression was used in data analysis. Results: (i) age was not related to children/adolescent's SP; (ii) children/adolescents with high SES (OR:1.7, 95%CI:1.4-2.2) and medium SES (OR:1.4, 95%CI:1.1-1.7) were more involved in sports; (iii) children/adolescents were more likely to participate in sports when their family also participate; (iv) boys were more likely to participate in sports than girls (adjusted OR:3.3, 95%CI:2.8-3.9 from a main effects model), but mother's SP influenced their daughters and sons differently. Daughters showed a greater propensity for practising sports when their mothers did (OR:2.5; 95%CI:1.7-3.6). For sons, sports involvement was similar whether or not their mothers participated (OR:1.1; 95%CI:0.7-1.7); (v) peers had a positive influence on the participants' SP (OR:2.2, 95%CI:1.9-2.7); (vi) after adjusting for other factors, the influence of a physical education teacher was not found to affect the SP of the children/adolescents. Conclusion: There are important demographic and socio-cultural influences on the SP of children/adolescents - in particular, gender, SES, family members' SP and peer influence. Â© The Author 2007. Published by Oxford University Press on behalf of the European Public Health Association. All rights reserved.</t>
  </si>
  <si>
    <t>SCOPUS_ID:71549123257</t>
  </si>
  <si>
    <t>10.1093/aje/kwp282</t>
  </si>
  <si>
    <t>Adherence to the mediterranean diet and risk of coronary heart disease in the spanish EPIC cohort study</t>
  </si>
  <si>
    <t>['Cohort studies', 'Coronary disease', 'Diet, Mediterranean', 'Incidence', 'Mediterranean region', 'Primary prevention']</t>
  </si>
  <si>
    <t>No known cohort study has investigated whether the Mediterranean diet can reduce incident coronary heart disease (CHD) events in a Mediterranean population. This study examined the relation between Mediterranean diet adherence and risk of incident CHD events in the 5 Spanish centers of the European Prospective Investigation into Cancer and Nutrition. Analysis included 41,078 participants aged 29-69 years, recruited in 1992-1996 and followed up until December 2004 (mean follow-up:10.4 years). Confirmed incident fatal and nonfatal CHD events were analyzed according to Mediterranean diet adherence, measured by using an 18-unit relative Mediterranean diet score. A total of 609 participants (79% male) had a fatal or nonfatal confirmed acute myocardial infarction (n = 468) or unstable angina requiring revascularization (n = 141). After stratification by center and age and adjustment for recognized CHD risk factors, high compared with low relative Mediterranean diet score was associated with a significant reduction in CHD risk (hazard ratio = 0.60, 95% confidence interval: 0.47, 0.77). A 1-unit increase in relative Mediterranean diet score was associated with a 6% reduced risk of CHD (95% confidence interval: 0.91, 0.97), with similar risk reductions by sex. Mediterranean diet adherence was associated with a significantly reduced CHD risk in this Mediterranean country, supporting its role in primary prevention of CHD in healthy populations.</t>
  </si>
  <si>
    <t>SCOPUS_ID:84952905904</t>
  </si>
  <si>
    <t>10.1093/ije/dyv119</t>
  </si>
  <si>
    <t>Cohort profile update: The China Jintan Child Cohort Study</t>
  </si>
  <si>
    <t>The China Jintan Child Cohort study began in 2004 with 1656 pre-school participants and a research focus on studying the impact of environmental exposures, such as lead, on children's neurobehavioural outcomes. This population cohort now includes around 1000 of the original participants, who have been assessed three times over a period of 10 years. Since the original IJE cohort profile publication in 2010, participants have experienced a critical developmental transition from pre-school to school age and then adolescence. The study has also witnessed an increase in breadth and depth of data collection from the original aim of risk assessment. This cohort has added new directions to investigate the mechanisms and protective factors for the relationship between early health factors and child physical and mental health outcomes, with an emphasis on neurobehavioural consequences. The study now encompasses 11 domains, composed of repeated measures of the original variables and new domains of biomarkers, sleep, psychophysiology, neurocognition, personality, peer relationship, mindfulness and family dynamics. Depth of evaluation has increased from parent/teacher report to self/peer report and intergenerational family report. Consequently, the cohort has additional directions to include: (i) classmates of the original cohort participants for peer relationship assessment; and (ii) parental and grandparental measures to assess personality and dynamics within families. We welcome interest in our study and ask investigators to contact the corresponding author for additional information on data acquisition.</t>
  </si>
  <si>
    <t>SCOPUS_ID:0029841886</t>
  </si>
  <si>
    <t>10.2105/AJPH.86.9.1260</t>
  </si>
  <si>
    <t>Occasional smoking in a Minnesota working population</t>
  </si>
  <si>
    <t>Objectives. This study examined the prevalence of occasional smoking in a population of working adults, compared the characteristics of occasional and daily smokers, and prospectively examined the long-term smoking patterns of occasional smokers. Methods. At 32 Minnesota work sites, 5681 randomly selected workers were surveyed at baseline; 5248 of these were surveyed again 2 years later. A cross-sectional sample of 5817 workers was also surveyed at follow-up. Results. Occasional smokers constituted 18.3% of all smokers in the baseline sample and 21.5% of all smokers in the cross-sectional sample surveyed 2 years later. Baseline occasional smokers were significantly more likely than daily smokers to have quit at follow-up. Job monotony or repetitiveness was related to an increase to daily smoking at follow-up among baseline occasional smokers, and a change to a more restrictive workplace smoking policy was associated with quitting. Conclusions. The results confirm that a substantial proportion of smokers are low-rate users and suggest that the proportion may be rising. Further research on this group is warranted.</t>
  </si>
  <si>
    <t>SCOPUS_ID:35248829607</t>
  </si>
  <si>
    <t>10.1016/j.ypmed.2007.07.011</t>
  </si>
  <si>
    <t>Concordance of population-based estimates of mammography screening</t>
  </si>
  <si>
    <t>['Breast cancer', 'Guideline adherence', 'Health maintenance organization', 'Mammography', 'Methods', 'Prevalence', 'Quality indicators', 'Screening']</t>
  </si>
  <si>
    <t>Objective: Estimates of adherence to mammography screening guidelines vary, in part, due to lack of consensus on defining adherence. This study estimated adherence to repeat (two successive on-time screenings) and regular screening (three or more successive screenings) and evaluated the impact of varying operational definitions and evaluation periods. Methods: The study included women aged 50-80 without a history of breast cancer who: were on a biennial screening cycle and due for a screening mammogram between 1995 and 1996; underwent screening (index date) in response to a reminder letter; and belonged to Group Health, an integrated health care delivery system in Washington State, for 6 or more years after the index date. Automated records provided information on enrollment, health care utilization, and procedures. Results: Among 1336 women, 67-82% experienced a repeat screen. Adherence to regular screening over the 6-year evaluation period was 42-84%-and higher with longer allowable intervals between screenings, when definitions did not require on-schedule screenings, when intervals were reset after a diagnostic mammogram, and for shorter evaluation periods. Conclusion: Estimates of adherence to screening guidelines varied by the operational definition of "success" and time period of evaluation. Consensus in definitions and terminology is needed to compare evaluations. Â© 2007 Elsevier Inc. All rights reserved.</t>
  </si>
  <si>
    <t>SCOPUS_ID:84959044970</t>
  </si>
  <si>
    <t>10.2105/AJPH.2015.302973</t>
  </si>
  <si>
    <t>The implications of unintended pregnancies for mental health in later life</t>
  </si>
  <si>
    <t>Despite decades of research on unintended pregnancies, we know little about the health implications for the women who experience them. Moreover, no study has examined the implications for women whose pregnancies occurred before Roe v.Wade was decided\-nor whether the mental health consequences of these unintended pregnancies continue into later life. Using the Wisconsin Longitudinal Study, a 60-year ongoing survey, we examined associations between unwanted and mistimed pregnancies and mental health in later life, controlling for factors such as early life socioeconomic conditions, adolescent IQ, and personality.We found that in this cohort of mostly married and White women, who completed their pregnancies before the legalization of abortion, unwanted pregnancies were strongly associated with poorer mental health outcomes in later life.</t>
  </si>
  <si>
    <t>SCOPUS_ID:0037446495</t>
  </si>
  <si>
    <t>10.1093/aje/kwg035</t>
  </si>
  <si>
    <t>Geographic variation in the prevalence of common mental disorders in Britain: A multilevel investigation</t>
  </si>
  <si>
    <t>['Anxiety', 'Cross-sectional studies', 'Depression', 'Geography', 'Mental disorders', 'Prevalence', 'Questionnaires', 'Residence characteristics']</t>
  </si>
  <si>
    <t>It is still not known whether the places that people live affect their mental health. The principal aim of this 1991 study was to quantify simultaneously variance in the prevalence of the most common mental disorders, anxiety and depression, in Britain at the individual, household, and electoral ward levels. Data from a cross-sectional, nationally representative survey of 8,979 adults aged 16-74 years living in private households nested within 642 electoral wards in England, Wales, and Scotland were analyzed by using multilevel logistic and linear regression. Common mental disorders were assessed by using the General Health Questionnaire. Less than 1% of the total variance in General Health Questionnaire scores occurred at the ward level. This variance was further reduced and was no longer statistically significant after adjustment for characteristics of persons. By contrast, the proportion of total variance at the household level (14.4%, 95% confidence interval: 11.4, 17.5 in the null model) (p &lt; 0.001) was statistically significant and remained so after adjustment for individual- and household-level exposures. While these findings suggest that future interventions should target persons and households rather than places, further research is first required to establish whether other (particularly smaller) areas lead to similar results.</t>
  </si>
  <si>
    <t>SCOPUS_ID:76649124243</t>
  </si>
  <si>
    <t>10.1093/aje/kwp393</t>
  </si>
  <si>
    <t>Comparing 3 dietary pattern methods-cluster analysis, factor analysis, and index analysis-with colorectal cancer risk</t>
  </si>
  <si>
    <t>['Colorectal neoplasms', 'Food habits', 'Risk']</t>
  </si>
  <si>
    <t>The authors compared dietary pattern methods-cluster analysis, factor analysis, and index analysis-with colorectal cancer risk in the National Institutes of Health (NIH)-AARP Diet and Health Study (n = 492,306). Data from a 124-item food frequency questionnaire (1995-1996) were used to identify 4 clusters for men (3 clusters for women), 3 factors, and 4 indexes. Comparisons were made with adjusted relative risks and 95% confidence intervals, distributions of individuals in clusters by quintile of factor and index scores, and health behavior characteristics. During 5 years of follow-up through 2000, 3,110 colorectal cancer cases were ascertained. In men, the vegetables and fruits cluster, the fruits and vegetables factor, the fat-reduced/diet foods factor, and all indexes were associated with reduced risk; the meat and potatoes factor was associated with increased risk. In women, reduced risk was found with the Healthy Eating Index-2005 and increased risk with the meat and potatoes factor. For men, beneficial health characteristics were seen with all fruit/vegetable patterns, diet foods patterns, and indexes, while poorer health characteristics were found with meat patterns. For women, findings were similar except that poorer health characteristics were seen with diet foods patterns. Similarities were found across methods, suggesting basic qualities of healthy diets. Nonetheless, findings vary because each method answers a different question.</t>
  </si>
  <si>
    <t>SCOPUS_ID:84929379981</t>
  </si>
  <si>
    <t>10.2105/AJPH.2014.302464</t>
  </si>
  <si>
    <t>Content-driven analysis of an online community for smoking cessation: Integration of qualitative techniques, automated text analysis, and affiliation networks</t>
  </si>
  <si>
    <t>Objectives. We identified content-specific patterns of network diffusion underlying smoking cessation in the context of online platforms, with the aim of generating targeted intervention strategies. Methods. QuitNet is an online social network for smoking cessation. We analyzed 16 492 de-identified peer-to-peer messages from 1423 members, posted between March 1 and April 30, 2007. Our mixed-methods approach comprised qualitative coding, automated text analysis, and affiliation network analysis to identify, visualize, and analyze content-specific communication patterns underlying smoking behavior. Results. Themes we identified in QuitNet messages included relapse, QuitNet-specific traditions, and cravings. QuitNet members who were exposed to other abstinent members by exchanging content related to interpersonal themes (e.g., social support, traditions, progress) tended to abstain. Themes found in other types of content did not show significant correlation with abstinence. Conclusions. Modeling health-related affiliation networks through content-driven methods can enable the identification of specific content related to higher abstinence rates, which facilitates targeted health promotion.</t>
  </si>
  <si>
    <t>SCOPUS_ID:0037320436</t>
  </si>
  <si>
    <t>10.1093/ije/dyg001</t>
  </si>
  <si>
    <t>Polymorphisms in CYP1A1, GSTM1, GSTT1 and lung cancer below the age of 45 years</t>
  </si>
  <si>
    <t>Background. A genetic component of early-onset lung cancer has been suggested. The role of metabolic gene polymorphisms has never been studied in young lung cancer cases. Phase 1 and Phase 2 gene polymorphisms are involved in tobacco carcinogens' metabolism and therefore in lung cancer risk. Methods. The effect of metabolic gene polymorphisms on lung cancer at young ages was studied by pooling data from the Genetic Susceptibility to Environmental Carcinogens (GSEC) database. All primary lung cancer cases of both sexes who were Caucasian and â‰¤45 years of age at diagnosis, and the corresponding controls were selected. We obtained 261 cases and 1452 controls. Results. There was a marginally significant association between lung cancer and GSTT1 null genotype (OR = 1.2; 95% CI: 1.0-1.6), and a significant association between lung cancer and the homozygous CYP1A1 Msp1 variant allele (CYP1A1*2A and *2B) genotype (OR = 4.7 95% CI: 1.2-19.0). When data were stratified by smoking status, the association between CYP1A1 genotype and lung cancer was confined to never smokers. Conclusions. These results suggest that metabolic genetic factors play a role in lung cancer developing at young ages.</t>
  </si>
  <si>
    <t>SCOPUS_ID:84869174479</t>
  </si>
  <si>
    <t>10.2105/AJPH.2012.300670</t>
  </si>
  <si>
    <t>Shifts in mortality during a hot weather event in Vancouver, British columbia: Rapid assessment with case-only analysis</t>
  </si>
  <si>
    <t>Objectives: We assessed shifts in patterns of mortality during a hot weather event in greater Vancouver, British Columbia. Methods: We used a case-only analysis to compare characteristics of individuals who died during the hottest week of 2009 with those who died (1) during earlier summer weeks in 2009 and (2) during the same calendar weeks in the summers of 2001 through 2008. Results: Compared with the 8 previous weeks of 2009, odds of mortality during the summer's hottest week were highest in the 65 to 74 years age category, compared with the 85 years and older category (odds ratio [OR] = 1.47;95% confidence interval [CI] = 1.06, 2.03). The number of deaths at home increased over deaths in hospitals or institutions (OR = 1.43;95% CI = 1.10, 1.86). Densely populated administrative health areas were more affected. Conclusions: A shift toward deaths at home suggests that in-home-based protective measures should be part of planning for hot weather events in greater Vancouver. Targeting should be considered for those aged 65 to 74 years. The case-only approach is quick and easy to apply and can provide useful information about localized, time-limited events.</t>
  </si>
  <si>
    <t>SCOPUS_ID:0034912156</t>
  </si>
  <si>
    <t>10.1136/jech.55.8.573</t>
  </si>
  <si>
    <t>Cigarette smoking, alcohol intoxication and major depressive episode in a representative population sample</t>
  </si>
  <si>
    <t>Objective - This study investigated the associations of cigarette smoking and alcohol intoxication with major depressive episode. Design - Major depressive episode during the past 12 months was assessed in a national representative cross sectional study using the Short Form of the University of Michigan version of the Composite International Diagnostic Interview (the UM-CIDI Short Form). Subjects - A random sample of 5993 non-institutionalised Finnish people aged 15-75 years was interviewed as a part of the 1996 Finnish Health Care Survey. Results - In logistic regression models the factors associated with major depressive episode in the past 12 months were smoking 10 or more cigarettes daily (odds ratio (OR) 2.26; 95% confidence intervals (95% CI) 1.68, 3.04) and alcohol intoxication at least once a week (OR 2.99; 95%CI 1.70, 5.25). Their effects were independent of each other, and remained significant even after adjusting for other major risk factors (marital status, education, unemployment and chronic diseases). The attributable proportion (a measure of the impact of the risk factors of the disease on the population) for daily smoking of 10 or more cigarettes was 0.15, and for alcohol intoxication at least once a week 0.04. Conclusion - Cigarette smoking and alcohol intoxication seem to be important risk factors for major depressive episode. In this population the impact of smoking was greater.</t>
  </si>
  <si>
    <t>SCOPUS_ID:0035242616</t>
  </si>
  <si>
    <t>10.1093/aje/153.3.232</t>
  </si>
  <si>
    <t>Repeated hospitalizations and self-rated health among the elderly: A multivariate failure time analysis</t>
  </si>
  <si>
    <t>['Coronary disease', 'Health services for the aged', 'Health status indicators', 'Hospitals', 'Myocardial ischemia', 'Statistical methods', 'Survival analysis']</t>
  </si>
  <si>
    <t>The purpose of this study was to determine to what extent a single measure, self-rated health (SRH), independently predicts long-term hospitalizations due to all causes and to cardiovascular diseases by using both the standard Cox proportional hazards model and a more robust events model. The study cohort consisted of 2,812 elderly subjects residing in New Haven, Connecticut, who were followed from 1982 to 1996 as part of the Established Populations for Epidemiologic Study of the Elderly. After adjustment for baseline risk factors, using the Cox model, a favorable SRH was associated with a significantly lowered risk for a first hospitalization for all causes (risk ratio (RR) = 0.850, 95% confidence interval (CI): 0.774, 0.934) and congestive heart failure (RR = 0.599, 95% CI: 0.426, 0.841) but not for myocardial infarction (RR = 0.882, 95% CI: 0.565, 1.379). With the adjusted robust events model, a positive SRH was associated with a decreased risk in both a first (RR = 0.813, 95% CI: 0.744, 0.889) and a second (RR = 0.870, 95% CI: 0.782, 0.968) hospitalization for any cause. These results indicate that a single measurement of SRH predicts long-term patterns of hospitalization, especially for heart failure, among older adults.</t>
  </si>
  <si>
    <t>SCOPUS_ID:84884999048</t>
  </si>
  <si>
    <t>10.1093/eurpub/cks146</t>
  </si>
  <si>
    <t>Investigating cervical, oesophageal and colon cancer risk and survival among migrants in the Netherlands</t>
  </si>
  <si>
    <t>Background: Studies on cancer in migrants can shed light on grey areas in cancer aetiology and can help assessing the effectiveness of prevention measures. In this study, we aimed to determine the impact of migration and different ethnic backgrounds on cervical, colon and oesophageal cancer risk and survival. Methods: Cancers diagnosed in 1996-2009 were selected from The Netherlands Cancer Registry. Besides standardized incidence ratios, differences in survival were explored using Cox regression and relative survival analysis. Results: All migrant women had increased risks for cervical cancer when compared with Dutch native women, ranging from standardized incidence ratio = 1.8 (95% confidence interval 1.6-2.2) in Surinamese women to 1.2 (0.9-1.5) in Turkish women. Relative survival was better among Moroccan, Surinamese and Antillean migrants [5-year relative survival rates (RSR) range: 71-73%] compared with that of native Dutch (66%); however, it was poorer in Indonesians (51%). Although oesophageal cancer risk was lower in all migrants with Standardized incidence ratios ranging from 0.1 to 0.6, survival was slightly lower relative to Dutch natives (1-year RSR: 21-32% compared with 37%; Turkish: 42%). Colon cancer was less common among migrants, particularly among Moroccans and Turkish. Five-year RSR from colon cancer was equal or better in all migrants (range: 48% in Indonesians to 62% in Turkish) compared with Dutch natives (48%). Conclusion: Risk of cervical, oesophageal and colon cancer in migrants mainly reflects the risks in their countries of origin. Almost similar cancer survival rates in migrants and native Dutch individuals points towards successful and comprehensive health care in The Netherlands. Primary cancer prevention should target high-risk groups and involve migration-sensitive approaches. Â© 2012 The Author 2012. Published by Oxford University Press on behalf of the European Public Health Association. All rights reserved.</t>
  </si>
  <si>
    <t>SCOPUS_ID:85116602537</t>
  </si>
  <si>
    <t>10.1016/j.amepre.2021.05.023</t>
  </si>
  <si>
    <t>Impact of a Prison Therapeutic Diversion Unit on Mental and Behavioral Health Outcomes</t>
  </si>
  <si>
    <t>Introduction: Incarcerated individuals with mental health disorders are disproportionally sent to restrictive housing (i.e., solitary confinement), which is known to have deleterious impacts on mental health. In response, North Carolina's prison system developed Therapeutic Diversion Units, treatment-oriented units for incarcerated individuals with high mental health needs who cycle in and out of restrictive housing. This analysis compares the impact of restrictive housing and Therapeutic Diversion Units on infractions, mental health, and self-harm among incarcerated individuals. Methods: Data were 2016â€“2019 incarceration records from North Carolina prisons. Outcomes were rates of infractions, inpatient mental health admissions, and self-harm in restrictive housing and Therapeutic Diversion Units. Inverse probability of treatment weights was used to adjust for confounding, and Poisson regression with generalized estimating equations was used to estimate adjusted rate ratios. Analyses were conducted between January and December 2020. Results: The analytic sample was 3,480 people, of whom 463 enrolled in a Therapeutic Diversion Unit. Compared with Therapeutic Diversion Unit rates, the rate of infractions was 3 times as high in restrictive housing (adjusted rate ratio=2.99, 95% CI=2.31, 3.87), the inpatient mental health admissions rate was 3.5 times as high (adjusted rate ratio=3.57, 95% CI=1.97, 6.46), and the self-injury incident rate was 3.5 times as high (adjusted rate ratio=3.46, 95% CI=2.11, 5.69). Conclusions: Therapeutic Diversion Unit use had strong impacts on infractions, mental health, and self-harm. Therapeutic Diversion Units provide a promising alternative to restrictive housing for individuals with mental health disorders.</t>
  </si>
  <si>
    <t>SCOPUS_ID:0027265339</t>
  </si>
  <si>
    <t>10.1093/oxfordjournals.aje.a116854</t>
  </si>
  <si>
    <t>Composite risk score for kaposi's sarcoma based on a case-control and longitudinal study in the multicenter AIDS cohort study (MACS) population</t>
  </si>
  <si>
    <t>['Acquired immunodeficiency syndrome', 'Infection', "Kaposi's", 'Risk factors', 'Sarcoma']</t>
  </si>
  <si>
    <t>The possibility that an agent in addition to human immunodeficiency virus type 1 may be involved in the etiology of Kaposi's sarcoma in acquired immunodeficiency syndrome (AIDS) patients was investigated between 1984 and 1992 in this nested case-control analysis from the Multicenter AIDS Cohort Study (MACS) of homosexual and bisexual men. A total of 316 cases of Kaposi's sarcoma were identified and compared with 510 participants with AIDS and no evidence of cancer. More of the Kaposi's sarcoma cases were from Los Angeles and used a higher number of recreational drugs. The Kaposi's sarcoma cases were also more active sexually. There was a dose-response relation between Kaposi's sarcoma and the number of sexual partners, with an odds ratio of 2 between the most and least sexually active subgroups. The odds ratio for Kaposi's sarcoma increased to 4.18 (95% confidence interval 1.29-14.1) in the presence of a history of five infections. Hepatitis and gonorrhea contributed the most to this relation. The various observed odds ratios did not change after multivariate adjustment for the other risk factors. A model was developed combining all predictive associations into a composite risk score ranging from one to 12 and based on history of infections, sexual activity, use of poppers/nitrites, and having had sexual partners from the West Coast of the United States. The subgroup with the highest scores, compared to the subgroup with the lowest score, had an odds ratio of 8.93 (95% confidence interval 3.21-30.44) for Kaposi's sarcoma. A longitudinal proportional hazards analysis among all 2,190 human immunodeficiency virus type 1 -seroprevalent men at study entry, based on this risk score and CD4 cells at baseline, confirmed these findings. Identifying these specific subgroups that are at high and low risk for Kaposi's sarcoma will help future investigations to be more focused in their search for an additional etiologic factor for Kaposi's sarcoma in AIDS. Am J Epidemiol 1993; 138:256-65. Â© 1993 by The Johns Hopkins University School of Hygiene and Public Health.</t>
  </si>
  <si>
    <t>SCOPUS_ID:57149110433</t>
  </si>
  <si>
    <t>10.2105/AJPH.2007.131680</t>
  </si>
  <si>
    <t>Past trends and current status of self-reported incidence and impact of disease and nonbattle injury in military operations in Southwest Asia and the Middle East</t>
  </si>
  <si>
    <t>Objectives. To evaluate the evolutional changes in disease and nonbattle injury in a long-term deployment setting, we investigated trends of selected disease and nonbattle injury (NBI) incidence among US military personnel deployed in ongoing military operations in Southwest Asia and the Middle East. Methods. Participants completed an anonymous questionnaire concerning diarrhea, acute respiratory illness (ARI), and NBIs. We compared incidence, morbidity, and risk associations of disease and NBI incidence with historical data. We analyzed a clinic screening form to describe trends in diarrhea incidence over a 3-year period. Results. Between April 2006 and March 2007, 3374 troops completed deployment questionnaires. Incidence of diarrhea was higher than that of ARI and NBI (12.1, 7.1, and 2.5 episodes per 100 person-months, respectively), but ARI and NBI resulted in more-frequent health system utilization (both P&lt;.001) and decreased work performance (P&lt;.001 and P=.05, respectively) than did diarrhea. Compared with historical disease and NBI incidence rates, diarrhea and NBI incidence declined over a 4-year period, whereas ARI remained relatively constant. Conclusions. Diarrhea, ARI, and NBI are important health concerns among deployed military personnel. Public health and preventive measures are needed to mitigate this burden.</t>
  </si>
  <si>
    <t>SCOPUS_ID:84962843818</t>
  </si>
  <si>
    <t>10.1016/j.ypmed.2016.03.010</t>
  </si>
  <si>
    <t>2015 Legislative update of e-cigarette youth access and exposure laws</t>
  </si>
  <si>
    <t>['Adolescent health', 'E-cigarette', 'E-cigarette laws', 'Electronic cigarette', 'Youth access']</t>
  </si>
  <si>
    <t>Background: As of November 15, 2013, 22 states had passed laws explicitly addressing youth access to electronic cigarettes (e-cigarettes); by 2014, this increased to 41 states. Also in 2014, more than 13.4% of youth in the U.S. reported using e-cigarettes, making e-cigarette use more prevalent than conventional cigarette use (9.2%). Methods: We examined 221 bills addressing youth access and exposure to e-cigarettes between January 1 and November 1, 2015. Text searches on individual state general assembly websites and secondary sources were employed for data collection. Laws were analyzed using seven measures identified to protect adolescents from nicotine initiation and use. Results: Two states (MI, PA) and Washington D.C. do not regulate the sale or distribution of e-cigarettes to youth as of November 1, 2015. Additionally, seventeen states have passed laws requiring e-cigarettes to use child-safety packaging to minimize unintended poisoning. As of July 1, 2016, four states (KS, LA, MN, and NC) will tax e-cigarettes. Oregon prohibits the use of e-cigarettes in cars with children under 18 years of age, and Wyoming requires the public health department to develop educational campaigns to better educate the state on the risks of nicotine and tobacco products. Conclusion: While states are closing the gap of youth nicotine exposure, there remains a need to protect youth from e-cigarettes access, which can cause adverse health effects of brain development, lung function and potentially lead to addiction. Recommendation for the FDA to regulate e-cigarettes federally would close this regulation gap and protect youth across the U.S.</t>
  </si>
  <si>
    <t>SCOPUS_ID:0031441915</t>
  </si>
  <si>
    <t>10.1093/eurpub/7.4.418</t>
  </si>
  <si>
    <t>Trends in sexual risk behaviour among Turkish/Moroccan adolescents in the Netherlands 1990-1995</t>
  </si>
  <si>
    <t>['Adolescents', 'Condom use', 'HIV', 'Sexual attitudes', 'Sexual behaviour']</t>
  </si>
  <si>
    <t>Background: in 1990, a national survey on adolescent sexuality showed that Turkish/Moroccan students were at special risk for sexually transmitted diseases. In 1995 the study was repeated. This article describes trends in the safe sex knowledge and sexual behaviour of Turkish/Moroccan students. The results are also seen in relation to those of Dutch students. Methods: data were collected from representative samples of students aged 11-18 years old in 1990 and in 1995, using structured questionnaires. Results: knowledge about AIDS among Turkish/Moroccan students increased. Boys became more permissive in their sexual attitudes, though the proportion of boys with coital experience did not change. Condom use among boys increased from 49 to 75%. The differences in sexual attitudes and behaviour between Turkish/Moroccan boys and girls increased. The Turkish/Moroccan boys became more similar to their Dutch counterparts, while the Turkish/Moroccan girls did not. Conclusions: these results suggest that safe sex education may have advantageous effects on Turkish/Moroccan adolescents' risk of sexually transmitted diseases.</t>
  </si>
  <si>
    <t>SCOPUS_ID:23944459858</t>
  </si>
  <si>
    <t>10.1093/aje/kwi229</t>
  </si>
  <si>
    <t>An exploratory analysis of criteria for the metabolic syndrome and its prediction of long-term cardiovascular outcomes: The Hoorn study</t>
  </si>
  <si>
    <t>['Cardiovascular diseases', 'Metabolic syndrome X', 'Morbidity', 'Mortality']</t>
  </si>
  <si>
    <t>Studies have shown an increased risk of cardiovascular outcomes with the metabolic syndrome, but information on predictive properties of the National Cholesterol Education Program Adult Treatment Panel 3 (NCEP) criteria is sparse. The authors used data from the Hoorn population-based study in the Netherlands including 2,484 participants aged 50-75 years examined in 1989 and followed for cardiovascular morbidity and mortality through 2000 to assess NCEP criteria, excluding known diabetes or cardiovascular disease. Cluster analyses explored whether NCEP identifies a mixture of heterogeneous groups. For each gender, participants meeting NCEP criteria seemed to be divided into clusters distinguished primarily by triglycerides or high density lipoprotein cholesterol. Cutpoints for components predicting cardiovascular events using classification and survival tree methodology varied by endpoint and gender, but Cox model hazards ratios were relatively comparable regardless of cutpoints (range: 1.3-2.5). Clear gradation in risk of cardiovascular outcomes was evident with increasing number of components, with statistically elevated risk for â‰¥3 (NCEP) components in men but for â‰¥2 components in women. Exploratory analyses of alternative metabolic syndrome criteria suggest cardiovascular risk estimates comparable to those derived by using NCEP, but criteria evaluating risk on more of a continuum would potentially allow consideration of alternative definitions by gender or for patients with other risk factors. Copyright Â© 2005 by the Johns Hopkins Bloomberg School of Public Health. All rights reserved.</t>
  </si>
  <si>
    <t>SCOPUS_ID:0842348903</t>
  </si>
  <si>
    <t>10.2105/AJPH.94.2.255</t>
  </si>
  <si>
    <t>Confirming "truth": More Evidence of a Successful Tobacco Countermarketing Campaign in Florida</t>
  </si>
  <si>
    <t>This study provides additional evidence that Florida's "truth" tobacco countermarketing campaign was successful in reducing smoking among Florida teens. Smoking rates were substantially lower among Florida teens between fall 2001 and spring 2002. whereas previous studies found that smoking rates were comparable before the launch of "truth." Florida teens had higher levels of "truth" campaign awareness and were more likely to agree with campaign-targeted beliefs: 2 of these beliefs were the only items associated with current smoking.</t>
  </si>
  <si>
    <t>SCOPUS_ID:34548611662</t>
  </si>
  <si>
    <t>10.1016/j.amepre.2007.06.003</t>
  </si>
  <si>
    <t>Child Maltreatment, Youth Violence, and Intimate Partner Violence. Developmental Relationships</t>
  </si>
  <si>
    <t>Background: Understanding the cycle of violence, from victimization to perpetration across the life span, is critical for designing successful prevention interventions. This study uses a nationally representative sample to examine the developmental relationships among three forms of child maltreatment, youth violence perpetration or victimization, and young adult intimate partner violence (IPV) perpetration or victimization. Methods: Data describing self-reported youth violence perpetration (or victimization) from Wave I of the National Longitudinal Study of Adolescent Health (1994-1995) were matched with self-reported IPV perpetration (or victimization) in young adult sexual relationships and retrospective reports of child maltreatment collected during Wave III (2001-2002). Bivariate probit regression models were used to analyze the developmental relationships between child maltreatment, youth violence, and IPV. Analyses were completed in September 2006. Results: Compared to nonvictims of child maltreatment, victims of child maltreatment are more likely to perpetrate youth violence (a likelihood increase ranging from -1.2% to 6.6% for females and 3.7% to 11.9% for males) and young adult IPV (an increase from 8.7% to 10.4% for females and from 1.3% to 17.2% for males), although the direct and indirect effects vary by type of child maltreatment experienced. Gender differences exist in the links between child maltreatment, youth violence and IPV, and in the effects of socioeconomic factors on youth violence and IPV. Conclusions: Results suggest that it may be important to account for gender differences when designing violence prevention programs, and an integrative approach is critical for stopping the developmental trajectory of violence. Â© 2007 American Journal of Preventive Medicine.</t>
  </si>
  <si>
    <t>SCOPUS_ID:84968927998</t>
  </si>
  <si>
    <t>10.2105/AJPH.2016.303089</t>
  </si>
  <si>
    <t>Disability-free life expectancy over 30 years: A growing female disadvantage in the US population</t>
  </si>
  <si>
    <t>Objectives. To examine changes in active life expectancy in the United States over 30 years for older men and women (aged â‰¥ 65 years). Methods.We used the 1982 and 2004 National Long Term Care Survey and the 2011 National Health and Aging Trends Study to estimate age-specific mortality and disability rates, the overall chances of survival and of surviving without disability, and years of active life for men and women. Results. For older men, longevity has increased, disability has been postponed to older ages, disability prevalence has fallen, and the percentage of remaining life spent active has increased. However, for older women, small longevity increases have been accompanied by even smaller postponements in disability, a reversal of a downward trend in moderate disability, and stagnation of active life as a percentage of life expectancy. As a consequence, older women no longer live more active years than men, despite their longer lives. Conclusions. Neither a compression nor expansion of late-life disability is inevitable. Public health measures directed at older women to postpone disability may be needed to offset impending long-term care pressures related to population aging.</t>
  </si>
  <si>
    <t>SCOPUS_ID:84930650741</t>
  </si>
  <si>
    <t>10.1016/j.ypmed.2015.05.014</t>
  </si>
  <si>
    <t>Dietary patterns in relation to quality-adjusted life years in the EPIC-NL cohort</t>
  </si>
  <si>
    <t>['Dietary patterns', 'Prospective studies', 'Quality-adjusted life years']</t>
  </si>
  <si>
    <t>Background: Dietary patterns have been associated with the incidence or mortality of individual non-communicable diseases, but their association with disease burden has received little attention. Objective: The aim of our study was to relate dietary patterns to health expectancy using quality-adjusted life years (QALYs) as outcome parameter. Methods: Data from the EPIC-NL study were used, a prospective cohort study of 33,066 healthy men and women aged 20-70 years at recruitment. A lifestyle questionnaire and a validated food frequency questionnaire were administered at study entry (1993-1997). Five dietary patterns were studied: three a priori patterns (the modified Mediterranean Diet Score (mMDS), the WHO-based Healthy Diet Indicator (HDI) and the Dutch Healthy Diet index (DHD-index)) and two a posteriori data-based patterns. QALYs were used as a summary health measure for healthy life expectancy, combining a person's life expectancy with a weight reflecting loss of quality of life associated with having chronic diseases. Results: The mean QALYs of the participants were 74.9 (standard deviation 4.4). A higher mMDS and HDI were associated with a longer life in good health. Participants who had a high mMDS score (6-9) had 0.17 [95% CI, 0.05; 0.30] more QALYs than participants with a low score (0-3), equivalent to two months longer life in good health. Participants with a high HDI score also had more QALYs (0.15 [95% CI, 0.03; 0.27]) than participants with a low HDI score. Conclusion: A Mediterranean-type diet and the Healthy Diet Indicator were associated with approximately 2. months longer life in good health.</t>
  </si>
  <si>
    <t>SCOPUS_ID:0028957467</t>
  </si>
  <si>
    <t>10.1097/00001648-199505000-00014</t>
  </si>
  <si>
    <t>Optimal case-control matching in practice</t>
  </si>
  <si>
    <t>['Balancing score', 'Covariate imbalance', 'Epidemiologic methods', 'Individual case-control matching', 'Weighted distance measure']</t>
  </si>
  <si>
    <t>We illustrate modern matching techniques and discuss practical issues in defining the closeness of matching for retrospective case-control designs (in which the pool of subjects already exists when the study commences). We empirically compare matching on a balancing score, analogous to the propensity score for treated/control matching, with matching on a weighted distance measure. Although both methods in principle produce balance between cases and controls in the marginal distributions of the matching covariates, the weighted distance measure provides better balance in practice because the balancing score can be poorly estimated. We emphasize the use of optimal matching based on efficient network algorithms. An illustration is based on the design of a case-control study of hepatitis B virus infection as a possible confounder and/or effect modifier of radiation-related primary liver cancer in atomic bomb survivors. Â© 1995 Epidemiology Resources Inc.</t>
  </si>
  <si>
    <t>SCOPUS_ID:21644481365</t>
  </si>
  <si>
    <t>10.1007/s10654-005-4263-x</t>
  </si>
  <si>
    <t>Age, bodyweight, smoking habits and the risk of severe osteoarthritis in the hip and knee in men</t>
  </si>
  <si>
    <t>['Body mass index (BMI)', 'Construction workers', 'Epidemiology', 'Joint replacement', 'Smoking']</t>
  </si>
  <si>
    <t>Background: The objective of this study was to estimate the risk of severe osteoarthritis, with the need for arthroplasty, in the knee and/or hip according to body mass index (BMI) both within a normal range and in persons with high BMI. Furthermore, we wanted to study the significance of smoking. Methods: This study identifies male construction workers participating in a national health control program (n = 320,192). The incidence rate for joint replacement was found by matching with the Swedish hospital discharge register between 1987 and 1998. BMI and smoking habit was registered at the time of the health examination. Results: In total 1495 cases of osteoarthritis of the hip and 502 cases of osteoarthritis of the knee were identified and included in this analysis. The incidence rate was found to increase linearly to the BMI even within low and 'normal' BMI. The relative risk for osteoarthritis of the hip was more than two times higher in persons with a BMI of 20-24 than in men with a BMI 17-19. There was almost a doubling of the risk of severe knee osteoarthritis with an increase in BMI of 5 kg/m2. Smoker had a lower risk of osteoarthritis than non-smokers and ex-smokers. Conclusions: BMI is an important predictor of osteoarthritis even within normal BMI. A decreased risk of osteoarthritis of the hip was found in smokers, but the effect was weak compared to that of BMI or age. Contrary to studies of radiographic osteoarthritis our study indicates higher risk of hip than of knee osteoarthritis. Â© Springer 2005.</t>
  </si>
  <si>
    <t>SCOPUS_ID:80054735842</t>
  </si>
  <si>
    <t>10.1007/s10654-011-9590-5</t>
  </si>
  <si>
    <t>Doubling in the use of thyroid hormone replacement therapy in Denmark: Association to iodization of salt?</t>
  </si>
  <si>
    <t>['Fortification', 'Hypothyroidism', 'Iodine', 'Pharmacoepidemiology', 'Preventive medicine', 'Thyroid hormone replacement therapy']</t>
  </si>
  <si>
    <t>Iodization of salt is an effective strategy to prevent iodine deficiency disorders. Recent studies, however, indicate that increasing the iodine intake in a population may give rise to an increased incidence of hypothyroidism, but the association has not been fully clarified. In Denmark, iodization of salt was initiated in 1998 because of mild-to-moderate iodine deficiency. The aim of this study was to evaluate the effect of the raised iodine intake on the nationwide incident use of thyroid hormone replacement therapy (levothyroxine) to treat hypothyroidism. Data on all use of levothyroxine was extracted from the Register of Medicinal Product Statistics during the period 1995-2009 and linked to other nationwide registers by use of the Danish identification number. Persons with previous thyroid surgery were excluded. In the studied period 71,565 incident users were identified. The incidence rate increased 75% in the moderately iodine deficient region (72.2 incident users/100,000 person-years in 1997 to 126.6 in 2008) and 87% in the mildly deficient region (86.9-162.9). When stratified by sex and age-group (00-39, 40-64, 65+) the largest relative increase was seen among women in the youngest age-group, where more than a doubling was seen. The mechanisms behind the increase may be a result of iodine-induced hypothyroidism, although a higher diagnostic activity with regard to thyroid dysfunction and intensified treatment of subclinical hypothyroidism may also play a role. Our findings stress the need for caution when initiating iodine fortification programs to keep the intake within the optimal range, and the need for continuous monitoring. Â© 2011 Springer Science+Business Media B.V.</t>
  </si>
  <si>
    <t>SCOPUS_ID:84880546484</t>
  </si>
  <si>
    <t>10.1093/aje/kws432</t>
  </si>
  <si>
    <t>Beyond surveillance: A role for respondent-driven sampling in implementation science</t>
  </si>
  <si>
    <t>['HIV', 'implementation science', 'men who have sex with men', 'randomized controlled trial', 'respondent-driven sampling']</t>
  </si>
  <si>
    <t>We are now in the fourth decade of the human immunodeficiency virus (HIV) pandemic. Several novel prevention tools have been identified, and prevalence and incidence have declined in many settings. A remaining challenge is the delivery of preventive interventions to hard-to-reach populations, including men who have sex with men and injection drug users. Leaders in the field of HIV have called for a new focus on implementation science, which requires a shift in thinking from individual randomized controlled trials to cluster-randomized trials. Multiple challenges need to be addressed in the conduct of cluster-randomized trials, including: 1) generalizability of the study population to the target population, 2) potential contamination through overlap/exchange of members of control and intervention clusters, and 3) evaluation of effectiveness at multiple levels of influence. To address these key challenges, we propose a novel application of respondent-driven sampling - a chain-referral strategy commonly used for surveillance - in the recruitment of participants for the evaluation of a cluster-randomized trial of a community intervention. We illustrate this application with an empirical example of a cluster-randomized trial that is currently under way to assess the effectiveness of men's wellness centers in improving utilization of HIV counseling and testing among men who have sex with men in India. Â© 2013 The Author.</t>
  </si>
  <si>
    <t>SCOPUS_ID:0033485949</t>
  </si>
  <si>
    <t>10.1093/oxfordjournals.aje.a009945</t>
  </si>
  <si>
    <t>Variation over time of the effects of prognostic factors in a population-based study of colon cancer: Comparison of statistical models</t>
  </si>
  <si>
    <t>['Colonic neoplasms', 'Cox regression', 'Goodness-of-fit', 'Models, statistical', 'Multivariate analysis', 'Regression analysis', 'Risk factors', 'Survival analysis']</t>
  </si>
  <si>
    <t>The authors compare the performance of different regression models for censored survival data in modeling the impact of prognostic factors on all- cause mortality in colon cancer. The data were for 1,951 patients, who were diagnosed in 1977-1991, recorded by the Registry of Digestive Tumors of Cote d'Or, France, and followed for up to 15 years. Models include the Cox proportional hazards model and its three generalizations that allow for hazard ratio to change over time: 1) the piecewise model where hazard ratio is a step function; 2) the model with interaction between a predictor and a parametric function of time; and 3) the non-parametric regression spline model. Results illustrate the importance of accounting for non- proportionality of hazards, and some advantages of flexible non-parametric modeling of time-dependent effects. The authors provide empirical evidence for the dependence of the results of piecewise and parametric models on arbitrary a priori choices, regarding the number of time intervals and specific parametric function, which may lead to biased estimates and low statistical power. The authors demonstrate that a single, a priori selected spline model recovers a variety of patterns of changes in hazard ratio and fits better than other models, especially when the changes are non-monotonic; as in the case of cancer stages.</t>
  </si>
  <si>
    <t>SCOPUS_ID:0025150962</t>
  </si>
  <si>
    <t>10.2105/AJPH.80.9.1114</t>
  </si>
  <si>
    <t>Abstinence from smoking and expired-air carbon monoxide levels: Lactose intolerance as a possible source of error</t>
  </si>
  <si>
    <t>We investigated a possible source of contamination of expired-air carbon monoxide (CO) readings on CO monitors from raised expired-air hydrogen (H2) levels, namely lactose intolerance, the norm in certain ethnic groups. A significant correlation between expired-air CO and H2 readings was observed in four non-smoking lactose maldigesters.</t>
  </si>
  <si>
    <t>SCOPUS_ID:0032518959</t>
  </si>
  <si>
    <t>10.1093/oxfordjournals.aje.a009424</t>
  </si>
  <si>
    <t>Relations of cigarette smoking and dietary antioxidants with placental calcification</t>
  </si>
  <si>
    <t>['Antioxidants', 'Calcification', 'Carotene', 'Diet', 'Physiologic', 'Placenta', 'Smoking', 'Tocophe rol', 'Vitamin C']</t>
  </si>
  <si>
    <t>Associations between maternal cigarette smoking and accelerated placental maturation measured as tissue calcification have been reported. The authors sought to address whether intakes of the dietary antioxidants, vitamin C, alpha-tocopherol, and beta-carotene, were related to placental calcification of the maternal surface and villi in a cohort of smokers and nonsmokers at risk for delivering small-for-gestational age infants. Gross and histologic examination of placentas were used to determine calcification at the surface (n = 1,213) and villus sites (n = 730), respectively, in a prospective study of black and white women who delivered singleton births between December 1985 and October 1988 at the University of Alabama at Birmingham Hospital in Birmingham, Alabama. Controlling for race and gestational age, likelihood of surface and villus calcification increased as smoking levels increased. Significant reductions in villus calcification were related to alpha-tocopherol intake after controlling for smoking and gestation while intakes of beta-carotene and vitamin C were related to significant reductions in calcification for black but not white women. Surface calcification was not found to be related to antioxidant intake. The authors' findings confirm a pathologic relation between smoking and placental calcification and suggest that dietary antioxidants may reduce villus calcification.</t>
  </si>
  <si>
    <t>SCOPUS_ID:77955762065</t>
  </si>
  <si>
    <t>10.1093/ije/dyq037</t>
  </si>
  <si>
    <t>Neonatal outcome associated with singleton birth at 34-41 weeks of gestation</t>
  </si>
  <si>
    <t>['Early-term', 'Late-preterm', 'Late-term', 'Mortality', 'Poor prognosis', 'Respiratory disorders']</t>
  </si>
  <si>
    <t>Background Approximately 75% of preterm births are late-preterm (340/7 to 366/7 weeks gestation). This group has usually been considered as a whole in studies assessing the outcome of these preterm infants by comparison with term infants. However, the respective contribution to prognosis of each week of gestation has not been fully clarified. Methods A population-based study of 150 426 live-born singleton neonates with gestational ages ranging from 34 to 41 weeks of gestation. Results The rate of severe respiratory disorders (treated by mechanical ventilation and/or nasal continuous positive airway pressure) markedly declined with gestational age from 19.8% at 34 weeks to 0.28% at 39-41 weeks. Between 34 and 38 weeks, each additional week diminished the relative risk (crude or adjusted) of severe respiratory disorders by a factor varying from 2 to 3. The rate of poor prognosis (death and/or severe neurological condition) significantly declined between 34 and 38 weeks and remained stable thereafter. A multivariate analysis showed that antepartum haemorrhage and hypertensive disorders during pregnancy were significantly associated with severe respiratory disorders and poor outcome. Diabetes was an additional factor associated with severe respiratory disorders. Conclusions Future studies should delineate more precisely the respective contribution of gestational age, maternal complication and induced delivery in the prognosis of infants born between 33 and 39 weeks gestation. Â© The Author 2010. Published by Oxford University Press on behalf of the International Epidemiological Association. All rights reserved.</t>
  </si>
  <si>
    <t>SCOPUS_ID:0028964208</t>
  </si>
  <si>
    <t>10.2105/AJPH.85.4.558</t>
  </si>
  <si>
    <t>Objectively measuring physical ability in elderly persons: The physical capacity evaluation</t>
  </si>
  <si>
    <t>The Physical Capacity Evaluation, a performance measure of functional capabilities comprised of 13 tasks simulating those used in activities of daily living, was tested on 289 community-dwelling elderly people and compared against a widely used self-report measure of function, the Health Assessment Questionnaire. Factor analysis identified one dominant component in each instrument, Internal consistency reliability (Cronbach's alpha) was .90 for both instruments. Global disability (Health Assessment Questionnaire) and function (Physical Capacity Evaluation) scores were correlated -,74. One- week retest reliabilities on 58 subjects were .94 for the Physical Capacity Evaluation and .95 for the Health Assessment Questionnaire. The Physical Capacity Evaluation is a valid and reliable measure of physical performance for use with elderly people.</t>
  </si>
  <si>
    <t>SCOPUS_ID:2442651312</t>
  </si>
  <si>
    <t>10.1136/jech.2003.007518</t>
  </si>
  <si>
    <t>Occupational stress and incidence of sick leave in the Belgian workforce: The Belstress study</t>
  </si>
  <si>
    <t>Context: Sick leave is a major problem in public health. The Karasek demands/control/social support/ strain (JDCS) model has been largely used to predict a wide range of health outcomes and to a lesser extent sickness absence. Study objective: The aim of the study was to test the predictive power of the JDCS model in relation with one year incidence of sick leave in a large cohort of workers. Design and setting: Cohort study conducted between 1994 and 1998 in 25 companies across Belgium. Participants: A total of 20 463 workers aged 35 to 59 years were followed up for sick leave during one year after the baseline survey. Outcomes: The outcomes were a high sick leave incidence, short spells (â‰¥7 days), long spells (â‰¥28 days), and repetitive spells of sickness absence (â‰¥3 spells/year). Main results: Independently from baseline confounding variables, a significant association between high strained jobs with low social support and repetitive spells of sickness absence was observed in both sexes with odds ratios of 1.32 (99% CI, 1.04 to 1.68) in men and 1.61 (99% CI, 1.13 to 2.33) in women. In men, high strained jobs with low social support was also significantly associated with high sick leave incidence, and short spells of sick leave with odds ratios of 1.38 (99% CI, 1.16 to 1.64) and 1.22 (99% CI, 1.05 to 1.44) respectively. Conclusions: Perceived high strain at work especially combined with low social support is predictive of sick leave in both sexes of a large cohort of the Belgian workforce.</t>
  </si>
  <si>
    <t>SCOPUS_ID:0028286793</t>
  </si>
  <si>
    <t>10.1136/jech.48.3.286</t>
  </si>
  <si>
    <t>Lactation amenorrhea in Saudi women</t>
  </si>
  <si>
    <t>Study objective - The study aimed to investigate some aspects of breast feeding, namely - lactation amenorrhea, the average interval between pregnancies, and the extent of knowledge that an average Saudi woman has about breast feeding. Design - This was a cross sectional study in which a pretested questionnaire was used to collect the information. Setting - The study was conducted in the Taif area between January and April of 1990. Seventy nine primary health care centres participated. Participants - Altogether 1019 of 2400 women contacted who agreed to participate and met the criteria were studied. Eligible subjects were defined as Saudi women, between 16 and 40 years old, who came with their infants for vaccination, and had delivered between one week and 12 months previously. Each mother had at least one other child. Measurement and main result - At birth, the percentage of infants who were initially breast fed was 98% but within three days of delivery over two thirds (68.9%) of the mothers gave other supplementary liquids to their infants. At the time of interview more than half (55.1%) of mothers had lactation amenorrhea. The mean (SD) lactation amenorrhea period and birth interval were 5.95 (5) and 26.8 (14.1) months, respectively. Mothers obtained information on breast feeding mainly from their doctors and television. Within families, husbands had the primary role in encouraging their wives to breast feed, followed by the mother and then by the mother in law. It was found that a high percentage (94.2%) of women had breast fed their previous child. Conclusion - The lack of adequate information on breast feeding and the short interval between births are local problems which should be considered by the health authorities.</t>
  </si>
  <si>
    <t>SCOPUS_ID:85065236237</t>
  </si>
  <si>
    <t>10.1136/jech-2018-211040</t>
  </si>
  <si>
    <t>Adult height is associated with risk of cancer and mortality in 5.5 million Swedish women and men</t>
  </si>
  <si>
    <t>['cause of death', 'tall stature', 'tumour']</t>
  </si>
  <si>
    <t>Background Previous studies have indicated that taller individuals are at greater risk of developing cancer. Death from cancer and other specific causes have also been linked to height, but the results have been inconclusive. We aimed to shed further light on the associations between height, cancer incidence and mortality. Methods We conducted a nationwide, population-based prospective cohort study, including 5.5 million Swedish women and men (aged 20-74). They were followed over a period of up to 54 years. Heights were retrieved from national registers (mainly the Passport Register where heights are most often self-reported). The risks of overall and specific cancers, as well as overall and cause-specific mortality, were presented as HR with 95% CIs per 10 cm increase in height. Results A total of 278 299 cases of cancer and 139 393 cases of death were identified. For overall cancer, HR was 1.19 (1.18-1.20) in women and 1.11 (1.10-1.12) in men for every 10 cm increase in height. All 15 specific cancer types were positively associated with height-most strongly for malignant melanoma in both genders, with HRs of 1.39 (1.35-1.43) in women and 1.34 (1.30-1.38) in men. For overall mortality, HR was 0.98 (0.97-0.99) in women and 0.91 (0.90-0.92) in men for every 10 cm increase in height. Cancer mortality was increased in taller individuals, with HR 1.15 (1.13-1.17) in women and 1.05 (1.03-1.07) in men for every 10 cm increase in height, whereas shorter individuals had increased overall mortality due to a number of other causes, such as cardiovascular disease. Conclusion Overall and specific cancer risks, particularly malignant melanoma, were positively associated with height. Cancer mortality also increased with height. In contrast, overall mortality was decreased with height, particularly in men due to inverse associations with height for other causes of death.</t>
  </si>
  <si>
    <t>SCOPUS_ID:0035011929</t>
  </si>
  <si>
    <t>10.1093/ije/30.2.320</t>
  </si>
  <si>
    <t>Applied epidemiology for the 21st century</t>
  </si>
  <si>
    <t>['Epidemiology', 'Public health', 'Training']</t>
  </si>
  <si>
    <t>Background. Critics argue that the modern epidemiologist seems more concerned with intricately modelling complex relationships among risk factors than understanding their origins and their implications for public health. Indeed, some contend that epidemiology has reached its limits as a discipline. To address such concerns, alternatives have been proposed that integrate biological, analytical, and social approaches to epidemiological practice and training. Methods. The published literature was reviewed to examine critical issues in current epidemiological practice and training. In addition, we reviewed records of training programmes in applied epidemiology established in 20 countries. Results. We describe an existing approach to preparing epidemiologists for the emerging challenges of public health in which epidemiological research and practice are applied toward the end of improving public health and health care. Training in applied epidemiology is based on a philosophy of 'learning while doing'. Under the supervision of an experienced epidemiologist, trainees conduct field investigations, analyse large data bases, evaluate surveillance systems, publish and present scientific research, and respond to public enquiries. More than 3000 people have received intensive formal training over the past 50 years in programmes in more than 20 countries; most graduates continued to use the tools of applied epidemiology in their work. Conclusion. Training in applied epidemiology anchors the discipline in population-based, relevant public health practice.</t>
  </si>
  <si>
    <t>SCOPUS_ID:84902674927</t>
  </si>
  <si>
    <t>10.2105/AJPH.2014.301896</t>
  </si>
  <si>
    <t>Examining the impact of thewalking school buswith an agent-based model</t>
  </si>
  <si>
    <t>We used an agent-based model to examine the impact of the walking school bus (WSB) on children's active travel to school. We identified a synergistic effect of the WSB with other intervention components such as an educational campaign designed to improve attitudes toward active travel to school. Results suggest that to maximize active travel to school, children should arrive on time at "bus stops" to allow faster WSB walking speeds. We also illustrate how an agent-based model can be used to identify the location of routes maximizing the effects of the WSB on active travel. Agent-based models can be used to examine plausible effects of the WSB on active travel to school under various conditions and to identify ways of implementing the WSB that maximize its effectiveness.</t>
  </si>
  <si>
    <t>SCOPUS_ID:85076825647</t>
  </si>
  <si>
    <t>10.1016/j.amepre.2019.09.014</t>
  </si>
  <si>
    <t>Early Weight Loss and Treatment Response: Data From a Lifestyle Change Program in Clinical Practice</t>
  </si>
  <si>
    <t>Introduction: The purpose of this study was to develop and validate a predictive model for the early identification of nonresponders to a 12-month lifestyle change program in clinical practice. Methods: Investigators identified lifestyle change program participants in the electronic health records of a large healthcare delivery system between 2010 and 2017. Nonresponse was defined as weight gain or no weight loss at 12 months from the program initiation (baseline). Logistic regression with percentage weight change at 2â€“12 weeks from baseline was used as an independent predictor of nonresponse. Baseline demographics and clinical characteristics were also tested as potential predictors. The authors performed ten-fold cross-validation for model assessment and examined model performance with the area under the receiver operating characteristic curve, sensitivity, specificity, and positive and negative predictive values. The analyses were conducted in 2019. Results: Among 947 program participants, 30% were classified as nonresponders at 12 months. The model with the best discrimination of responders from nonresponders included weight change at 12 weeks from baseline as the sole predictor (area under the receiver operating characteristic curve, 0.789). Sensitivity and positive predictive value were maximized at 0.56 (specificity and negative predictive value, 0.81 each). Conclusions: In a cohort of lifestyle change program participants from clinical practice, percentage weight change at 12 weeks from baseline can serve as a single indicator of nonresponse at the completion of the 12-month program. Clinicians can easily apply this algorithm to identify and assess participants in potential need of adjunctive or alternative therapy to maximize treatment outcomes.</t>
  </si>
  <si>
    <t>SCOPUS_ID:34247126863</t>
  </si>
  <si>
    <t>10.1093/aje/kwk115</t>
  </si>
  <si>
    <t>Age, gene/environment susceptibility-reykjavik study: Multidisciplinary applied phenomics</t>
  </si>
  <si>
    <t>['Aging', 'Body composition', 'Cardiovascular diseases', 'Cognition', 'Genetics, population', 'Osteoporosis', 'Phenotype']</t>
  </si>
  <si>
    <t>In anticipation of the sequencing of the human genome and description of the human proteome, the Age, Gene/Environment Susceptibility-Reykjavik Study (AGES-Reykjavik) was initiated in 2002. AGES-Reykjavik was designed to examine risk factors, including genetic susceptibility and gene/environment interaction, in relation to disease and disability in old age. The study is multidisciplinary, providing detailed phenotypes related to the cardiovascular, neurocognitive (including sensory), and musculoskeletal systems, and to body composition and metabolic regulation. Relevant quantitative traits, subclinical indicators of disease, and medical diagnoses are identified by using biomarkers, imaging, and other physiologic indicators. The AGES-Reykjavik sample is drawn from an established population-based cohort, the Reykjavik Study. This cohort of men and women born between 1907 and 1935 has been followed in Iceland since 1967 by the Icelandic Heart Association. The AGES-Reykjavik cohort, with cardiovascular risk factor assessments earlier in life and detailed late-life phenotypes of quantitative traits, will create a comprehensive study of aging nested in a relatively genetically homogeneous older population. This approach should facilitate identification of genetic factors that contribute to healthy aging as well as the chronic conditions common in old age. Copyright Â© 2007 by the Johns Hopkins Bloomberg School of Public Health All rights reserved.</t>
  </si>
  <si>
    <t>SCOPUS_ID:2342439144</t>
  </si>
  <si>
    <t>10.2105/AJPH.94.5.859</t>
  </si>
  <si>
    <t>Can Better Mental Health Services Reduce the Risk of Juvenile Justice System Involvement?</t>
  </si>
  <si>
    <t>Objectives. We evaluated how improved mental health services affect justice involvement among juveniles treated in the public mental health system. Methods. Our analyses were based on administrative and interview data collected in 2 communities participating in the evaluation of a national initiative designed to improve mental health services for children and youths. Results. Results derived from Cox proportional hazard models suggested that better mental health services reduced the risks of initial and subsequent juvenile justice involvement by 31% and 28%, respectively. Effects were somewhat more pronounced for serious offenses. Conclusions. Our findings suggest that improved mental health services reduce the risk of juvenile justice involvement.</t>
  </si>
  <si>
    <t>SCOPUS_ID:85214472462</t>
  </si>
  <si>
    <t>10.1136/jech-2023-220568</t>
  </si>
  <si>
    <t>Insights on health policies from a political philosophy perspective</t>
  </si>
  <si>
    <t>['HEALTH POLICY', 'POLICY', 'PUBLIC HEALTH']</t>
  </si>
  <si>
    <t>Health policies play a crucial role in shaping people's well-being. While public health often relies on evidence-based policy to improve health outcomes, many non-scientific factors determine the health policy-making process. This article explores how public health advocacy can be strengthened by examining the relationship between political philosophy and the scientistic aspirations of public health. We begin by critically assessing the deliberative decision-making model, offering insights on policy processes that could inspire new directions in health policy research. To enhance these efforts, we delve into the philosophical critique of scientism, aiming to liberate public health from its technocratic inclinations. Our analysis draws on political philosophy from two angles: first, we revisit Renaissance utopias to highlight the risks of a science-driven society devoid of ethics; second, we introduce modern perspectives on democratic justice, advocating for health policies that resist domination. Ultimately, we argue for a new model of health policy science that positions public health as a key political actor. By focusing on the everyday realities of policy-making, public health can tackle two fundamental questions: How are citizens' interests considered in health policy? And how do we deliberate the goals and means of health policy? By addressing these questions, our proposals aim to enhance public health advocacy, promoting research and actions that lead to more just and inclusive health policies, ensuring the protection of everyone's health.</t>
  </si>
  <si>
    <t>SCOPUS_ID:85052956484</t>
  </si>
  <si>
    <t>10.1093/ije/dyy060</t>
  </si>
  <si>
    <t>Exploring the association of genetic factors with participation in the Avon Longitudinal Study of Parents and Children</t>
  </si>
  <si>
    <t>['ALSPAC', 'Genetics', 'Missing data', 'Participation', 'Selection bias']</t>
  </si>
  <si>
    <t>Background: It is often assumed that selection (including participation and dropout) does not represent an important source of bias in genetic studies. However, there is little evidence to date on the effect of genetic factors on participation. Methods: Using data on mothers (N=7486) and children (N=7508) from the Avon Longitudinal Study of Parents and Children, we: (i) examined the association of polygenic risk scores for a range of sociodemographic and lifestyle characteristics and health conditions related to continued participation; (ii) investigated whether associations of polygenic scores with body mass index (BMI; derived from self-reported weight and height) and selfreported smoking differed in the largest sample with genetic data and a subsample who participated in a recent follow-up; and (iii) determined the proportion of variation in participation explained by common genetic variants, using genome-wide data. Results: We found evidence that polygenic scores for higher education, agreeableness and openness were associated with higher participation; and polygenic scores for smoking initiation, higher BMI, neuroticism, schizophrenia, attention-deficit hyperactivity disorder (ADHD) and depression were associated with lower participation. Associations between the polygenic score for education and self-reported smoking differed between the largest sample with genetic data [odds ratio (OR) for ever smoking per standard deviation (SD) increase in polygenic score: 0.85, 95% confidence interval (CI): 0.81, 0.89} and subsample (OR: 0.96, 95% CI: 0.89, 1.03). In genome-wide analysis, single nucleotide polymorphism based heritability explained 18-32% of variability in participation. Conclusions: Genetic association studies, including Mendelian randomization, can be biased by selection, including loss to follow-up. Genetic risk for dropout should be considered in all analyses of studies with selective participation.</t>
  </si>
  <si>
    <t>SCOPUS_ID:45849090278</t>
  </si>
  <si>
    <t>10.1093/aje/kwn120</t>
  </si>
  <si>
    <t>Correcting for lead time and length bias in estimating the effect of screen detection on cancer survival</t>
  </si>
  <si>
    <t>['Bias (epidemiology)', 'Breast neoplasms', 'Mass screening', 'Models, statistical', 'Survival']</t>
  </si>
  <si>
    <t>Determination of survival time among persons with screen-detected cancer is subject to lead time and length biases. The authors propose a simple correction for lead time, assuming an exponential distribution of the preclinical screen-detectable period. Assuming two latent categories of tumors, one of which is more prone to screen detection and correspondingly less prone to death from the cancer in question, the authors have developed a strategy of sensitivity analysis for various magnitudes of length bias. Here they demonstrate these methods using a series of 25,962 breast cancer cases (1988-2004) from the West Midlands, United Kingdom. Â© The Author 2008. Published by the Johns Hopkins Bloomberg School of Public Health. All rights reserved.</t>
  </si>
  <si>
    <t>SCOPUS_ID:84886406810</t>
  </si>
  <si>
    <t>10.2105/AJPH.2013.301296</t>
  </si>
  <si>
    <t>Impaired-driving prevalence among US high school students: Associations with substance use and risky driving behaviors</t>
  </si>
  <si>
    <t>Objectives. We examined the prevalence of impaired driving among US high school students and associations with substance use and risky driving behavior. Methods. We assessed driving while alcohol or drug impaired (DWI) and riding with alcohol- or drug-impaired drivers (RWI) in a nationally representative sample of 11th-grade US high school students (n = 2431). We examined associations with drinking and binge drinking, illicit drug use, risky driving, and demographic factors using multivariate sequential logistic regression analysis. Results. Thirteen percent of 11th-grade students reported DWI at least 1 of the past 30 days, and 24% reported RWI at least once in the past year. Risky driving was positively associated with DWI (odds ratio [OR] = 1.25; P &lt; .001) and RWI (OR = 1.09; P &lt; .05), controlling for binge drinking (DWI: OR = 3.17; P &lt; .01; RWI: OR = 6.12; P &lt; .001) and illicit drug use (DWI: OR = 5.91; P &lt; .001; RWI: OR = 2.29; P = .05). DWI was higher for adolescents who drove after midnight (OR = 15.7), drove while sleepy or drowsy (OR = 8.6), read text messages (OR = 11.8), sent text messages (OR = 5.0), and made cell phone calls (OR = 3.2) while driving. Conclusions. Our findings suggest the need for comprehensive approaches to the prevention of DWI, RWI, and other risky driving behavior. Copyright Â© 2013 by the American Public Health AssociationÂ®.</t>
  </si>
  <si>
    <t>SCOPUS_ID:0026583865</t>
  </si>
  <si>
    <t>10.1097/00001648-199201000-00005</t>
  </si>
  <si>
    <t>Efficiency and bias in studies of early pregnancy loss</t>
  </si>
  <si>
    <t>['Bias', 'Data collection', 'Fecundability', 'Fertility', 'Human chorionic gonadotropin', 'Misclassification', 'Sensitivity', 'Specificity', 'Spontaneous abortion']</t>
  </si>
  <si>
    <t>Recent advances in laboratory techniques for measuring the pregnancy hormone human chorionic gonadotropin have allowed detection of occult very early pregnancy losses based on assaying urine. We used data from the Early Pregnancy Study carried out in North Carolina to develop a simplified collection protocol for reducing costs and improving compliance in similar studies conducted in less-selected populations of women. Collection of specimens only during menses would have caused some decrease in sensitivity but would nevertheless have allowed detection of at least 75% of the losses detected in the North Carolina study. Reduced-collection protocols would also result in some loss in specificity. Simulations suggest that moderate losses in sensitivity and specificity, as would result from reduced-collection protocols, produce only moderate loss of power for detecting associations between risk factors and early pregnancy loss. A â€œfertility biasâ€ exists, however, which can produce seriously misleading results when specificity is less than perfect. We therefore recommend use of a baseline group of sterile women, so that criteria for â€œpregnancyâ€ can achieve specificity close to 1.0. Â© 1992 Epidemiology Resources Inc.</t>
  </si>
  <si>
    <t>SCOPUS_ID:53249100314</t>
  </si>
  <si>
    <t>10.1016/j.ypmed.2008.06.001</t>
  </si>
  <si>
    <t>Using heart-rate feedback to increase physical activity in children</t>
  </si>
  <si>
    <t>['Children', 'Feedback', 'Intervention', 'Physical activity']</t>
  </si>
  <si>
    <t>Objective: The objective of this study was to test whether heart-rate feedback prompts increased physical activity (PA) in primary school students. Methods: A controlled trial with 210 9-11Â year olds from subsidized Hong Kong Government primary schools was completed in December 2006. Schools were randomly assigned to one of three groups: Control (CG); Educational program (EG); No-educational program (NEG). Intervention: In a short-term school-based intervention, heart-rate feedback was given either in combination with an educational program (EG) or in isolation (NEG). Long-term retention was assessed in comparison to the control group after 6Â months follow-up. Main outcome measures: Physical activity and changes in attraction to PA. Results: In the short-term, heart-rate monitor feedback increased total daily PA by an average of 24% (p &lt; 0.001) and vigorous PA by 0.6% (p &lt; 0.05). No change was found for moderate PA. Increases occurred regardless of involvement in the educational program, and in the absence of any change in attitudes towards PA. No long-term retention was apparent. Conclusions: The findings from the study suggest that feedback from heart-rate monitors encourages low intensity PA, but when removed increases do not persist. Â© 2008 Elsevier Inc. All rights reserved.</t>
  </si>
  <si>
    <t>SCOPUS_ID:0025758336</t>
  </si>
  <si>
    <t>10.2105/AJPH.81.4.443</t>
  </si>
  <si>
    <t>Morbidity and disability in older persons in the years prior to death</t>
  </si>
  <si>
    <t>Background: A large proportion of the disease and disability which affects older persons occurs in the years just prior to death. Little prospective evidence is available which quantifies the burden of morbidity and disability during these years. Methods: In three community-based cohorts of persons age 65 and older, chronic conditions and disability were evaluated for the three years prior to death in 531 persons who had three annual assessments and then died within one year of the third assessment. Number of chronic conditions, prevalence of disability in activities of daily living (ADLs), and prevalence of disability on a modified Rosow-Breslau scale were determined for these decedents and compared to 8821 members of the cohorts known to have survived. Results: Prevalence rates of disease and disability increased during the follow-up for both decendents and survivors, with decedents generally having higher rates than survivors. Disability rates prior to death, but not the number of diseases, increased with increasing age at death. The odds ratio for disability in ADLs at any of the three assessments for decedents versus survivors ranged from 3.0 to 4.2 in the three communities. In each community the odds ratio for ADL disability was higher in women decedents versus survivors than in men decedents versus survivors. Conclusions: These results have important implications for disability levels in future older populations in which death is projected to occur at increasingly higher ages.</t>
  </si>
  <si>
    <t>SCOPUS_ID:85126864503</t>
  </si>
  <si>
    <t>10.1016/j.ypmed.2022.107015</t>
  </si>
  <si>
    <t>Messages in prescription drug advertising for four chronic diseases, 2003â€“2016: A content analysis</t>
  </si>
  <si>
    <t>['Advertising', 'Content analysis', 'Diet', 'Exercise', 'Prescription drugs']</t>
  </si>
  <si>
    <t>The objective of this study was to examine the frequency and content of messages related to pharmacological and evidence-based, non-pharmaceutical treatments in direct-to-consumer advertising (DTCA) for prescription drugs treating four chronic diseases in the United States. We used content coding to identify theory-informed categories of messages appearing in a large sample of heart disease, diabetes, depression, and osteoarthritis advertisements, appearing on national and local television between 2003 and 2016 (N = 11,347,070). The data were originally accessed in 2019 and analyzed in 2020â€“2021. The central message in all pharmaceutical DTCA was drug efficacy. Advertisements for diabetes and heart disease, but not depression or osteoarthritis, contained general (not central) messages about diet and exercise. Advertisements for heart disease primarily portrayed diet and exercise as insufficient for controlling the target health condition. No advertisements in our sample portrayed changes in diet or physical activity as an alternative to drugs. Pharmaceutical DTCA across health conditions employ similar strategies to promote use of the advertised drug but vary widely in whether and how they describe non-pharmaceutical treatments that complement or serve as alternatives to medications. Regulators should consider the potential spillover effects of non-pharmaceutical messages in pharmaceutical DTCA when considering future regulatory endeavors.</t>
  </si>
  <si>
    <t>SCOPUS_ID:18444401456</t>
  </si>
  <si>
    <t>10.1093/ije/dyh308</t>
  </si>
  <si>
    <t>Incubation period of coronary heart disease</t>
  </si>
  <si>
    <t>Serum cholesterol concentrations and blood pressure were measured during 1958-64 among men aged 40-59 who took part in the Seven Countries Study. In the present study these measurements were related to the national mortality from coronary heart disease in the periods 1959-61, 1964-6, 1969-71, and 1974-6. The correlations increased with time (r = +0.86, 0.90, 0.93, and 0.96 respectively for serum cholesterol concentration and r = +0.48, 0.56, 0.57, and 0.64 for systolic blood pressure), suggesting that the 'incubation period' between exposure to major coronary risk factors and the maximum effects on mortality may be 10 years or more.</t>
  </si>
  <si>
    <t>SCOPUS_ID:0033052276</t>
  </si>
  <si>
    <t>10.2105/AJPH.89.2.219</t>
  </si>
  <si>
    <t>Acculturation and breast cancer screening among hispanic women in New York City</t>
  </si>
  <si>
    <t>Objectives. This study investigated whether acculturation was associated with the receipt of clinical breast examinations and mammograms among Colombian, Ecuadorian, Dominican, and Puerto Rican women aged 18 to 74 years in New York City in 1992. Methods. A bilingual, targeted, random-digit- dialed telephone survey was conducted among 908 Hispanic women from a population-based quota sample. Outcome measures included ever and recent use of clinical breast examinations and mammograms. Multivariate logistic regression infidels were used to assess the effect of acculturation on screening use. Results. When demographic, socioeconomic, and health system characteristics and cancer attitudes and beliefs were controlled for, women who were more acculturated had significantly higher odds of ever and recently receiving a clinical breast examination (P â‰¤ .01) and of ever (P â‰¤ .01) and recently (P â‰¤ .05) receiving a mammogram than did less acculturated women. For all screening measures, there was a linear increase in the adjusted probability of being screened as a function of acculturation. Conclusions. Neighborhood and health system interventions to increase screening among Hispanic women should target the less acculturated.</t>
  </si>
  <si>
    <t>SCOPUS_ID:1842477760</t>
  </si>
  <si>
    <t>10.2105/AJPH.94.4.586</t>
  </si>
  <si>
    <t>The Economic Burden of Hospitalizations Associated with Child Abuse and Neglect</t>
  </si>
  <si>
    <t>Objectives. This study assessed the economic burden of child abuse-related hospitalizations. Methods. We compared inpatient stays coded with a diagnosis of child abuse or neglect with stays of other hospitalized children using the 1999 National Inpatient Sample of the Healthcare Costs and Utilization Project. Results. Children whose hospital stays were coded with a diagnosis of abuse or neglect were significantly more likely to have died during hospitalization (4. 0% vs 0.5%), have longer stays (8.2 vs 4.0 days), twice the number of diagnoses (6.3 vs 2.8), and double the total charges ($19266 vs $9513) than were other hospitalized children. Furthermore, the primary payer was typically Medicaid (66.5% vs 37.0%). Conclusion. Earlier identification of children at risk for child abuse and neglect might reduce the individual, medical, and societal costs.</t>
  </si>
  <si>
    <t>SCOPUS_ID:0026758937</t>
  </si>
  <si>
    <t>10.2105/AJPH.82.9.1268</t>
  </si>
  <si>
    <t>Predictors of smoking cessation and relapse in older adults</t>
  </si>
  <si>
    <t>We examined longitudinal changes in smoking behavior among older adults in three community cohorts of the Established Populations for Epidemiologic Studies of the Elderly. Smoking prevalence declined from 15% at baseline to 9% during 6 years of follow-up. Annual smoking cessation and relapse rates were 10% and less than 1%, respectively. Interval diagnosis of myocardial infarction, stroke, or cancer increased subsequent smoking cessation but not relapse. Although smoking cessation around diagnosis is increased, primary prevention could yield greater benefits.</t>
  </si>
  <si>
    <t>SCOPUS_ID:84958759462</t>
  </si>
  <si>
    <t>10.1007/s10654-015-0101-y</t>
  </si>
  <si>
    <t>Impact of whole-body MRI in a general population study</t>
  </si>
  <si>
    <t>['Depression', 'General health screening', 'General population', 'Incidental findings', 'Magnetic resonance imaging', 'Quality of life']</t>
  </si>
  <si>
    <t>This study examined the long-term impact of whole-body MRI and the disclosure of incidental findings on quality of life (QoL) and depressive symptoms in a general population cohort. Analyses were conducted among 4420 participants of the Study of Health in Pomerania SHIP-Trend cohort, of which 2188 received a whole-body MRI examination. A 2.5-year postal follow-up of SHIP-Trend (response: 86Â %) included the Short Form Health Survey (SF-12), based on which the Mental Health Component Summary Score (MCS), and Physical Health Component Summary Score (PCS) were computed. The Patient Health Questionnaire (PHQ-9) was applied to assess depressive symptoms. Generalized estimation equation models were used to assess intervention effects, and statistical weights were applied to account for selective attrition. MRI participants had higher levels of education and employment than nonparticipants. Mean QoL indicators differed little at baseline between MRI participants and nonparticipants. Intervention effects per year on depression and QoL were negligible in (1) MRI participants versus nonparticipants [PCS: unstandardized Î²Â =Â âˆ’0.06 (95Â % CI âˆ’0.30 to 0.18); MCS: Î²Â =Â âˆ’0.01 (95Â % CI âˆ’0.29 to 0.29); PHQ-9: 0.08 (âˆ’0.03 to 0.18)], and (2) MRI participants with a disclosed incidental finding versus those without [PCS: Î²Â =Â âˆ’0.03 (âˆ’0.39 to 0.33); MCS: Î²Â =Â âˆ’0.26 (95Â % CI âˆ’0.65 to 0.13); PHQ-9: 0.03 (âˆ’0.10 to 0.15)]. The body site of the finding had only minor effects on the course of our studied outcomes. Whole-body MRI can be implemented in a population-based study without long-term effects on QoL indicators and depressive symptoms. This does not exclude the possibility of effects on more subtle psychosocial outcomes, such as health concerns or health behaviour, all of which require further attention.</t>
  </si>
  <si>
    <t>SCOPUS_ID:0027485723</t>
  </si>
  <si>
    <t>10.1093/ije/22.5.838</t>
  </si>
  <si>
    <t>The prevalence of dementia, depression and neurosis in later life: The liverpool mrc-alpha study</t>
  </si>
  <si>
    <t>Prevalence rates for psychiatric disorders in the elderly are presented from the initial cross-sectional stage of a longitudinal community study of the incidence of dementia in the city of Liverpool. Together with five other centres in the UK the MRC-ALPHA project forms part of the MRC multicentre incidence study of dementia and cognitive decline. An age- and sex-stratified random sample of 5222 subjects aged &gt;65 was interviewed at home using the Geriatric Mental State-AGECAT package to provide computer diagnoses. The overall age-standardized prevalence rates for organic disorder (4.7%) depressive illness (10.0%) and the neuroses (2.5%) are consistent with levels found in previous smaller studies that have used GMS-AGECAT. Each of these diagnoses is more common in females than males. A rise in organic disorder with age is confirmed as continuing into the oldest age groups for both sexes. An apparent decline with age observed for depression and neurosis diagnoses disappears when organic cases are excluded from the analysis. Â© 1993, International Epidemiological Association.</t>
  </si>
  <si>
    <t>SCOPUS_ID:84865704154</t>
  </si>
  <si>
    <t>10.1093/ije/dys067</t>
  </si>
  <si>
    <t>Twinship influence on morbidity and mortality across the lifespan</t>
  </si>
  <si>
    <t>['Cancer', 'Cardiovascular disease', 'Mortality', 'Singletons', 'Twins']</t>
  </si>
  <si>
    <t>Background: Studies in twins may be questioned with respect to their representativeness of the general population, not least considering the potential importance of the fetal environment for future health and disease. To better understand the influence twinning may have on health, we investigated long-term health outcomes of twins, their singleton siblings and singletons from the population. Methods: Morbidity and mortality in twins was contrasted to that of their singleton siblings. These singletons from families with twins were then compared with singletons of the population to further reveal potential twin family influences on health. Familial relations were identified through the Swedish Multi-Generation Register. Among individuals born between 1932 and 1958, the number of twins and their singleton siblings identified were 49 156 and 35 277, respectively. Outcomes were incident overall cancer, cardiovascular disease (CVD) and death, identified in national registers. Standardized survival functions were estimated using Cox proportional hazards regression and the corresponding cumulative risks plotted against age. Results: Cumulative risks of cancer, CVD and death in twins did not differ from singletons of families with twins, who in turn were found to be similar to singletons of families without twins. As could be expected from these findings, no differences in risks were found when twins were compared with singletons of the population. Conclusions: Despite their adverse intrauterine experience, twins do not seem to fare worse than singletons with respect to adult morbidity and mortality. The findings indicate that the unique experience of twinning does not lead to adverse long-term health outcomes. Â© The Author 2012; all rights reserved.</t>
  </si>
  <si>
    <t>SCOPUS_ID:84939611608</t>
  </si>
  <si>
    <t>10.1093/ije/dyv068</t>
  </si>
  <si>
    <t>Health &amp;amp; Demographic Surveillance System Profile: The Ifakara Rural and Urban Health and Demographic Surveillance System (Ifakara HDSS)</t>
  </si>
  <si>
    <t>The Ifakara Rural HDSS (125 000 people) was set up in 1996 for a trial of the effectiveness of social marketing of bed nets on morbidity and mortality of children aged under 5 years, whereas the Ifakara Urban HDSS (45 000 people) since 2007 has provided demographic indicators for a typical small urban centre setting. Jointly they form the Ifakara HDSS (IHDSS), located in the Kilombero valley in south-east Tanzania. Socio-demographic data are collected twice a year. Current malaria work focuses on phase IV studies for antimalarials and on determinants of fine-scale variation of pathogen transmission risk, to inform malaria elimination strategies. The IHDSS is also used to describe the epidemiology and health system aspects of maternal, neonatal and child health and for intervention trials at individual and health systems levels. More recently, IHDSS researchers have studied epidemiology, health-seeking and national programme effectiveness for chronic health problems of adults and older people, including for HIV, tuberculosis and non-communicable diseases. A focus on understanding vulnerability and designing methods to enhance equity in access to services are cross-cutting themes in our work. Unrestricted access to core IHDSS data is in preparation, through INDEPTH iSHARE [. www.indepth-ishare.org] and the IHI data portal [http://data.ihi.or.tz/index.php/catalog/central].</t>
  </si>
  <si>
    <t>SCOPUS_ID:85054964065</t>
  </si>
  <si>
    <t>10.1136/jech-2017-210259</t>
  </si>
  <si>
    <t>Disparities in injury morbidity among young adults in the USA: Individual and contextual determinants</t>
  </si>
  <si>
    <t>Background Injuries have been recognised as important public health concerns, particularly among adolescents and young adults. Few studies have examined injuries using a multilevel perspective that addresses individual socioeconomic status (SES) and health behaviours and local socioeconomic conditions in early adolescence. We offer a conceptual framework incorporating these various components. Methods We test our conceptual framework using population data from the National Longitudinal Study of Adolescent Health Wave 4 when respondents were young adults and linked them to contextual level data from when they were middle-schoolers. We use logistic and multilevel regression models to examine selfreported injury risk in young adults by sex (n=14 356). Results Logistic regression models showed that men were more likely to experience serious injuries than women (OR 1.75, P&lt;0.0001), but SES and health behaviours operated differently by sex. In stratified models, men with lower education had consistently higher injury risk, while only women with some college had increased injury risk (OR 1.40, P=0.0089) than college graduates. Low household income (OR 1.54, P=0.0011) and unemployment (OR 1.50, P=0.0008) increased female injury risk, but was non-significant for men. Alcohol consumption increased injury risk for both sexes, while only female smokers had elevated injury risk (OR 1.38, P=0.0154). In multilevel models, significant county-level variation was only observed for women. Women living in disadvantaged neighbourhoods during adolescence had increased injury risk (OR 1.001, P&lt;0.0001). Conclusions These findings highlight the importance of investigating mechanisms that link early-life contextual conditions to early adult SES and health behaviours and their linkage to injury risk, particularly for women.</t>
  </si>
  <si>
    <t>SCOPUS_ID:84982948296</t>
  </si>
  <si>
    <t>10.1093/aje/kww044</t>
  </si>
  <si>
    <t>Circulating Influenza Virus and Adverse Pregnancy Outcomes: A Time-Series Study</t>
  </si>
  <si>
    <t>['influenza', 'pregnancy', 'preterm birth', 'stillbirth', 'time-series study']</t>
  </si>
  <si>
    <t>Individual-level epidemiologic studies of pregnancy outcomes after maternal influenza are limited in number and quality and have produced inconsistent results. We used a time-series design to investigate whether fluctuation in influenza virus circulation was associated with short-term variation in population-level rates of preterm birth, stillbirth, and perinatal death in Ontario between 2003 and 2012. Using Poisson regression, we assessed the association between weekly levels of circulating influenza virus and counts of outcomes offset by the number of at-risk gestations during 3 gestational exposure windows. The rate of preterm birth was not associated with circulating influenza level in the week preceding birth (adjusted rate ratio = 1.01, 95% confidence interval: 1.00, 1.02) or in any other exposure window. These findings were robust to alternate specifications of the model and adjustment for potential confounding. Stillbirth and perinatal death rates were similarly not associated with gestational exposure to influenza circulation during late pregnancy. We could not assess mortality outcomes relative to early gestational exposure because of missing dates of conception for many stillbirths. In this time-series study, population-level influenza circulation was not associated with short-term variation in rates of preterm birth, stillbirth, or perinatal death.</t>
  </si>
  <si>
    <t>SCOPUS_ID:59049089735</t>
  </si>
  <si>
    <t>10.2105/AJPH.2007.132217</t>
  </si>
  <si>
    <t>Association between residential exposure to outdoor alcohol advertising and problem drinking among African American Women in New York City</t>
  </si>
  <si>
    <t>We evaluated the association between residential exposure to outdoor alcohol advertising and current problem drinking among 139 African American women aged 21 to 49 years in Central Harlem, New York City. We found that exposure to advertisements was positively related to problem drinking (13% greater odds), even after we controlled for a family history of alcohol problems and socioeconomic status. The results suggest that the density of alcohol advertisements in predominantly African American neighborhoods may add to problem drinking behavior of their residents.</t>
  </si>
  <si>
    <t>SCOPUS_ID:78649711951</t>
  </si>
  <si>
    <t>10.1093/eurpub/ckq007</t>
  </si>
  <si>
    <t>The epidemiology of road traffic injuries in the Republic of Lithuania, 1998-2007</t>
  </si>
  <si>
    <t>['Eastern Europe', 'Lithuania', 'road accidents', 'road traffic injuries', 'trauma']</t>
  </si>
  <si>
    <t>Background: This article highlights the epidemiology of road traffic injury (RTI) in Lithuania between 1998 and 2007. The purpose of this study is to explore the incidence of RTI, age-standardized mortality rates (ASMR), gender-specific rates and the RTI profile of different user groups. In doing so, this analysis attempts to emphasize the need for RTI prevention policies and programmes. Methods: Six databases were analysed using ICD-10 codes V01-V99, pertaining to the causes of road traffic crashes. Data between 1998 and 2007 were obtained from these databases to identify and calculate RTI incidence and mortality rates. This was then analysed with regard to ASMR, gender, user groups and the use of alcohol. Results: In 2007, RTI incidence in Lithuania was reported as 270/100 000 people, 10.7 higher than in 1998. ASMR declined from 28 deaths per 100 000 in 1998 to 25 deaths per 100 000 in 2007. Between 1998 and 2007, the male ASMR declined from 46 to 40 deaths per 100 000 and the female ASMR decreased from 13 to 11 deaths per 100 000. Car occupant and pedestrian fatalities comprised 87 of all RTI deaths. Thirty-four percent of those injured and 21 of the dead were under influence of alcohol. Conclusions: From 1998 to 2007, the incidence of RTI has worsened and mortality rates remain high in Lithuania. Alcohol remains a prominent risk factor of traffic injury and death. The need to develop effective prevention programmes to address traffic injury is essential. Â© The Author 2010. Published by Oxford University Press on behalf of the European Public Health Association. All rights reserved.</t>
  </si>
  <si>
    <t>SCOPUS_ID:85190858135</t>
  </si>
  <si>
    <t>10.1097/EDE.0000000000001726</t>
  </si>
  <si>
    <t>Application of a Web-based Tool for Quantitative Bias Analysis: The Example of Misclassification Due to Self-reported Body Mass Index</t>
  </si>
  <si>
    <t>['BMI', 'Measurement bias', 'Misclassification', 'Quantitative bias analysis']</t>
  </si>
  <si>
    <t>Background: We describe the use of Apisensr, a web-based application that can be used to implement quantitative bias analysis for misclassification, selection bias, and unmeasured confounding. We apply Apisensr using an example of exposure misclassification bias due to use of self-reported body mass index (BMI) to define obesity status in an analysis of the relationship between obesity and diabetes. Methods: We used publicly available data from the National Health and Nutrition Examination Survey. The analysis consisted of: (1) estimating bias parameter values (sensitivity, specificity, negative predictive value, and positive predictive value) for self-reported obesity by sex, age, and race-ethnicity compared to obesity defined by measured BMI, and (2) using Apisensr to adjust for exposure misclassification. Results: The discrepancy between self-reported and measured obesity varied by demographic group (sensitivity range: 75%-89%; specificity range: 91%-99%). Using Apisensr for quantitative bias analysis, there was a clear pattern in the results: the relationship between obesity and diabetes was underestimated using self-report in all age, sex, and race-ethnicity categories compared to measured obesity. For example, in non-Hispanic White men aged 40-59 years, prevalence odds ratios for diabetes were 3.06 (95% confidence inerval = 1.78, 5.30) using self-reported BMI and 4.11 (95% confidence interval = 2.56, 6.75) after bias analysis adjusting for misclassification. Conclusion: Apisensr is an easy-to-use, web-based Shiny app designed to facilitate quantitative bias analysis. Our results also provide estimates of bias parameter values that can be used by other researchers interested in examining obesity defined by self-reported BMI.</t>
  </si>
  <si>
    <t>SCOPUS_ID:85136189922</t>
  </si>
  <si>
    <t>10.1093/ije/dyac072</t>
  </si>
  <si>
    <t>Tooth count, untreated caries and mortality in US adults: A population-based cohort study</t>
  </si>
  <si>
    <t>['caries', 'mortality', 'Oral health']</t>
  </si>
  <si>
    <t>Background: The link between oral diseases and mortality remains under-explored. We aimed to evaluate the associations between tooth count, untreated caries and risk of all-cause and cause-specific mortality. Methods: Data on 24 029 adults from the National Health and Nutrition Examination Survey 1988-94/1999-2010, with mortality linkage to the National Death Index to 31 December 2015, were analysed. Baseline total number of permanent teeth and any untreated caries were assessed by trained dental professionals. Results: During up to 27 years of follow-up, 5270 deaths occurred. Fewer permanent teeth were associated with higher all-cause mortality, including heart disease and cancer mortality (all P &lt;0.05 for trend) but not cerebrovascular disease mortality. For every 10 teeth missing, the multivariable-adjusted hazard ratios (HRs) were 1.13 (95% CI: 1.08 to 1.18) for all-cause, 1.16 (95% CI: 1.05, 1.29) for heart disease and 1.19 (95% CI: 1.09, 1.29) for cancer mortality. Untreated caries was associated with increased all-cause (HR: 1.26, 95% CI: 1.15, 1.39) and heart disease mortality (HR: 1.48, 95% CI: 1.17, 1.88) but not cerebrovascular disease/cancer mortality, after adjusting for tooth count, periodontitis and sociodemographic/lifestyle factors. Compared with those without untreated caries and with 25-28 teeth, individuals with untreated caries and 1-16 teeth had a 53% increased risk of all-cause mortality (HR: 1.53, 95% CI: 1.27, 1.85) and 96 % increased risk of heart disease mortality (HR: 1.96, 95% CI: 1.28, 3.01). Conclusions: In nationally representative cohorts, fewer permanent teeth and untreated caries were associated with all-cause and heart disease mortality. Fewer teeth were also associated with higher cancer mortality.</t>
  </si>
  <si>
    <t>SCOPUS_ID:85070489623</t>
  </si>
  <si>
    <t>10.1016/j.ypmed.2019.105793</t>
  </si>
  <si>
    <t>Twin consequences of rising U.S. death rates among young adults: Lower life expectancy and greater lifespan variability</t>
  </si>
  <si>
    <t>['Inequality', 'Life expectancy', 'Lifespan variability', 'Mortality', 'United States']</t>
  </si>
  <si>
    <t>The current study is an original investigation of the U.S. mortality pattern from 2000 to 2017. Previous research has shown that the unusual post-2014 decline in life expectancy is related to the increase in death rates for ages 25â€“44, mostly due to rising prevalence in drug poisoning and suicide deaths. Our investigation reveals that such increase in younger-age mortality has had an impact not only on life expectancy (or mean age at death), but also, and to a larger extent, on lifespan variability (the dispersion around the mean age at death). Even though lifespan variability is a key component of mortality change, as well as a measure of human well-being, with social, economic, and psychological implications, it has received much less attention than life expectancy has.</t>
  </si>
  <si>
    <t>SCOPUS_ID:85147099255</t>
  </si>
  <si>
    <t>10.1016/j.ypmed.2022.107394</t>
  </si>
  <si>
    <t>Impact of limited English proficiency on the control of diabetes and associated cardiovascular risk factors. The National Health and Nutrition Examination Survey, 2003â€“2018</t>
  </si>
  <si>
    <t>['Diabetes', 'Limited English proficiency', 'Migrants', 'NHANES']</t>
  </si>
  <si>
    <t>Language barriers pose a challenge to managing health conditions for various personal, interpersonal, and structural reasons. This study estimates the impact of limited English proficiency (LEP) on diabetes mellitus control and associated cardiovascular risk factors in a large representative sample of United States adults. Cross-sectional data from the National Health and Nutrition Examination Survey (NHANES, 2003â€“18) was used to estimate the impact of language proficiency on glycemic control (glycated hemoglobin [HbA1c]) and cardiovascular risk status (blood pressure [BP] and low-density lipoprotein [LDL]) in adult participants with known diabetes disease. The analysis included descriptive statistics and generalized linear models to adjust for sociodemographic characteristics. The study sample included 5017 participants with self-reported, physician-diagnosed diabetes mellitus. Most participants completed NHANES interview in English (90.8%), whereas some participants completed the interview in Spanish (LEP-Spanish; 6.6%) or requested an interpreter (LEP-interpreter; 2.6%). Compared to English-speaking participants, LEP-interpreter participants were more likely to have HbA1c â‰¥ 7% (OR = 1.6, 95% CI = 1.1, 2.4) or a combination of HbA1c â‰¥ 7%, LDL â‰¥ 2.6 mmol/L, and BP â‰¥ 130/80 mmHg (OR = 3.1; 95% CI = 1.2, 8.2). We observed no differences in the odds of diabetes control. between English-speaking and LEP-Spanish participants, whereas LEP-interpreter participants had worse diabetes control, possibly owing to the greater likelihood of patient-provider language discordance for non-English non-Spanish-speaking patients. Given that many patients, yet few providers, speak languages other than English or Spanish, innovative ways are needed to facilitate patient-provider communications (e.g., digital communication assistance tools).</t>
  </si>
  <si>
    <t>SCOPUS_ID:85147834238</t>
  </si>
  <si>
    <t>10.1136/jech-2022-219825</t>
  </si>
  <si>
    <t>Direct and indirect effects of socioeconomic status on sepsis risk and mortality: A mediation analysis of the HUNT Study</t>
  </si>
  <si>
    <t>['EDUCATION', 'EPIDEMIOLOGY', 'Health inequalities', 'INFECTIONS', 'SOCIAL CLASS']</t>
  </si>
  <si>
    <t>Background Socioeconomic status (SES) may influence risk of sepsis and sepsis-related mortality, but to what extent lifestyle and health-related factors mediate this effect is not known. Methods The study included 65 227 participants of the population-based HUNT Study in Norway linked with hospital records to identify incident sepsis and sepsis-related deaths. Cox regression estimated HRs of sepsis risk and mortality associated with different indicators of SES, whereas mediation analyses were based on an inverse odds weighting approach. Results During âˆ¼23 years of follow-up (1.3 million person-years), 4200 sepsis cases and 1277 sepsis-related deaths occurred. Overall, participants with low SES had a consistently increased sepsis risk and sepsis-related mortality using education, occupational class and financial difficulties as indicators of SES. Smoking and alcohol consumption explained 57% of the sepsis risk related to low education, whereas adding risk factors of cardiovascular disease and chronic diseases to the model increased the explained proportion to 78% and 82%, respectively. Conclusion This study shows that SES is inversely associated with sepsis risk and mortality. Approximately 80% of the effect of education on sepsis risk was explained by modifiable lifestyle and health-related factors that could be targets for prevention.</t>
  </si>
  <si>
    <t>SCOPUS_ID:61649104289</t>
  </si>
  <si>
    <t>10.1016/j.ypmed.2008.12.019</t>
  </si>
  <si>
    <t>Analyzing the occurrence of falls and its risk factors: Some considerations</t>
  </si>
  <si>
    <t>['Accidental falls', 'Likelihood functions', 'Proportional hazards model', 'Recurrence', 'Risk factors', 'Survival analysis']</t>
  </si>
  <si>
    <t>Objective: Falls are a common problem facing elderly people and are associated with considerable mortality and morbidity. The objective of this paper is to study the application of the conditional model as an alternative for the statistical analysis of the occurrence of falls and their associated factors. Methods: Cohort study. We select all ninety-eight residents admitted during the year 2007 in a long-term care centre, Seville, Spain. Five models were fitted: Negative binomial, standard Cox for the first fall, standard Cox for all falls, Andersen-Gill model, and Prentice-Williams-Peterson model. Results: The crude incidence rate of falls was 26.3 per 100 person-months. The median time to fall decreases depending on the falls previously experienced, while the hazard rises. The AG's standard errors are between 1.4 and 2.7 times bigger than those estimated by Standard Cox. The major differences between marginal models were in the "Barthel 25-60" coefficient, where the conditional model attributed an HR = 2.39 versus HR = 3.77 estimated by the extension model. Conclusion: As the risk increases depending on the falls previously suffered by an individual, the PWP-conditional model becomes an interesting alternative for obtaining unbiased and precise estimations of coefficients associated with possible risk factors of falls. Â© 2009 Elsevier Inc. All rights reserved.</t>
  </si>
  <si>
    <t>SCOPUS_ID:0033018620</t>
  </si>
  <si>
    <t>10.2105/AJPH.89.5.747</t>
  </si>
  <si>
    <t>Preventing weight gain in adults: The pound of prevention study</t>
  </si>
  <si>
    <t>Objectives. This study examined whether weight gain with age could be prevented through the use of a low-intensity intervention. Methods. Participants, 228 men and 998 women recruited from diverse sources, were randomized to one of the following groups: (1) no-contact control, (2) education through monthly newsletters, or (3) education plus incentives for participation. All participants were weighed and completed questionnaires about behaviors and attitudes related to weight at baseline and annually for 3 years thereafter. Results. Individuals in intervention groups reported favorable changes over time in frequency of weighing and healthy dieting practices relative to those in the control group. These behavior changes were in turn related to a reduced rate of weight gain over time. However, weight gain over 3 years did not differ significantly by treatment group. Conclusions. This low-intensity educational approach to weight gain prevention sustained interest over a lengthy time period and was associated positively with behavior change, but it was not strong enough to significantly reduce weight gain with age.</t>
  </si>
  <si>
    <t>SCOPUS_ID:85195227201</t>
  </si>
  <si>
    <t>10.1093/aje/kwad235</t>
  </si>
  <si>
    <t>Grandmaternal body mass index in early pregnancy and risk of grandoffspring stillbirth: a nationwide, 3-generation cohort study</t>
  </si>
  <si>
    <t>['body mass index', 'grandmother', 'intergenerational', 'obesity', 'stillbirth']</t>
  </si>
  <si>
    <t>We investigated the association between maternal grandmaternal early pregnancy body mass index (BMI) and grandoffspring stillbirth risk in a Swedish population-based 3-generation cohort of 176 908 grandmothers (F0), 197 579 mothers (F1), and 316 459 grandoffspring (F2) born 1997-2016. There were 998 stillbirths (risk, 3.2 per 1000 births). Compared with grandmaternal BMI 18.5-24.9, adjusted relative risks (RRs) of grandoffspring stillbirth for BMIs of 25.0-29.9 and â‰¥30.0 were, respectively, 1.41 (95% CI, 1.15-1.72) and 1.62 (95% CI, 1.14-2.30). RRs for corresponding maternal (F1) BMI categories were, respectively, 1.32 (95% CI, 1.06-1.65) and 1.77 (95% CI, 1.39-2.25). Maternal BMI mediated only 19% of this relationship. Grandmaternal preeclampsia and maternal small-for-gestational age (SGA) birth were related to increased F2 stillbirth risk but did not mediate the association between grandmaternal BMI and grandoffspring stillbirth risk. To explore whether this association was explained by factors shared within families, we studied the relationship of maternal full sisters' BMI and stillbirth risk in 101 368 pregnancies. Stillbirth RRs for full sisters' BMI 25.0-29.9 and â‰¥30.0 compared with 18.5-24.9 were, respectively, 0.76 (95% CI, 0.51-1.13) and 0.88 (95% CI, 0.55-1.40). In conclusion, grandmaternal overweight and obesity were associated with grandoffspring stillbirth. This association is not fully explained by shared familial factors.</t>
  </si>
  <si>
    <t>SCOPUS_ID:0035099909</t>
  </si>
  <si>
    <t>10.1136/jech.55.4.227</t>
  </si>
  <si>
    <t>Self rated health and mortality: A long term prospective study in eastern Finland</t>
  </si>
  <si>
    <t>Study objective - To assess the relation between self rated health and mortality over a period of 23 years, taking into account medical history, cardiovascular risk factors, and education at the beginning of the follow up. Design - A cohort of random population samples. The baseline studies included a self administered questionnaire and a health examination. Mortality data were collected from the national mortality register using personal identification numbers. Setting - The provinces of North Karelia and Kuopio in eastern Finland. Participants - Random samples of working age people (n=21 302) from the population register. Main results - For self rated health, the age adjusted poor to good relative risk for all cause mortality was 2.36 (95% confidence intervals 2.10, 2.64) for men and 1.90 (1.63, 2.22) for women, and for cardiovascular mortality 2.29 (1.96, 2.68) for men and 2.34 (1.84, 2.96) for women. Adjusted for selected potentially fatal diseases from the subjects' medical histories, cardiovascular disease risk factors, and education, the corresponding relative risks for all cause mortality were 1.66 (1.47, 1.88) for men and 1.50 (1.26, 1.78) for women, and for cardiovascular mortality 1.54 (1.29, 1.82) for men and 1.63 (1.26, 2.10) for women. The association between self rated health and mortality attributable to external causes was fairly strong. Conclusions - Poor self rated health is a strong predictor of mortality, and the association is only partly explained by medical history, cardiovascular disease risk factors, and education.</t>
  </si>
  <si>
    <t>SCOPUS_ID:0042385128</t>
  </si>
  <si>
    <t>10.1093/ije/dyg110</t>
  </si>
  <si>
    <t>Family study of the relationship between height and cardiovascular risk factors in the STANISLAS cohort</t>
  </si>
  <si>
    <t>['Blood pressure', 'Correlation', 'Family', 'Height', 'Lipids']</t>
  </si>
  <si>
    <t>Background. Short stature is a risk factor for coronary heart disease and is associated with an adverse cardiovascular profile. Mechanisms responsible for this association remain unknown. A genetic contribution to this association would imply a familial clustering between height and cardiovascular risk factors. Methods. This study investigated whether lipids and blood pressure (BP) levels shared a common familial component with height. The sample included 865 nuclear families from the French STANISLAS cohort volunteering for a free health examination between 1993 and 1994. Within-individual correlations and familial intra-trait and cross-trait correlations were estimated using the Estimating Equation technique extended to a bivariate phenotype. Results. Height negatively correlated to total and low density lipoprotein cholesterol (LDL-C) and triglycerides in both parents and offspring, and positively correlated to high density lipoprotein cholesterol (HDL-C) in parents only. In offspring, the correlation between height and HDL-C markedly increased with sexual maturation to reach after puberty the same value as in parents. The correlation of height with systolic BP was negative in fathers and positive in sons, whereas it was non-significant in mothers and daughters. The pattern of cross-trait familial correlations between height and LDL-C was compatible with the existence of a weak transmissible component explaining the relationship between these two traits. By contrast, the pattern observed for HDL-C and triglycerides was rather compatible with the influence of shared environmental factors. No familial clustering between height and BP levels was detected. Conclusions. The association between short stature and increased LDL-C might be partly of familial origin.</t>
  </si>
  <si>
    <t>SCOPUS_ID:0026336991</t>
  </si>
  <si>
    <t>10.1016/s0749-3797(18)30931-0</t>
  </si>
  <si>
    <t>Baseline characteristics of participants in the Physicians' Health Study: A randomized trial of aspirin and beta-carotene in U.S. physicians</t>
  </si>
  <si>
    <t>The Physicians' Health Study is a randomized, double-blind, placebo- controlled trial of primary prevention designed to assess the effects of low- dose aspirin on cardiovascular disease and of beta-carotene on risks of cancer. A total of 22,071 U.S. male physicians 40 to 84 years of age were randomized to one of four treatment groups: active aspirin and active beta- carotene, active aspirin and beta-carotene placebo, aspirin placebo and active beta-carotene, or both placebos. Whereas the beta-carotene component of the trial is ongoing, the blinded aspirin component was terminated early primarily because of a statistically extreme benefit of aspirin on first myocardial infarction. We obtained data relating to a large number of variables, including demographics, personal medical history, family history, health habits, and diet before randomization and compared them among the four treatment groups. As expected in a randomized trial of this sample size, the distribution of baseline characteristics was virtually identical among the treatment groups. This comparison indicates certainly no confounding by the baseline variables that were collected and suggests that other unmeasured or unknown potential confounders are also likely to be distributed evenly between the treatment groups. Thus, any observed differences in outcome between these groups likely result from the effects of the treatments themselves.</t>
  </si>
  <si>
    <t>SCOPUS_ID:2442700090</t>
  </si>
  <si>
    <t>10.1136/jech.2003.013417</t>
  </si>
  <si>
    <t>Ethical issues in public health: A qualitative study of public health practice in Scotland</t>
  </si>
  <si>
    <t>Study objective: To identify ethical issues encountered by staff in the development and implementation of public health activities at two sites in Scotland. Design: Qualitative research study involving face to face semi-structured interviews with participants. Setting: A public health directorate in a National Health Service Trust, and a public health demonstration project in child health. Participants: Health promotion specialists, managers, nurses, public health consultants and specialists, researchers, trainees, and other public health staff. Main results: Three main categories of ethical issues were identified: paternalism, responsibilities, and ethical decision making. Consulting with the community and sharing information raised issues of paternalism and honesty. Participants identified multiple and sometimes conflicting responsibilities. Barriers to fulfilling responsibilities included meeting targets, working with partners, and political influences. Defining the limits of responsibilities posed challenges. Participants identified values for ideal decision making, but lack of time often led to a more pragmatic approach. Conclusion: These empirical findings complement and extend existing discussions of public health ethics, emphasising the complex nature of ethical issues in public health. The implications for public health policy and future research are discussed.</t>
  </si>
  <si>
    <t>SCOPUS_ID:0034008023</t>
  </si>
  <si>
    <t>10.1016/S0749-3797(00)00129-X</t>
  </si>
  <si>
    <t>Effects of a short-term health promotion intervention for a predominantly African-American group of stroke survivors</t>
  </si>
  <si>
    <t>Background: The study examined the effects of a 12-week health promotion intervention for a predominantly urban African-American population of stroke survivors. Design: A pre-test/post-test lag control group design was employed.Participants/Setting: Participants were 35 stroke survivors (9 male, 26 female) recruited from local area hospitals and clinics. Main Outcome Measures: Biomedical, fitness, nutritional, and psychosocial measures were employed to assess program outcomes. Results: Treatment group made significant gains over lag controls in the following areas: (1) reduced total cholesterol, (2) reduced weight, (3) increased cardiovascular fitness, (4) increased strength, (5) increased flexibility, (6) increased life satisfaction and ability to manage self-care needs, and (7) decreased social isolation. Conclusion: A short-term health promotion intervention for predominantly African-American stroke survivors was effective in improving several physiological and psychological health outcomes. Copyright (C) 2000 American Journal of Preventive Medicine.</t>
  </si>
  <si>
    <t>SCOPUS_ID:0030982191</t>
  </si>
  <si>
    <t>10.1093/oxfordjournals.aje.a009046</t>
  </si>
  <si>
    <t>Distribution and association of chronic disease and mobility difficulty across four body mass index categories of African-American women</t>
  </si>
  <si>
    <t>['blacks', 'body mass index', 'chronic disease', 'movement', 'obesity', 'women']</t>
  </si>
  <si>
    <t>A majority of African-American women over the age of 50 are obese, have at least one chronic disease, and experience mobility difficulty. Using self- reported data from the 1992 Health and Retirement Study of 1,150 African- American women aged 30-70 years, this report first compares chronic disease prevalence and severity, pain, sensory deficits, and mobility difficulty across four categories of body mass index and, second, investigates whether body mass index affects the association of chronic disease with mobility difficulty. Body mass index was categorized as low, medium, high, and severe, being equal to 19-24 (20%), 25-29 (38%), 30-34 (24%), and 35 or over (18%), respectively. There were few differences when comparing the medium category with either the low or high category. Those in the severe body mass index category, however, reported significantly more frequent and severe hypertension, diabetes, cancer, heart disease, arthritis, pain, sensory deficits, and mobility difficulty than did those in the medium body mass index category. Obesity did not appear to affect the association between chronic disease and mobility difficulty. The relatively high rates of mobility difficulty observed among the severe body mass index group appear to be more likely a result of relatively high chronic disease prevalence and severity than to a disproportionate impact of these on mobility.</t>
  </si>
  <si>
    <t>SCOPUS_ID:33845794808</t>
  </si>
  <si>
    <t>10.1097/01.ede.0000249409.81050.46</t>
  </si>
  <si>
    <t>Focused exposures to airborne traffic particles and heart rate variability in the elderly</t>
  </si>
  <si>
    <t>BACKGROUND: Exposure to airborne particles may increase cardiac risk by altering autonomic balance. Because these risks may be particularly great for traffic-related particles, we examined associations between particles and heart rate variability as 44 subjects participated in 4 repeated trips aboard a diesel bus. METHODS: Twenty-four hour electrocardiograms were correlated with continuous particle concentrations using generalized additive models controlling for subject, weekday, time, apparent temperature, trip type, activity, medications, and autoregressive terms. Associations were assessed for short- and medium-term moving averages of measured concentrations. RESULTS: Heart rate variability was negatively associated with fine particulate matter. Positive associations were demonstrated with heart rate and the low-to-high frequency power ratio. Associations were strongest with 24-hour mean concentrations, although strong short-term associations also were found during bus periods, independent of daily exposures. Overall, associations were greatest for high-frequency power with the following effects per interquartile change in the 24-hour mean concentrations: -15% (95% confidence interval = -17% to -14%) for PM2.5 (4.6 Î¼g/m); -19% (-21% to -17%) for black carbon (459 ng/m); and -14% (-15% to -12%) for fine particle counts (39 pt/cm). For each interquartile change in the 5-minute PM2.5 concentration (10 Î¼g/m) aboard the bus, an 11% (95% confidence interval = -14% to -8%) decrease in high-frequency power was observed. CONCLUSIONS: This investigation indicates that fine particles are negatively associated with heart rate variability, with an overall trend towards reduced parasympathetic tone. Although daily associations were evident for all particles, short-term associations were predominantly limited to traffic-related particles. Â© 2007 Lippincott Williams &amp; Wilkins, Inc.</t>
  </si>
  <si>
    <t>SCOPUS_ID:85070266308</t>
  </si>
  <si>
    <t>10.1016/j.ypmed.2019.105792</t>
  </si>
  <si>
    <t>Neighborhood immigrant density and population health among native-born Americans</t>
  </si>
  <si>
    <t>['Chronic disease', 'Diet', 'Immigrant health', 'Neighborhood environment', 'Urban health']</t>
  </si>
  <si>
    <t>The healthy immigrant effectâ€”whereby immigrants are on average healthier than the native-bornâ€”have been well studied. However, little is known about the relationship between immigration and the health of the native-born. This study fills this important research gap by examining the association between neighborhood immigrant density and several population health measures among native-born Americans. We used data from the Los Angeles County Health Survey to analyze four individual-level health behaviors and outcomes, including regular fast food consumption, fruit and vegetable consumption, body mass index, and hypertension. We conducted multilevel logistic regressions to assess the association between neighborhood immigrant density and the four health behaviors and outcomes. The results showed that neighborhood immigrant density was negatively associated with regular fast food consumption (OR = 0.33; 95% CI, 0.18â€“0.59), BMI (Î² = âˆ’2.16, 95% CI, âˆ’3.13 to âˆ’1.19), and hypertension (OR = 0.58; 95% CI, 0.38â€“0.89), and positively associated with fruit/vegetable consumption (OR = 1.64; 95% CI, 1.01â€“2.66) among native-born Americans. In conclusion, native-born Americans who lived in a neighborhood with a high density of immigrants had healthier behaviors and better health outcomes compared to those who lived in a neighborhood with a low density of immigrants.</t>
  </si>
  <si>
    <t>SCOPUS_ID:84861788511</t>
  </si>
  <si>
    <t>10.1016/j.ypmed.2012.04.003</t>
  </si>
  <si>
    <t>A comparison of prevalence estimates for selected health indicators and chronic diseases or conditions from the Behavioral Risk Factor Surveillance System, the National Health Interview Survey, and the National Health and Nutrition Examination Survey, 2007-2008</t>
  </si>
  <si>
    <t>['Chronic diseases', 'Health indicators', 'Health survey', 'Prevalence estimate']</t>
  </si>
  <si>
    <t>Objective: To compare the prevalence estimates of selected health indicators and chronic diseases or conditions among three national health surveys in the United States. Methods: Data from adults aged 18. years or older who participated in the Behavioral Risk Factor Surveillance System (BRFSS) in 2007 and 2008 (n = 807,524), the National Health Interview Survey (NHIS) in 2007 and 2008 (n = 44,262), and the National Health and Nutrition Examination Survey (NHANES) during 2007 and 2008 (n = 5871) were analyzed. Results: The prevalence estimates of current smoking, obesity, hypertension, and no health insurance were similar across the three surveys, with absolute differences ranging from 0.7% to 3.9% (relative differences: 2.3% to 20.2%). The prevalence estimate of poor or fair health from BRFSS was similar to that from NHANES, but higher than that from NHIS. The prevalence estimates of diabetes, coronary heart disease, and stroke were similar across the three surveys, with absolute differences ranging from 0.0% to 0.8% (relative differences: 0.2% to 17.1%). Conclusion: While the BRFSS continues to provide invaluable health information at state and local level, it is reassuring to observe consistency in the prevalence estimates of key health indicators of similar caliber between BRFSS and other national surveys. Â© 2012 .</t>
  </si>
  <si>
    <t>SCOPUS_ID:24144497054</t>
  </si>
  <si>
    <t>10.1097/01.ede.0000172131.84877.42</t>
  </si>
  <si>
    <t>Antibiotics and the risk of breast cancer</t>
  </si>
  <si>
    <t>Background: Two recent studies found a positive association between antibiotic use and the risk of breast cancer. Methods: Using information from the U.K. General Practice Research Database, we identified 1268 cases of incident breast cancer (40- to 79-year-old women diagnosed in 1987 to 2002 who had at least 6 years of history recorded in the General Practice Research Database) and 6291 female controls matched to the cases on age, general practice, and duration of history recorded in the General Practice Research Database. We ascertained antibiotic prescriptions (penicillins, cephalosporins, sulfonamides, macrolides, tetracyclines, quinolones, metronidazole, and nitrofurantoin) recorded up to 1 year before the index date. Results: Odds ratios (95% confidence intervals) of breast cancer for 0, 1-50, 51-100, 101-500, and 501 or more cumulative days of antibiotic use were 1.0 (reference), 1.0 (0.9-1.2), 0.9 (0.7-1.2), 0.9 (0.7-1.3), and 1.2 (0.6-2.4). Conclusions: These data do not support the hypothesis that antibiotic use is associated with an increased risk of breast cancer. Copyright Â© 2005 by Lippincott Williams &amp; Wilkins.</t>
  </si>
  <si>
    <t>SCOPUS_ID:84861397663</t>
  </si>
  <si>
    <t>10.1093/aje/kwr456</t>
  </si>
  <si>
    <t>Cross-sectional and prospective cohort study of serum 25-hydroxyvitamin D level and obesity in adults</t>
  </si>
  <si>
    <t>['25-hydroxyvitamin D', 'body mass index', 'cross-sectional studies', 'obesity', 'prospective studies', 'vitamin D', 'waist circumference']</t>
  </si>
  <si>
    <t>Experimental studies suggest that vitamin D modulates the activity of adipocytes. The authors examined baseline serum 25-hydroxyvitamin D (25(OH)D) level in relation to prevalent and cumulative incident obesity in Norway. A cohort of 25,616 adults aged 19-55 years participated in both the second and third surveys of the Nord-TrÃ¸ndelag Health Study (HUNT 2 (1995-1997) and HUNT 3 (2006-2008)). Serum 25(OH)D levels measured at baseline and anthropometric measurements taken at both baseline and follow-up were available for a random sample of 2,460 subjects. Overall, 40% of the 2,460 subjects had a serum 25(OH)D level less than 50.0 nmol/L, and 37% had a level of 50.0-74.9 nmol/L. The prevalence and cumulative incidence of obesity, defined as body mass index (weight (kg)/height (m) 2) â‰¥30, were 12% and 15%, respectively. Lower serum 25(OH)D level was associated with a higher prevalence of obesity. In the 2,165 subjects with baseline BMI less than 30, a serum 25(OH)D level less than 50.0 nmol/L was associated with a significantly increased odds ratio for incident obesity during follow-up (adjusted odds ratio = 1.73, 95% confidence interval: 1.24, 2.41). When prevalent and incident obesity were classified according to waist circumference (â‰¥88 cm for women, â‰¥102 cm for men), similar results were obtained. In addition to prevalent obesity, a serum 25(OH)D level less than 50.0 nmol/L was significantly associated with new-onset obesity in adults. American Journal of Epidemiology Â© The Author 2012. Published by Oxford University Press on behalf of the Johns Hopkins Bloomberg School of Public Health. All rights reserved.</t>
  </si>
  <si>
    <t>SCOPUS_ID:85090870257</t>
  </si>
  <si>
    <t>10.2105/AJPH.2020.305833</t>
  </si>
  <si>
    <t>Water and sanitation in Urban America, 2017-2019</t>
  </si>
  <si>
    <t>Objectives. To estimate the population lacking at least basic water and sanitation access in the urban United States. Methods. We compared national estimates of water and sanitation access from the World Health Organization/United Nations Children's Fund Joint Monitoring Program with estimates from the US Department of Housing and Urban Development on homelessness and the American Community Survey on household water and sanitation facilities. Results. We estimated that at least 930 000 persons in US cities lacked sustained access to at least basic sanitation and 610 000 to at least basic water access, as defined by the United Nations. Conclusions. After accounting for those experiencing homelessness and substandard housing, our estimate of people lacking at least basic water equaled current estimates (n = 610 000)-without considering water quality-and greatly exceeded estimates of sanitation access (n = 28 000). Public Health Implications. Methods to estimate water and sanitation access in the United States should include people experiencing homelessness and other low-income groups, and specific policies are needed to reduce disparities in urban sanitation. We recommend similar estimation efforts for other high-income countries currently reported as having near universal sanitation access.</t>
  </si>
  <si>
    <t>SCOPUS_ID:0033795175</t>
  </si>
  <si>
    <t>10.2105/AJPH.90.10.1550</t>
  </si>
  <si>
    <t>Toward elimination of Haemophilus influenzae type B carriage and disease among high-risk American Indian children</t>
  </si>
  <si>
    <t>Objectives. This report describes the epidemiology of Haemophilus influenzae type b (Hib) invasive disease and oropharyngeal colonization among Navajo and White Mountain Apache children younger than 7 years in an era of widespread immunization. Methods. We conducted active surveillance for invasive H influenzae disease from 1992 to 1999 and an oropharyngeal carriage study from 1997 to 1999. The predominant vaccine used was PedvaxHib. Results. The average annual incidence of invasive Hib disease among children younger than 24 months was 22 cases per 100 000. Of 381 children younger than 7 years, only 1 (0.3%; 95% confidence interval = 0.0%, 1.3%) was colonized with Hib; 370 (97%) had received 2 or more doses of Hib conjugate vaccine. Conclusions. Among Navajo and White Mountain Apache children, Hib conjugate vaccines have led to a sustained reduction in invasive Hib disease and a reduction in oropharyngeal Hib carriage. The disease incidence among children younger than 24 months remains 20 times higher than in the general US population. Hib elimination will require additional characterization of colonization and disease in these high-risk populations.</t>
  </si>
  <si>
    <t>SCOPUS_ID:84924717654</t>
  </si>
  <si>
    <t>10.2105/AJPH.2014.302533</t>
  </si>
  <si>
    <t>Defining and assessing quality improvement outcomes: A framework for public health</t>
  </si>
  <si>
    <t>We describe an evidencebased framework to define and assess the impact of quality improvement (QI) in public health. Developed to address programmatic and researchidentified eeds for articulating the value of public health QI in aggregate, this framework proposes a standardized set of measures to monitor and improve he efficiency and effectiveness of public health programs and operations. We reviewed the scientific literature and analyzed QI initiatives implemented through the Centers for Disease Control and Prevention's National PublicHealth Improvement Initiative to inform the selection of 5 efficiency and 8 effectiveness measures. This framework provides a model for identifying the types of improvement outcomes targeted by public health QI efforts and a means to understand QI's impact on the practice of public health.</t>
  </si>
  <si>
    <t>SCOPUS_ID:78649764303</t>
  </si>
  <si>
    <t>10.1093/ije/dyq126</t>
  </si>
  <si>
    <t>Association of blood lactate with type 2 diabetes: The atherosclerosis risk in communities carotid MRI study</t>
  </si>
  <si>
    <t>['Diabetes mellitus', 'Epidemiology', 'Glycolysis', 'Insulin resistance', 'Lactic acid', 'Oxidative phosphorylation', 'Type 2']</t>
  </si>
  <si>
    <t>Background: Accumulating evidence implicates insufficient oxidative capacity in the development of type 2 diabetes. This notion has not been well tested in large, population-based studies. Methods: To test this hypothesis, we assessed the cross-sectional association of plasma lactate, an indicator of the gap between oxidative capacity and energy expenditure, with type 2 diabetes in 1709 older adults not taking metformin, who were participants in the Atherosclerosis Risk in Communities (ARIC) Carotid MRI Study. Results: The prevalence of type 2 diabetes rose across lactate quartiles (11, 14, 20 and 30%; P for trend &lt;0.0001). Following adjustment for demographic factors, physical activity, body mass index and waist circumference, the relative odds of type 2 diabetes across lactate quartiles were 0.98 [95% confidence interval (CI) 0.59-1.64], 1.64 (95% CI 1.03-2.64) and 2.23 (95% CI 1.38-3.59), respectively. Furthermore, lactate was associated with higher fasting glucose among non-diabetic adults. Conclusions: Plasma lactate was strongly associated with type 2 diabetes in older adults. Plasma lactate deserves greater attention in studies of oxidative capacity and diabetes risk. Published by Oxford University Press on behalf of the International Epidemiological Association Â© The Author 2010; all rights reserved.</t>
  </si>
  <si>
    <t>SCOPUS_ID:0007760644</t>
  </si>
  <si>
    <t>10.1093/eurpub/10.suppl_4.30</t>
  </si>
  <si>
    <t>Targets for health: A regional participatory approach in Sweden</t>
  </si>
  <si>
    <t>['Community participation', 'Health targets', 'Regional participatory approach']</t>
  </si>
  <si>
    <t>This paper describes how the Ã–stergÃ¶tland County Council health policy and targets were developed and implemented in collaboration with municipalities as well as other sectors of regional and local society. Community participation and intersectoral action is described. The strategy for implementation talks about the local community as the basis for activities supported by education, training and information. Building alliances and collaborating with both official and voluntary organisations as well as with the general public has been the county council strategy all the way from policy formulation to implementation of local health activities.</t>
  </si>
  <si>
    <t>SCOPUS_ID:85024362284</t>
  </si>
  <si>
    <t>10.1093/aje/kwx035</t>
  </si>
  <si>
    <t>Association between Serum Tumor Necrosis Factor Receptor 1 and Trajectories of Functional Status</t>
  </si>
  <si>
    <t>['biomarkers', 'Disability', 'functional status', 'inflammation', 'tumor necrosis factor receptor 1']</t>
  </si>
  <si>
    <t>We hypothesized that tumor necrosis factor receptor 1 (TNFR1) levels are associated with long-term trajectories of functional status independently of vascular risk factors and the occurrence of stroke and myocardial infarction (MI) during follow-up. In the Northern Manhattan Study, stroke-free persons aged .40 years in northern Manhattan (New York, New York) had annual assessments with the Barthel index (BI) for a median of 13 years (1993-2015). Assessment of baseline demographic factors, risk factors, and laboratory studies included measurement of TNFR1 (n = 1,863). Generalized estimating equations models were used to estimate standardized associations between TNFR1 and 1) baseline functional status and 2) change in function over time, adjusting for demographic factors, vascular risk factors, social variables, cognition, and depression, as well as stroke and MI occurrence during follow-up. The mean age of participants was 70 (standard deviation (SD), 10) years; 66% were women, and 55% were Hispanic. The mean TNFR1 level was 2.57 mg/L. TNFR1 was associated with baseline BI (-0.93 BI points per SD increment in TNFR1; 95% confidence interval:-1.59,-0.26) and change over time (.0.36 BI points per year per SD increment in TNFR1; 95% confidence interval:-0.69,-0.03). In this large population-based study, higher TNFR1 levels were associated with greater baseline disability and disability over time, even with adjustment for baseline covariates and stroke and MI occurrence during follow-up.</t>
  </si>
  <si>
    <t>SCOPUS_ID:0029610463</t>
  </si>
  <si>
    <t>10.2105/AJPH.85.12.1654</t>
  </si>
  <si>
    <t>Moderate prenatal alcohol exposure and psychomotor development at preschool age</t>
  </si>
  <si>
    <t>Objectives. This study investigated the effect of moderate prenatal alcohol exposure on psychomotor development of preschool-age children in a longitudinal study. Methods. Pregnant women were interviewed about their alcohol consumption at their first visit to the maternity hospital in Roubaix, France. Alcohol consumption before pregnancy and during the first trimester was assessed with a structured questionnaire. The psychomotor development of 155 children of these women was assessed with the McCarthy scales of children's abilities when the children were about 4 1/2 years old. Results. Consumption of 1.5 oz of absolute alcohol (approximately three drinks) or more per day during pregnancy was significantly related to a decrease of 7 points in the mean score on the general cognitive index of the McCarthy scales, after gender, birth order, maternal education, score for family stimulation, family status, maternal employment, child's age at examination, and examiner were controlled for. Conclusions. This study showed that moderate to heavy alcohol consumption during pregnancy, at levels well below those associated with fetal alcohol syndrome, has effects on children's psychomotor development.</t>
  </si>
  <si>
    <t>SCOPUS_ID:0034078420</t>
  </si>
  <si>
    <t>10.1136/jech.54.5.388</t>
  </si>
  <si>
    <t>Setting health priorities in a Swiss canton: What do different methods tell us?</t>
  </si>
  <si>
    <t>Study objective - Despite excellent mortality indicators, there is clear evidence that the health status of the population of Geneva could be improved if more attention and resources were devoted to prevention strategies. To identify a set of robust health priorities an original approach was used triangulating results between three methods. Methods - The study calculated potential years of life lost, disability adjusted years of life lost, and conducted a Delphi survey to gather the opinion of health professionals and the general public. Main results - Several health conditions were unanimously selected by all three methods as top priorities: cardiovascular diseases, AIDS, respiratory cancer, breast cancer for women, suicide and traffic accidents. In addition, two determinants - alcohol abuse and tobacco abuse - for which a dear conceptual link could be established between all methods were chosen. Connections between priorities identified through the DALY and the Delphi method lead to further inclusion of chronic back gain and depression. Some issues solely identified through the Delphi survey were included as they were consistently considered important by professionals and the lay public alike - violence in the family, unemployment, social exclusion. Conclusions - These results indicate that health priorities, and by extension health care priorities, would benefit from using a mix of quantitative and qualitative research methods. The triangulation of results allows for a broader perspective and makes results more acceptable.</t>
  </si>
  <si>
    <t>SCOPUS_ID:84994731817</t>
  </si>
  <si>
    <t>10.1007/s10654-016-0210-2</t>
  </si>
  <si>
    <t>DNA methylation changes in response to active smoking exposure are associated with leukocyte telomere length among older adults</t>
  </si>
  <si>
    <t>['Aging', 'Epigenetic epidemiology', 'Gerontology', 'Smoking methylation', 'Telomere length', 'Whole blood sample']</t>
  </si>
  <si>
    <t>Telomere length (TL) is associated with an increased risk of aging-related diseases. As a preventable environmental hazard of morbidity and mortality, smoking has been reported to promote TL attrition by producing a variety of oxidants and free radicals. Since DNA methylation has been demonstrated to play an important role in the pathways of smoking and smoking-induced diseases, this study aimed to address whether the smoking-associated DNA methylation changes could be associated with accelerated TL shortening. We obtained DNA methylation profiles in whole blood samples by Illumina Infinium Human Methylation 450 Beadchip array in two independent subsamples of the ESTHER study and measured their relative TL by quantitative PCR. Terminal Restriction Fragment analysis was additionally performed in a subsample to obtain absolute TL in base pairs. TL measurements across panels were standardized by z-transformation. After correction for multiple testing, we successfully confirmed that seven out of 151 smoking-related CpG sites were associated with TL (FDR &lt;0.05). A smoking index based on the seven loci showed monotonic associations with TL, cumulative smoking exposure and time after smoking cessation. In conclusion, our study supports suggestions that epigenetic alterations could play a role in smoking-associated disproportionate aging as reflected by TL. Further research is required to examine whether the identified epigenetic signatures of smoking can be of value in clinical practice to assess individual aging across the lifespan.</t>
  </si>
  <si>
    <t>SCOPUS_ID:84964587201</t>
  </si>
  <si>
    <t>10.1016/j.amepre.2016.02.034</t>
  </si>
  <si>
    <t>Health Literacy and Moderate to Vigorous Physical Activity During Aging, 2004â€“2013</t>
  </si>
  <si>
    <t>Introduction Health literacy (the ability to read and understand health information) may help to support sustained participation in moderate to vigorous physical activity (MVPA) during aging; this relationship has never been examined longitudinally. This study aimed to investigate the relationship between health literacy and participation in weekly MVPA over an 8-year period among older adults. Methods Data were from interviews with 4,345 adults aged 52â€“79 years in the English Longitudinal Study of Ageing from 2004/2005 to 2012/2013, analyzed in 2015. Health literacy was assessed in 2004/2005 as reading comprehension of a medicine label, defined as â€œlowâ€ (â‰¤2/4 items correct); â€œmediumâ€ (3/4); and â€œhighâ€ (4/4). The outcome was maintaining weekly MVPA at all of five time points from 2004/2005 to 2012/2013. A population-weighted logistic regression model was adjusted for sociodemographic, physical health, and cognitive (memory and verbal fluency) covariates. Results Overall, 72% (3,128/4,345) of the sample had high health literacy; 18% (797/4,345) had medium health literacy; and 10% (420/4,345) had low health literacy. Of those with high health literacy, 59% (1,840/3,128) consistently reported weekly participation in MVPA, compared with 33% (138/420) of those with low health literacy (AOR=1.37, 95% CI=1.04, 1.80). Better memory was weakly positively associated with long-term MVPA (AOR=1.03, 95% CI=1.00, 1.05, per point increase out of 24), as was better verbal fluency (AOR=1.05, 95% CI=1.01, 1.09, per point increase out of 9). Conclusions High health literacy and good cognitive function are independently associated with participation in weekly MVPA over an 8-year period during aging.</t>
  </si>
  <si>
    <t>SCOPUS_ID:79957853252</t>
  </si>
  <si>
    <t>10.1093/aje/kwr003</t>
  </si>
  <si>
    <t>Prostate cancer and ambient pesticide exposure in agriculturally intensive areas in California</t>
  </si>
  <si>
    <t>['fungicides, industrial', 'hydrocarbons, brominated', 'pesticides', 'prostatic neoplasms', 'selection bias']</t>
  </si>
  <si>
    <t>In a population-based case-control study in California's intensely agricultural Central Valley (2005-2006), the authors investigated relations between environmental pesticide/fungicide exposure and prostate cancer. Cases (n = 173) were obtained from a population-based cancer registry, and controls (n = 162) were obtained from Medicare listings and tax assessor mailings. Past ambient exposures to pesticides/fungicides were derived from residential history and independently recorded pesticide and land-use data, using a novel geographic information systems approach. In comparison with unexposed persons, increased risks of prostate cancer were observed among persons exposed to compounds which may have prostate-specific biologic effects (methyl bromide (odds ratio = 1.62, 95% confidence interval: 1.02, 2.59) and a group of organochlorines (odds ratio = 1.64, 95% confidence interval: 1.02, 2.63)) but not among those exposed to other compounds that were included as controls (simazine, maneb, and paraquat dichloride). The authors assessed the possibility of selection bias due to less-than-100% enrollment of eligible cases and controls (a critical methodological concern in studies of this kind) and determined that there was little evidence of bias affecting the estimated effect size. This study provides evidence of an association between prostate cancer and ambient pesticide exposures in and around homes in intensely agricultural areas. The associations appear specific to compounds with a plausible biologic role in prostate carcinogenesis. Â© 2011 The Author.</t>
  </si>
  <si>
    <t>SCOPUS_ID:24144465763</t>
  </si>
  <si>
    <t>10.1093/aje/kwi183</t>
  </si>
  <si>
    <t>The association of body mass index and pancreatic cancer in residents of southeastern Michigan, 1996-1999</t>
  </si>
  <si>
    <t>['Body mass index', 'Case-control studies', 'Pancreatic neoplasms', 'Risk factors']</t>
  </si>
  <si>
    <t>Increased body mass index has emerged as a potential risk factor for pancreatic cancer. The authors examined whether the association between body mass index and pancreatic cancer was modified by gender, smoking, and diabetes in residents of southeastern Michigan, 1996-1999. A total of 231 patients with newly diagnosed adenocarcinoma of the exocrine pancreas were compared with 388 general population controls. In-person interviews were conducted to ascertain information on demographic and lifestyle factors. Unconditional logistic regression models estimated the association between body mass index and pancreatic cancer. Males' risk for pancreatic cancer significantly increased with increasing body mass index (ptrend = 0.048), while no relation was found for women (ptrend = 0.37). Among nonsmokers, those in the highest category of body mass index were 3.3 times (95% confidence interval: 1.2, 9.2) more likely to have pancreatic cancer compared with those with low body mass index. In contrast, no relation was found for smokers (p trend = 0.94). While body mass index was not associated with pancreatic cancer risk among insulin users (ptrend = 0.11), a significant increase in risk was seen in non-insulin users (ptrend = 0.039). This well-designed, population-based study offered further evidence that increased body mass index is related to pancreatic cancer risk, especially for men and nonsmokers. In addition, body mass index may play a role in the etiology of pancreatic cancer even in the absence of diabetes. Copyright Â© 2005 by the Johns Hopkins Bloomberg School of Public Health. All rights reserved.</t>
  </si>
  <si>
    <t>SCOPUS_ID:84874083207</t>
  </si>
  <si>
    <t>10.2105/AJPH.2012.300948</t>
  </si>
  <si>
    <t>A comprehensive examination of the influence of state tobacco control programs and policies on youth smoking</t>
  </si>
  <si>
    <t>Objectives. We examined the influence of tobacco control policies (tobacco control program expenditures, smoke-free air laws, youth access law compliance, and cigarette prices) on youth smoking outcomes (smoking susceptibility, past-year initiation, current smoking, and established smoking). Methods. We combined data from the 2002 to 2008 National Surveys on Drug Use and Health with state and municipality population data from the US Census Bureau to assess the associations between state tobacco control policy variables and youth smoking outcomes, focusing on youths aged 12 to 17 years. We also examined the influence of policy variables on youth access when these variables were held at 2002 levels. Results. Per capita funding for state tobacco control programs was negatively associated with all 4 smoking outcomes. Smoke-free air laws were negatively associated with all outcomes except past-year initiation, and cigarette prices were associated only with current smoking. We found no association between these outcomes and retailer compliance with youth access laws. Conclusions. Smoke-free air laws and state tobacco control programs are effective strategies for curbing youth smoking.</t>
  </si>
  <si>
    <t>SCOPUS_ID:84862489231</t>
  </si>
  <si>
    <t>10.1093/aje/kwr468</t>
  </si>
  <si>
    <t>Associations between dietary patterns and head and neck cancer: The Carolina head and neck cancer epidemiology study</t>
  </si>
  <si>
    <t>['Carcinoma, squamous cell', 'Diet', 'Factor analysis, statistical', 'Fruit', 'Head and neck neoplasms', 'Meat', 'Vegetables']</t>
  </si>
  <si>
    <t>Few studies have examined the associations between dietary patterns and head and neck squamous cell carcinoma (SCC) or whether they differ by race. This was evaluated using data from a population-based case-control study (2002-2006) including 1,176 cases of head and neck SCC and 1,317 age-, race-, and gender-matched controls from central and eastern North Carolina whose diets had been assessed by food frequency questionnaire. Factor analysis identified 2 patterns of intake: 1) high consumption of fruits, vegetables, and lean protein and 2) high consumption of fried foods, high-fat and processed meats, and sweets. Associations were estimated using logistic regression, adjusting for matching factors and confounders. Heterogeneity by tumor site (oral/pharyngeal vs. laryngeal) and effect-measure modification were also evaluated. Reduced odds of head and neck SCC were found for the fruit, vegetable, and lean protein pattern (for highest quartile vs. lowest, odds ratio = 0.53, 95% confidence interval: 0.39, 0.71). The fried foods, high-fat and processed meats, and sweets pattern was positively associated only with laryngeal cancer (odds ratio = 2.12, 95% confidence interval: 1.21, 3.72). These findings underline the importance of a dietary pattern rich in fruits and vegetables and low in high-fat and processed meats and sweets for prevention of head and neck cancer. Â© The Author 2012. Published by Oxford University Press on behalf of the Johns Hopkins Bloomberg School of Public Health. All rights reserved.</t>
  </si>
  <si>
    <t>SCOPUS_ID:85188896640</t>
  </si>
  <si>
    <t>10.1016/S2468-2667(24)00028-8</t>
  </si>
  <si>
    <t>Socioeconomic inequalities in accumulation of multimorbidity in England from 2019 to 2049: a microsimulation projection study</t>
  </si>
  <si>
    <t>Background: There are socioeconomic inequalities in the prevalence of multimorbidity and its accumulation across the life course. Estimates of multimorbidity prevalence in English primary care increased by more than two-thirds from 2004 to 2019. We developed a microsimulation model to quantify current and projected multimorbidity inequalities in the English adult population. Methods: We used primary care data for adults in England from the Clinical Practice Research Datalink Aurum database between 2004 and 2019, linked to the 2015 English Index of Multiple Deprivation (IMD), to model time individuals spent in four health states (healthy, one chronic condition, basic multimorbidity [two or more chronic conditions], and complex multimorbidity [three or more chronic conditions affecting three or more body systems]) by sex, age, IMD quintile, birth cohort, and region. We applied these transition times in a stochastic dynamic continuous-time microsimulation model to Office for National Statistics population estimates for adults aged 30â€“90 years. We calculated projected prevalence and cumulative incident cases from 2019 to 2049 by IMD quintile, age group (younger than 65 years vs 65 years and older), and years to be lived without multimorbidity at age 30 years. Findings: Under the assumption that all chronic conditions were lifelong, and that once diagnosed there was no recovery, we projected prevalence of multimorbidity (basic or complex) increases by 34% from 53Â·8% in 2019 to 71Â·9% (95% uncertainty interval 71Â·8â€“72Â·0) in 2049. This rise equates to an 84% increase in the number of people with multimorbidity: from 19Â·2 million in 2019 to 35Â·3 million in 2049 (35Â·3 million to 35Â·4 million). This projected increase is greatest in the most deprived quintile, with an excess 1Â·07 million (1Â·04 million to 1Â·10 million) cumulative incident basic multimorbidity cases and 0Â·70 million (0Â·67 million to 0Â·74 million) complex multimorbidity cases over and above the projected cases for the least deprived quintile, largely driven by inequalities in those younger than 65 years. The median expected number of years to be lived without multimorbidity at age 30 years in 2019 is 15Â·12 years (14Â·62â€“16Â·01) in the least deprived IMD quintile and 12Â·15 years (11Â·61â€“12Â·60) in the most deprived IMD quintile. Interpretation: The number of people living with multimorbidity will probably increase substantially in the next 30 years, a continuation of past observed increases partly driven by changing population size and age structure. Inequalities in the multimorbidity burden increase at each stage of disease accumulation, and are projected to widen, particularly among the working-age population. Substantial action is needed now to address population health and to prepare health-care and social-care systems for coming decades. Funding: University of Liverpool and National Institute for Health and Care Research School for Public Health Research.</t>
  </si>
  <si>
    <t>SCOPUS_ID:0027971846</t>
  </si>
  <si>
    <t>10.2105/AJPH.84.10.1576</t>
  </si>
  <si>
    <t>Estimates of population smoking prevalence: Self-vs proxy reports of smoking status</t>
  </si>
  <si>
    <t>Objectives. In the face of rising costs of surveillance systems, it is time to reexamine the feasibility of including proxy respondents in surveys designed to provide population estimates of smoking prevalence. Methods. Data are from the California Tobacco Surveys, which are random-digit dialed telephone surveys. One adult provided demographic information and smoking status for all household residents. Additionally, some adults were selected for in-depth interviews that also included smoking status questions. We matched information from proxy respondents and self-respondents and evaluated smoking status discrepancies between them relative to demographic and other factors (n = 2930 matched pairs) in 1992. We address the potential bias these discrepancies might introduce into the population estimate of smoking prevalence. Results. Overall, the discrepancy between proxy report and self- report was 4.3%, and it increased particularly when the self-respondent reported nondaily smoking or recent quitting. Discrepancies acted in both directions, and the net bias was that the screener survey overestimated smoking prevalence by 0.1% in 1992 (0.3% in 1990). Conclusions. Smoking status questions can be added to ongoing surveys such as the census or labor force surveys: one adult could provide smoking status for all household members.</t>
  </si>
  <si>
    <t>SCOPUS_ID:0346725916</t>
  </si>
  <si>
    <t>10.1136/jech.58.1.71</t>
  </si>
  <si>
    <t>Neighbourhood deprivation and incidence of coronary heart disease: A multilevel study of 2.6 million women and men in Sweden</t>
  </si>
  <si>
    <t>Study objective: To examine whether neighbourhood deprivation predicts incidence rates of coronary heart disease, beyond age and individual income. Design: Follow up study from 31 December 1995 to 31 December 1999. Women and men were analysed separately with respect to incidence rates of coronary heart disease. Multilevel logistic regression was used in the analysis with individual level characteristics (age, individual income) at the first level and level of neighbourhood deprivation at the second level. Neighbourhood deprivation was measured at small area market statistics level by the use of Care Need Index. Setting: Sweden. Participants: All women and men aged 40-64 in the Swedish popu ation, in total 2.6 million people. Main results: There was a strong relation between level of neighbourhood deprivation and incidence rates of coronary heart disease for both women and men. In the full model, which took account of individual income, the risk of developing coronary heart disease was 87% higher for women and 42% higher for men in the most deprived neighbourhoods than in the most affluent neighbourhoods. For both women and men the variance at neighbourhood level was over twice the standard error, indicating significant differences in coronary heart disease risk between neighbourhoods. Conclusions: High levels of neighbourhood deprivation independently predict coronary heart disease for both women and men. Both individual and neighbourhood level approaches are important in health care policies.</t>
  </si>
  <si>
    <t>SCOPUS_ID:77956257053</t>
  </si>
  <si>
    <t>10.1093/aje/kwq168</t>
  </si>
  <si>
    <t>Changes in weight at the end of life: Characterizing weight loss by time to death in a cohort study of older men</t>
  </si>
  <si>
    <t>['aged', 'cachexia', 'cause of death', 'cohort studies', 'mortality', 'weight loss']</t>
  </si>
  <si>
    <t>The purpose of this analysis was to characterize the natural history of weight change in the years prior to death among older persons and to examine how this pattern varies according to longevity and cause of death. Weight trajectories were analyzed by using data from 800 male decedents from the Baltimore Longitudinal Study of Aging (Maryland, 1958-2005) observed beginning an average of 19 years before death. A model including 3 distinct periods of weight change (weight stability/gain, mild weight loss, and accelerated weight loss before death) provided the best fit for all age-at-death groups. Approximately 9 years before death, the rate of weight loss increased to an average of 0.39 kg/year (P &lt; 0.001) for all-cause mortality. For cancer deaths, weight loss accelerated significantly 3 years before death, regardless of age group. For cardiovascular deaths, the best-fitting inflection point increased with age, from 5 years for participants aged 60-69 years to 9-10 years before death for those aged 80 years or older. Results suggest that weight loss in older persons may begin earlier than previously believed. The duration of weight loss for noncancer deaths suggests that even distal changes in energy balance may be linked to risk of death. Â© The Author 2010. Published by Oxford University Press on behalf of the Johns Hopkins Bloomberg School of Public Health. All rights reserved.</t>
  </si>
  <si>
    <t>SCOPUS_ID:41949115637</t>
  </si>
  <si>
    <t>10.2105/AJPH.2007.117309</t>
  </si>
  <si>
    <t>Returning to the "Homeland": Work-related ethnic discrimination and the health of Japanese Brazilians in Japan</t>
  </si>
  <si>
    <t>Objectives. We investigated whether self-reported ethnic discrimination in the workplace was associated with well-being among Japanese Brazilians who had returned to Japan. Further, we examined interactions between discrimination and education on well-being. Methods. We obtained data from a cross-sectional survey of Japanese Brazilian workers (n = 313) conducted in 2000 and 2001. Outcomes were self-rated health, psychological symptoms as measured by the 12-item General Health Questionnaire (GHQ-12) score, and a checklist of somatic symptoms. Results. Reports of ethnic discrimination were associated with increased risk of poor self-rated health and psychological symptoms (GHQ-12 score), after we controlled for self-assessed workload, supportive relations at work, physically dangerous working conditions, workplace environmental hazards, shift work, number of working hours, age, gender, marital status, income, education, Japanese lineage, length of residence, and Japanese language proficiency. Further, the relationship between discrimination and self-rated health and somatic symptoms was most robust for those with the least education. Conclusions. Ethnic discrimination appears to be a correlate of morbidity among Japanese Brazilian migrants. Future research should investigate how educational and workplace interventions may reduce discrimination and possibly improve health.</t>
  </si>
  <si>
    <t>SCOPUS_ID:85105473841</t>
  </si>
  <si>
    <t>10.2105/AJPH.2021.306216</t>
  </si>
  <si>
    <t>A Community Health Workerâ€“Led Intervention to Improve Blood Pressure Control in an Immigrant Community With Comorbid Diabetes: Data From Two Randomized, Controlled Trials Conducted in 2011â€“2019</t>
  </si>
  <si>
    <t>Evidence-based strategies addressing comorbid hypertension and diabetes are needed among minority communities. We analyzed the outcome of blood pressure (BP) control using pooled data from two community health worker interventions in New York City conducted between 2011 and 2019, focusing on participants with comorbid hypertension and diabetes. The adjusted odds of controlled BP (&lt; 140/90 mmHg) for the treatment group were significant compared with the control group (odds ratio = 1.4; 95% confidence interval = 1.1, 1.8). The interventions demonstrated clinically meaningful reductions in BP among participants with comorbid hypertension and diabetes.</t>
  </si>
  <si>
    <t>SCOPUS_ID:34447299113</t>
  </si>
  <si>
    <t>10.1093/ije/dym006</t>
  </si>
  <si>
    <t>Survival of Jews during the holocaust: The importance of different types of social resources</t>
  </si>
  <si>
    <t>['Holocaust', 'Jews', 'Mortality', 'Social resources', 'The Netherlands']</t>
  </si>
  <si>
    <t>Background: Of the Jewish inhabitants of Amsterdam 25.9% survived the Holocaust. However, different cultural and socio-economic groups within the Jewish community may have had different social resources and different chances of survival. Method: To determine social resources by studying a random sample of 7665 Jews living in Amsterdam on the eve of the destruction of Dutch Jewry. Binary logistic regression models are used to test several hypotheses and express odds ratios. As some types of social resources may be interrelated, multivariable analyses are used. Results: There were basically two ways of avoiding deportation to the death camps: going into hiding or acquiring protected status. The latter option was open chiefly to Jews having German nationality. In the analyses a higher survival rate correlates with holding German nationality, however is not significant when job status is included. Survival correlates strongly with having relations with non-Jews. The results were controlled for marital status, number of children, age below 15 years and gender. Standard errors and P-values were adjusted for family relationship by using robust standard error analyses. Conclusion: Survival correlates most strongly with having close social ties with non-Jews. Although Jews could sometimes acquire protected status, this was no more than temporary. In order to survive, Jews needed someone who was a non-Jew to hide them and provide support. Â© The Author 2007; all rights reserved.</t>
  </si>
  <si>
    <t>SCOPUS_ID:47949104818</t>
  </si>
  <si>
    <t>10.1136/jech.2007.066167</t>
  </si>
  <si>
    <t>Neighbourhood socioeconomic status, maternal education and adverse birth outcomes among mothers living near highways</t>
  </si>
  <si>
    <t>Background: Residential proximity to highways is a potential proxy for exposure to traffic-related pollution that has been linked to adverse birth outcomes. We evaluated whether proximity to highway interacts with individual and neighbourhood socioeconomic status (SES) to influence birth outcomes. Methods: The study population consisted of all live singleton births in MontrÃ©al, Canada, from 1997 to 2001 (n = 99 819). Proximity was defined as residing within 200 m of a highway. Neighbourhood SES was measured for census tracts as the proportion of families below the low-income threshold. Individual SES was represented by maternal education. Using multilevel logistic regression, the odds of preterm birth (PTB), low birthweight (LBW) and small-for-gestational-age (SGA) birth were calculated for mothers residing in proximity to highways, accounting for individual and neighbourhood SES. Effect modification between SES and proximity to highway was tested for each outcome. Results: In wealthy neighbourhoods, proximity to highway was associated with an elevated odds of PTB (OR 1.58, 95% CI 1.23 to 2.04), LBW (OR 1.81, 95% CI 1.36 to 2.41) and SGA birth (OR 1.32, 95% CI 1.05 to 1.66). For highly educated mothers, proximity to highway was associated with PTB (OR 1.25, 95% CI 1.07 to 1.46) and LBW (OR 1.24, 95% CI 1.03 to 1.49), but the association was borderline for SGA birth (OR 1.15, 95% CI 1.00 to 1.32). Proximity to highway was not associated with birth outcomes in other maternal and neighbourhood SES categories. Conclusion: Counterintuitively, high SES mothers may be more likely than low SES mothers to experience adverse births associated with residential proximity to highway.</t>
  </si>
  <si>
    <t>SCOPUS_ID:84875967597</t>
  </si>
  <si>
    <t>10.1093/eurpub/cks135</t>
  </si>
  <si>
    <t>Obesity and early cessation of breastfeeding in Denmark</t>
  </si>
  <si>
    <t>Background: Obesity is associated with early cessation of breastfeeding. Breastfeeding is multi-factorial, and several factors contribute to this association. Our aim was to investigate to what extent socio-demographic and psychosocial characteristics, parity and prenatal conditions could explain the association between high BMI and early cessation of breastfeeding. Methods: We used data from a randomized trial of 1597 Danish mothers of singleton infants. Self-reported maternal postnatal weight and height were available from 1375 (86%). High BMI was defined as body mass index 32 kg/m2 at âˆ¼17 days after delivery. Outcome was cessation of exclusive breastfeeding by 17 weeks post-partum used in proportional hazards regression models. Results: In the unadjusted analysis, mothers with high post-partum BMI compared with other mothers had a significantly higher rate of cessation of exclusive breastfeeding, and were more frequently characterized by socio-demographic, psychosocial, perinatal and behavioural factors known to increase the risk of early breastfeeding cessation. In the adjusted analyses (n = 1226), the association between BMI and duration of exclusive breastfeeding depended on parity (P = 0.03). Among primiparae, high BMI was associated with nearly double the risk of early cessation of exclusive breastfeeding (HR = 1.74, 95% CI 1.21-2.50). Among multiparae, the association disappeared when adjusted for socio-demographic factors and previous breastfeeding experience (HR = 0.89, 95% CI 0.62-1.28). Conclusion: Parity and previous breastfeeding experience are important factors to include when studying the association between BMI and breastfeeding duration. Intervention to extend the duration of lactation among obese mothers should focus on those with no or little previous breastfeeding experience. Â© 2012 Published by Oxford University Press on behalf of the European Public Health Association. All rights reserved.</t>
  </si>
  <si>
    <t>SCOPUS_ID:85056223879</t>
  </si>
  <si>
    <t>10.1016/j.ypmed.2018.11.007</t>
  </si>
  <si>
    <t>Firearm legislation and firearm use in female intimate partner homicide using National Violent Death Reporting System data</t>
  </si>
  <si>
    <t>Firearms account for over half of female intimate partner homicides (IPH) in the National Violent Death Reporting System (NVDRS). Although firearm-related IPH is directly associated with state-level firearm prevalence and inversely associated with specific firearm legislation targeting intimate partner violence perpetrators, these associations may be due to the underlying nature of the perpetrator population rather than the legislation or policy. We explored the impact of firearm legislation on weapon use in IPH in a cross-sectional analysis using NVDRS data via the WISQARS online interactional system, through examination of firearm (F) and non-firearm (NF) age-adjusted mortality rates and firearm: non-firearm (F:NF) rate ratios across victim gender and in states with varying levels of firearm restrictions. Overall, for 2015 (27 states aggregated), the impact of gender was substantial: the F:NF ratio for male victims was 0.92, indicating a small lead for NF mechanisms, but for female victims, it was 1.5, with greater firearm use apparent. When looking only at female IPH, jurisdictions with high firearm restrictions show a pronounced trend for a F:NF ratio &lt;1.0 whereas states with few of these restrictions demonstrate ratios &gt;1.0. Numerous limitations apply, including: the cross sectional nature of the data, varying years for available state data; and lack of control for multiple demographic variables. Despite its limitations, this analysis extends prior research by comparing rates of NF use across jurisdictions, and suggests that availability of firearms by itself plays an important role in driving IPH rates higher in areas with fewer firearm restrictions.</t>
  </si>
  <si>
    <t>SCOPUS_ID:0037836100</t>
  </si>
  <si>
    <t>10.1136/jech.57.6.429</t>
  </si>
  <si>
    <t>A matter of life and death: Population mortality and football results</t>
  </si>
  <si>
    <t>Objectives: To determine whether football results are associated with mortality from circulatory disease. Design: Retrospective study, comparing mortality on days of football matches between 18 August 1994 and 28 December 1999 with the results of the football matches. Setting: Newcastle and North Tyneside, Sunderland, Tees, and Leeds Health Authority areas of England. Subjects: All persons resident in Newcastle and North Tyneside, Sunderland, Tees, and Leeds Health Authority areas of England. Main outcome measures: Mortality attributable to acute myocardial infarction and stroke. Results: On days when the local professional football team lost at home, mortality attributable to acute myocardial infarction and stroke increased significantly in men (relative risk 1.28, 95% confidence intervals 1.11 to 1.47). No increase was observed in women. Conclusions: Results achieved by the local professional football team are associated systematically with circulatory disease death rates over a five year period in men, but not women.</t>
  </si>
  <si>
    <t>SCOPUS_ID:0025027050</t>
  </si>
  <si>
    <t>10.2105/AJPH.80.11.1382</t>
  </si>
  <si>
    <t>Prior cesarean delivery in women with secondary tubal infertility</t>
  </si>
  <si>
    <t>The history of cesarean delivery was evaluated in a population-based case-control study of secondary infertility in King County, Washington. Sixty-one married women diagnosed with secondary infertility due to tubal problems who had a previous viable pregnancy were compared to 343 married women who had a previous viable pregnancy and then had a live birth that was conceived at the same time the infertile women began trying to conceive. The risk of tubal infertility was not substantially elevated in women who had a previous cesarean delivery in the most recent viable prenancy compared to women with vaginal delivery (odds ratio = 1.2; 95% confidence interval = 0.4, 3.7).</t>
  </si>
  <si>
    <t>SCOPUS_ID:85136862502</t>
  </si>
  <si>
    <t>10.1093/eurpub/ckac082</t>
  </si>
  <si>
    <t>Ringing the bell for quality P.E.: What are the realities of remote physical education?</t>
  </si>
  <si>
    <t>Background: To date, few data on the quality and quantity of online physical education (P.E.) during the COVID-19 pandemic have been published. We assessed activity in online classes and reported allocated curriculum time for P.E. in a multi-national sample of European children (6-18 years). Methods: Data from two online surveys were analysed. A total of 8395 children were included in the first round (May-June 2020) and 24 302 in the second round (January-February 2021). Results: Activity levels during P.E. classes were low in spring 2020, particularly among the youngest children and in certain countries. 27.9% of students did not do any online P.E. and 15.7% were hardly ever very active. Only 18.4% were always very active and 14.9% reported being very active quite often. In winter 2020, we observed a large variability in the allocated curriculum time for P.E. In many countries, this was lower than the compulsory requirements. Only 65.7% of respondents had the same number of P.E. lessons than before pandemic, while 23.8% had less P.E., and 6.8% claimed to have no P.E. lessons. Rates for no P.E. were especially high among secondary school students, and in large cities and megapolises. Conclusions: During the COVID-19 pandemic, European children were provided much less P.E. in quantity and quality than before the pandemic. Countermeasures are needed to ensure that these changes do not become permanent. Particular attention is needed in large cities and megapolises. The critical role of P.E. for students' health and development must be strengthened in the school system.</t>
  </si>
  <si>
    <t>SCOPUS_ID:0032427766</t>
  </si>
  <si>
    <t>10.1093/ije/27.6.1090</t>
  </si>
  <si>
    <t>Hygiene behaviour in rural Nicaragua in relation to diarrhoea</t>
  </si>
  <si>
    <t>['Diarrhoea', 'Hygiene behaviour', 'Observation']</t>
  </si>
  <si>
    <t>Background. Childhood diarrhoea is a leading cause of morbidity and mortality in Nicaragua. Amongst the risk factors for its transmission are 'poor' hygiene practices. We investigated the effect of a large number of hygiene practices on diarrhoeal disease in children aged &lt; 2 years and validated the technique of direct observation of hygiene behaviour. Methods. A prospective follow-up study was carried out in a rural zone of Nicaragua. From the database of a previously conducted case-control study on water and sanitation 172 families were recruited, half of which had experienced a higher than expected rate of diarrhoea in their children and the other half a lower rate. Hygiene behaviour was observed over two mornings and diarrhoea incidence was recorded with a calendar, filled out by the mother, and collected every week for 5 months. Results. Of 46 'good' practices studied, 39 were associated with a lower risk of diarrhoea, five were unrelated and only for two a higher risk was observed. Washing of hands, domestic cleanliness (kitchen, living room, yard) and the use of a diaper/underclothes by the child had the strongest protective effect. Schooling (&gt; 3 years of primary school) and better economic position (possession of a radio) had a positive influence on general hygiene behaviour, education having a slightly stronger effect when a radio was present. Individual hygiene behaviour appeared to be highly variable in contrast with the consistent behaviour of the community as a whole. Feasible and appropriate indicators of hygiene behaviour were found to be domestic cleanliness and the use of a diaper or underclothes by the child. Conclusion. A consistent relationship between almost all hygiene practices and diarrhoea was detected, more schooling producing better hygiene behaviour. The high variability of hygiene behaviour at the individual level requires repeated observations (at least two) before and after the hygiene education in the event one wants to measure the impact of the campaign on the individual.</t>
  </si>
  <si>
    <t>Nicaragua</t>
  </si>
  <si>
    <t>SCOPUS_ID:84935837658</t>
  </si>
  <si>
    <t>10.1016/j.ypmed.2015.05.024</t>
  </si>
  <si>
    <t>Physician communication about adolescent vaccination: How is human papillomavirus vaccine different?</t>
  </si>
  <si>
    <t>['Adolescent health', 'Health communication', 'Human papillomavirus infections/prevention &amp;amp; control', 'Quality of health care']</t>
  </si>
  <si>
    <t>Background: Low human papillomavirus (HPV) vaccination coverage stands in stark contrast to our success in delivering other adolescent vaccines. To identify opportunities for improving physicians' recommendations for HPV vaccination, we sought to understand how the communication context surrounding adolescent vaccination varies by vaccine type. Methods: A national sample of 776 U.S. physicians (53% pediatricians, 47% family medicine physicians) completed our online survey in 2014. We assessed physicians' perceptions and communication practices related to recommending adolescent vaccines for 11- and 12-year-old patients. Results: About three-quarters of physicians (73%) reported recommending HPV vaccine as highly important for patients, ages 11-12. More physicians recommended tetanus, diphtheria, and acellular pertussis (Tdap) (95%) and meningococcal vaccines (87%, both p&lt;. 0.001) as highly important for this age group. Only 13% of physicians perceived HPV vaccine as being highly important to parents, which was far fewer than perceived parental support for Tdap (74%) and meningococcal vaccines (62%, both p&lt;. 0.001). Physicians reported that discussing HPV vaccine took almost twice as long as discussing Tdap. Among physicians with a preferred order for discussing adolescent vaccines, most (70%) discussed HPV vaccine last. Conclusions: Our findings suggest that primary care physicians perceived HPV vaccine discussions to be burdensome, requiring more time and engendering less parental support than other adolescent vaccines. Perhaps for this reason, physicians in our national study recommended HPV vaccine less strongly than other adolescent vaccines, and often chose to discuss it last. Communication strategies are needed to support physicians in recommending HPV vaccine with greater confidence and efficiency.</t>
  </si>
  <si>
    <t>SCOPUS_ID:0036351360</t>
  </si>
  <si>
    <t>10.1006/pmed.2002.1006</t>
  </si>
  <si>
    <t>Osteoporosis prevention: Pediatricians' knowledge, attitudes, and counseling practices</t>
  </si>
  <si>
    <t>['Adolescents', 'Bone density', 'Calcium', 'Child', 'Counseling', 'Exercise', 'Health behavior', 'Osteoporosis', 'Primary prevention']</t>
  </si>
  <si>
    <t>Background. Strategies to prevent adult osteoporosis are best undertaken during childhood and adolescence, when the greatest amount of bone mineral density is acquired. This study examines pediatricians' knowledge and practices regarding osteoporosis prevention. Methods. One hundred eighty-seven primary care pediatricians from San Diego and Imperial Counties responded to a 44-item mailed survey that measured physician knowledge, attitudes, and practices regarding osteoporosis prevention. Results. Knowledge of U.S. RDA for calcium in children and adolescents was limited, with only 23.7 and 32.3% of pediatricians correctly identifying the recommended values for children and adolescents, respectively. Thirty-eight percent of respondents regarded osteoporosis prevention to be an important issue, and less than half reported that they counseled patients for osteoporosis prevention. Of those pediatricians who did perform osteoporosis counseling, the two most frequently cited motivators for counseling were that counseling is recommended by professional boards and having a personal or professional interest in osteoporosis prevention. The most commonly reported barriers to counseling were other issues taking greater priority and having insufficient time to undertake counseling for osteoporosis prevention. Conclusions. Osteoporosis prevention should begin in childhood and adolescence. This study suggests that many pediatricians do not counsel patients to reduce osteoporosis risk, nor do they consider this an important issue. Furthermore, they may not have full knowledge about how to prevent osteoporosis. Â© 2002 American Health Foundation and Elsevier Science (USA).</t>
  </si>
  <si>
    <t>SCOPUS_ID:84881604715</t>
  </si>
  <si>
    <t>10.1093/aje/kwt019</t>
  </si>
  <si>
    <t>Associations of body mass index and body height with low back pain in 829,791 adolescents</t>
  </si>
  <si>
    <t>['adolescents', 'body mass index', 'height', 'low back pain', 'obesity', 'weight']</t>
  </si>
  <si>
    <t>Body mass index (BMI) (calculated as weight (kg)/height (m)2) and height are linked to the pathogenesis of low back pain, but evidence-based confirmation is lacking. We examined the prevalence of low back pain in adolescents and its association with BMI and height. Disability clauses (official military limitations related to a person's health status) indicating low back pain severity were divided according to symptoms of low back pain alone and symptoms of low back pain with objective corroborating findings. All 829,791 males and females undergoing mandatory premilitary recruitment examinations since 1998 were included. Logistic regression models assessed the relationships of BMI and height with low back pain. Prevalence of low back pain was 0.2% for both males and females with objective findings and 5.2% for males and 2.7% for females without objective findings. Higher BMI was significantly associated with low back pain in males (for overweight, odds ratio = 1.097, P &lt; 0.001; for obese, odds ratio = 1.163, P &lt; 0.001) and in females (for overweight, odds ratio = 1.174, P &lt; 0.001; for obese, odds ratio = 1.211, P &lt; 0.001). Height was associated with increased risk of low back pain in both genders. Odds ratios for low back pain in the tallest group compared with the shortest group were 1.438 (P &lt; 0.001) for males and 1.224 (P &lt; 0.001) for females. Low back pain with or without objective findings was associated with overweight and obesity as well as with height. Â© 2013 The Author.</t>
  </si>
  <si>
    <t>Israel</t>
  </si>
  <si>
    <t>SCOPUS_ID:84888229876</t>
  </si>
  <si>
    <t>10.2105/AJPH.2013.301432</t>
  </si>
  <si>
    <t>Risk factors for becoming homeless among a cohort of veterans who served in the era of the Iraq and Afghanistan conflicts</t>
  </si>
  <si>
    <t>Objectives. In this population-based cohort study, we assessed baseline risk factors for homelessness, including the role of service in the Iraq or Afghanistan conflicts, among a large cohort of recent veterans. Methods. Data for this study came from administrative records for 310 685 veterans who separated from active military duty from July 1, 2005, to September 30, 2006. We used survival analysis methods to determine incidence rates and risk factors for homelessness, based on baseline data for military factors, demographic characteristics, and diagnoses of behavioral health disorders and traumatic brain injury. Results. Service in Iraq or Afghanistan and, more specifically, posttraumatic stress disorder among veterans deployed there, were significant risk factors of modest magnitude for homelessness, and socioeconomic and behavioral health factors provided stronger indicators of risk. Gender was not a significant indicator of differential risk. Conclusions. Although service in Iraq and Afghanistan was significant, socioeconomic and behavioral health indicators show more promise in efforts to use administrative data to inform prevention efforts by identifying veterans who are at elevated risk for becoming homeless upon their return to civilian life.</t>
  </si>
  <si>
    <t>SCOPUS_ID:84891683349</t>
  </si>
  <si>
    <t>10.2105/AJPH.2013.301626</t>
  </si>
  <si>
    <t>Effect of race/ethnicity and socioeconomic status on pandemic H1N1-related outcomes in Massachusetts</t>
  </si>
  <si>
    <t>Objectives: We linked hospital discharge and American Community Survey and US Census data to investigate 2009 H1N1 influenza (H1N1)-related outcomes by racial/ethnic groups and socioeconomic status (SES). Methods: We examined the population discharged from any acute care hospital in Massachusetts and calculated rates of intensive care unit (ICU) stay by racial/ethnic and SES groups between April 26 and September 30, 2009. We used logistic regression models to identify predictors of ICU stay. Results: Of 4874 H1N1-related hospitalizations, 526 (11%) were admitted to the ICU. Those in less affluent SES groups had lower risk of ICU stay than the most affluent SES group. Compared with Whites, Hispanics had significantly lower risk of 2009 H1N1-related ICU stay (odds ratio = 0.52; 95% confidence interval = 0.32, 0.86). Only 13% of Whites admitted to the ICU were in the lowest SES group, compared with 63% of Hispanics and 43% of Blacks. Conclusions: To our knowledge, this is the first statewide description of 2009 H1N1 influenza-related ICU stays according to racial/ethnic group and SES in the United States. Future work should investigate evidence related to social determinants of health among racial/ethnic groups to reduce disparities in relation to pandemic influenza.</t>
  </si>
  <si>
    <t>SCOPUS_ID:85166390788</t>
  </si>
  <si>
    <t>10.1093/eurpub/ckad045</t>
  </si>
  <si>
    <t>Cost of illness in patients with post-treatment Lyme disease syndrome in Belgium</t>
  </si>
  <si>
    <t>A proportion of patients with Lyme borreliosis (LB) report long-term persisting signs and symptoms, even after recommended antibiotic treatment, which is termed post-treatment Lyme disease syndrome (PTLDS). Consensus on guidance regarding diagnosis and treatment is currently lacking. Consequently, patients suffer and are left searching for answers, negatively impacting their quality of life and healthcare expenditure. Yet, health economic data on PTLDS remain scarce. The aim of this article is therefore to assess the cost-of-illness related to PTLDS, including the patient perspective. Methods: PTLDS patients (N = 187) with confirmed diagnosis of LB were recruited by a patient organization. Patients completed a self-reported questionnaire on LB-related healthcare utilization, absence from work and unemployment. Unit costs (reference year 2018) were obtained from national databases and published literature. Mean costs and uncertainty intervals were calculated via bootstrapping. Data were extrapolated to the Belgian population. Generalized linear models were used to determine associated covariates with total direct costs and out-of-pocket expenditures. Results: Mean annual direct costs amounted to â‚¬4618 (95% CI â‚¬4070-5152), of which 49.5% were out-of-pocket expenditures. Mean annual indirect costs amounted to â‚¬36 081 (â‚¬31 312-40 923). Direct and indirect costs at the population level were estimated at â‚¬19.4 and 151.5 million, respectively. A sickness or disability benefit as source of income was associated with higher direct and out-of-pocket costs. Conclusions: The economic burden associated with PTLDS on patients and society is substantial, with patients consuming large amounts of non-reimbursed healthcare resources. Guidance on adequate diagnosis and treatment of PTLDS is needed.</t>
  </si>
  <si>
    <t>SCOPUS_ID:0028064421</t>
  </si>
  <si>
    <t>Varied forms of bias due to nondifferential error in measuring exposure</t>
  </si>
  <si>
    <t>['Bias', 'Exposure categorization', 'Measurement error', 'Misclassification']</t>
  </si>
  <si>
    <t>Continuous exposure variables are frequently categorized in epidemiologic data analysis. It has recently been shown that such categorization may transform nondifferential error in measuring continuous exposure variables into differential exposure misclassification. This paper assesses the direction and magnitude of the resulting misclassification bias under a variety of practically relevant forms of nondifferential measurement error. The expected bias of measures of the exposure-disease association is toward the null in the case of purely random measurement error with a mean of zero. Systematic nondifferential over- or underestimation of the exposure may bias measures of the exposure-disease association either toward the null or away from the null, depending on the underlying distribution of exposure, the true exposure-disease relation, and the cutpoints employed for categorization. If exposure measurement error has both random and systematic components, the direction of the net bias is less predictable than with pure error of either type, but bias toward the null is increasingly likely as the random component grows larger. The results indicate the need for careful evaluation of potential effects of nondifferential exposure measurement error in epidemiologic studies in which categories are formed from continuous exposure variables. Â© 1994 Epidemiology Resources Inc.</t>
  </si>
  <si>
    <t>SCOPUS_ID:0032722780</t>
  </si>
  <si>
    <t>10.1093/ije/28.5.911</t>
  </si>
  <si>
    <t>Social background, adult body-height and health</t>
  </si>
  <si>
    <t>['Body-height', 'Health', 'Social background']</t>
  </si>
  <si>
    <t>Study objective. To study the socio-demographic determinants of body-height and the bearing of these determinants on the association between body-height and health among Finnish adults. Data and Method. Cross-sectional population survey including questions on social background, body-height and health, and retrospective questions on childhood living conditions. The data derive from a representative Survey on Living Conditions collected by Statistics Finland in 1994. The response rate was 73%. Male and female respondents â‰¥ 20 years were included in the analysis (N = 8212). Statistical methods include regression analysis and logistic regression analysis. Results. Body-height was strongly associated with year of birth, region, childhood living conditions and education among adult men and women. Body-height was also associated with limiting long-standing illness and perceived health as below good. Tall men had the best health and short men the poorest health. Among women the association of body-height with health differed from men, as tall women showed high levels of limiting long-standing illness, notably musculo-skeletal diseases. Adjusting for the background variables weakened but did not abolish the association between poor health and short stature among men and women. Conclusions. Short stature is associated with poor health among Finnish men and women. A non-linear association among women was found for musculo-skeletal diseases. The studied social background factors explained only little of the association between body-height and health.</t>
  </si>
  <si>
    <t>SCOPUS_ID:84873406550</t>
  </si>
  <si>
    <t>10.1097/EDE.0b013e318281725e</t>
  </si>
  <si>
    <t>Fruit intake and incident diabetic retinopathy with type 2 diabetes</t>
  </si>
  <si>
    <t>BACKGROUND: Antioxidants and dietary fiber are postulated to have preventive effects on diabetic retinopathy, but evidence is lacking. We investigated this association in a cohort with type 2 diabetes 40-70 years of age with hemoglobin (Hb)A1C â‰¥6.5%, originally part of the Japan Diabetes Complications Study. METHODS: After excluding people who did not respond to a dietary survey and patients with diabetic retinopathy or a major ocular disease at baseline, we analyzed 978 patients. Baseline dietary intake was assessed by a food frequency questionnaire based on food groups and 24-hour dietary records. Primary outcome was incident diabetic retinopathy determined using international severity scales. RESULTS: Mean fruit intake in quartiles ranged from 23 to 253 g/day, with increasing trends across quartiles of fruit intake for vitamin C, vitamin E, carotene, retinol equivalent, dietary fiber, potassium, and sodium. Mean energy intake ranged from 1644 to 1863 kcal/day, and fat intake was approximately 25%. HbA1C, body mass index, triglycerides, and systolic blood pressure were well controlled. During the 8-year follow-up, the numbers of incident cases of diabetic retinopathy from the first through the fourth quartiles of fruit intake were 83, 74, 69, and 59. Multivariate-adjusted hazard ratios for the second, third, and fourth quartiles of fruit intake compared with the first quartile were 0.66 (95% confidence interval = 0.46-0.92), 0.59 (0.41-0.85), and 0.48 (0.32-0.71) (test for trend, P &lt; 0.01). There was no substantial effect modification by age, sex, HbA1C, diabetes duration, overweight, smoking, and hypertension. Risk for diabetic retinopathy declined with increased intake of fruits and vegetables, vitamin C, and carotene. CONCLUSION: Increased fruit intake in ranges commonly consumed was associated with reduced incident diabetic retinopathy among patients adhering to a low-fat energy-restricted diet. Copyright Â© 2013 by Lippincott Williams &amp; Wilkins.</t>
  </si>
  <si>
    <t>SCOPUS_ID:0029660655</t>
  </si>
  <si>
    <t>10.1093/ije/25.5.998</t>
  </si>
  <si>
    <t>Maternal determinants of child survival in a rural African community</t>
  </si>
  <si>
    <t>['Child mortality', 'Health care availability', 'Maternal diseases', 'Maternal school education', 'Parity', 'Zaire']</t>
  </si>
  <si>
    <t>Background. The aim was to determine maternal factors related to child survival in the rural area of Bwamanda, Northern Zaire. Methods. A prospective study of 30-months mortality was carried out in a cohort of 776 children aged 0-3 months, obtained by random cluster sampling. Inclusion criteria were exclusive breastfeeding, no severe prematurity and absence of severe protein-energy malnutrition, diarrhoea or acute respiratory infection. Mortality was recorded by regular home visits and inspection of hospital and funeral registers. Maternal factors that remain stable during follow-up were studied. Results. Factors associated with excess mortality in bivariate and multiple logistic regression analysis were: (i) mother has parity &gt; 5 (relative risk [RR] = 1.5-4.2); (ii) distance from the health centre &gt; 5 km (RR = 0.9-2.9); (iii) invaliding maternal diseases (RR = 1.2-9.0). Maternal school education (conditional odds ratio [OR] = 1.0-5.0) was significant in the multiple regression. In contrast to the other risk factors, mother-child separation or problems with breastfeeding were rare and did not significantly increase mortality. Conclusions. Chronic stress situations created by maternal invalidity, high parity and distance from health care facilities, increase child mortality. Acute stress in the mother-child dyad seemed to be efficiently compensated for. In subsistence economy areas, maternal school education can be a disadvantage.</t>
  </si>
  <si>
    <t>SCOPUS_ID:0026806855</t>
  </si>
  <si>
    <t>10.1136/jech.46.5.517</t>
  </si>
  <si>
    <t>Accuracy of death certificate diagnosis of amyotrophic lateral sclerosis</t>
  </si>
  <si>
    <t>Study objective - The aim was to determine the reliability of official mortality statistics in estimating long term trends of amyotrophic lateral sclerosis (ALS) in Italy. Design - The study was a mortality follow up of cases of ALS. Setting - Piedmond Region, northern Italy. Subjects - Cases of ALS were identified from multiple sources between 1966 and 1985. Main results - Cause of death was determined for the cases who died between 1970 and 1985. Death certificates were obtained in 488 out of 510 cases (95.7%). ALS was mentioned in 365 (74.8%) of cases. The most frequent erroneous diagnoses were multiple sclerosis and malignant tumours. Demographic variables, such as sex, age at death, province of death, and calendar year of death, did not influence the percentage of true positive cases significantly. Conclusions - The death certificate diagnosis of ALS appears to be adequate for use in descriptive and analytical epidemiology.</t>
  </si>
  <si>
    <t>SCOPUS_ID:85123904653</t>
  </si>
  <si>
    <t>10.2105/AJPH.2021.306592</t>
  </si>
  <si>
    <t>West Oaklandâ€™s Experience in Building Community Power to Confront Environmental Injustice through Californiaâ€™s Assembly Bill 617</t>
  </si>
  <si>
    <t>We explored how air quality management processes associated with Assembly Bill 617 (AB 617) in West Oakland, California, represent a shift in power relationships between government agencies and communities toward the goal of addressing legacies of environmental injustice. We drew from a statewide assessment of community engagement in AB 617â€™s first year, and an analysis of the West Oakland AB 617 process. The first comprised 2 statewide surveys (n 5 102 and n 5 106), 70 key informant interviews, observation of all AB 617 first-year sites, and analysis of related planning documents. The second comprised 2 rounds of interviews (n 5 22 and n 5 23, with a total of 19 individuals) and extensive participant observation. Several factors are necessary for pursuing environmental justice: (1) invest in community partnerships and collaborations, (2) honor community knowledge and data, (3) ensure that community constituents share power in environmental governance, and (4) adopt explicit racial justice frameworks. Although still a work in progress, AB 617 offers important lessons for community and policy organizations nationwide engaged in environmental justice.</t>
  </si>
  <si>
    <t>SCOPUS_ID:0029924166</t>
  </si>
  <si>
    <t>10.1006/pmed.1996.0046</t>
  </si>
  <si>
    <t>Determinants of intention to quit smoking among Dutch employees: The influence of the social environment</t>
  </si>
  <si>
    <t>Background. This study examines the influence of the social environment in worksites on employees' intention to quit smoking by applying the attitude- social influence-efficacy model. Methods. Regression analyses were conducted with 509 smoking employees from eight Dutch worksites. Variables of interest were attitudes toward smoking, perceived social pressure to quit, perceived smoking behavior of others, self-efficacy, demographics, smoking history variables, company type, and smoking tolerance. Results. Attitude, social pressure from people outside the worksetting (partner, children), and self- efficacy explained 23% of the variance for intention. Past behavior increased the adjusted R2 from 0.23 to 0.29. Social influences in the worksite were unrelated to employees' intention to quit smoking. Conclusions. It was concluded that, in Dutch worksites, social influences stemming from people at work have less influence on employees' intention to quit smoking than other important people outside the work situation. Implications for smoking control strategies in worksites are briefly discussed.</t>
  </si>
  <si>
    <t>SCOPUS_ID:84947868632</t>
  </si>
  <si>
    <t>10.1136/jech-2014-204984</t>
  </si>
  <si>
    <t>Tackling risky alcohol consumption in sport: A cluster randomised controlled trial of an alcohol management intervention with community football clubs</t>
  </si>
  <si>
    <t>Background: An increased prevalence of risky alcohol consumption and alcohol-related harm has been reported for members of sporting groups and at sporting venues compared with non-sporting populations. While sports clubs and venues represent opportune settings to implement strategies to reduce such risks, no controlled trials have been reported. The purpose of the study was to examine the effectiveness of an alcohol management intervention in reducing risky alcohol consumption and the risk of alcohol-related harm among community football club members. Method: A cluster randomised controlled trial of an alcohol management intervention was undertaken with non-elite, community football clubs and their members in New South Wales, Australia. Risky alcohol consumption (5+ drinks) at the club and risk of alcoholrelated harm using the Alcohol Use Disorders Identification Test (AUDIT) were measured at baseline and postintervention. Results: Eighty-eight clubs participated in the trial (n=43, Intervention; n=45, Control) and separate crosssectional samples of club members completed the baseline (N=1411) and postintervention (N=1143) surveys. Postintervention, a significantly lower proportion of intervention club members reported: risky alcohol consumption at the club (Intervention: 19%; Control: 24%; OR: 0.63 (95% CI 0.40 to 1.00); p=0.05); risk of alcohol-related harm (Intervention: 38%; Control: 45%; OR: 0.58 (95% CI 0.38 to 0.87); p&lt;0.01); alcohol consumption risk (Intervention: 47%; Control: 55%; OR: 0.60 (95% CI 0.41 to 0.87); p&lt;0.01) and possible alcohol dependence (Intervention: 1%; Control: 4%; OR: 0.20 (95% CI 0.06 to 0.65); p&lt;0.01). Conclusions: With large numbers of people worldwide playing, watching and sports officiating, enhancing clubbased alcohol management interventions could make a substantial contribution to reducing the burden of alcohol misuse in communities.</t>
  </si>
  <si>
    <t>SCOPUS_ID:33947327066</t>
  </si>
  <si>
    <t>10.1016/j.amepre.2006.12.008</t>
  </si>
  <si>
    <t>Obesity Counseling and Guidelines in Primary Care. A Qualitative Study</t>
  </si>
  <si>
    <t>Background: The problem of obesity is now epidemic in the United States. Despite the existence of clinical guidelines for prevention and treatment of obesity and documented clinician concern about this problem, counseling for obesity reduction in primary care is infrequent. The principal aim of this study was to examine the views of clinicians on obesity counseling and to compare these views to the recommendations of leading obesity guidelines. Methods: Twenty individual, in-depth interviews and two focus groups of clinicians serving predominantly low-income minority populations were conducted in a practice-based research network. Data were analyzed using immersion/crystallization and template approaches. Results: Clinicians believe obesity is an important problem and report using mostly brief, targeted, low-intensity counseling in the face of limited patient motivation and lack of resources to support weight loss. They view family, cultural, social, and community factors as central to the problem of obesity, and their own efforts as generally ineffective. These clinicians similarly were unconvinced of the long-term effectiveness of any weight-loss strategies. Conclusions: Low levels of obesity counseling in primary care may reflect clinicians' self-assessment of their ineffectiveness in this area rather than lack of interest or knowledge. These clinicians perceive that obesity control efforts aimed at local community factors and environmental modifications are key strategies in augmenting and linking their efforts to successful outcomes. Â© 2007 American Journal of Preventive Medicine.</t>
  </si>
  <si>
    <t>SCOPUS_ID:0346093850</t>
  </si>
  <si>
    <t>10.1093/ije/dyg170</t>
  </si>
  <si>
    <t>The associations of social class and social stratification with patterns of general and mental health in a Spanish population</t>
  </si>
  <si>
    <t>['Mental health', 'Self-rated health', 'Social class', 'Social stratification', 'Socioeconomic status']</t>
  </si>
  <si>
    <t>Background. Social class, as a theoretical framework, represents a complementary approach to social stratification by introducing social relations of ownership and control over productive assets to the analysis of inequalities in economic, political, and cultural resources. In this study we examined whether measures of social class were able to explain and predict self-reported general and mental health over and above measures of social stratification. Methods. We tested this using the Barcelona Health Interview Survey, a cross-sectional survey of 10 000 residents of the city's non-institutionalized population in 2000. We used Erik Olin Wright's indicators of social class position, based on ownership and control over productive assets. As measures of social stratification we used the Spanish version of the British Registrar General (BRG) classification, and education. Health-related variables included self-perceived health and mental health as measured by Goldberg's questionnaire. Results. Among men, high level managers and supervisors reported better health than all other classes, including small business owners. Low-level supervisors reported worse mental health than high-level managers and non-managerial workers, giving support to Wright's contradictory class location hypothesis with regard to mental health. Social class indicators were less useful correlates of health and mental health among women. Conclusions. Our findings highlight the potential health consequences of social class positions defined by power relations within the labour process. They also confirm that social class taps into parts of the social variation in health that are not captured by conventional measures of social stratification and education.</t>
  </si>
  <si>
    <t>SCOPUS_ID:85117765539</t>
  </si>
  <si>
    <t>10.1093/ije/dyab099</t>
  </si>
  <si>
    <t>No causal associations between childhood family income and subsequent psychiatric disorders, substance misuse and violent crime arrests: A nationwide Finnish study of &amp;gt;650 000 individuals and their siblings</t>
  </si>
  <si>
    <t>['Anxiety', 'Bipolar disorder', 'Depression', 'Family income', 'Public health', 'Quasi-experimental research designs', 'Schizophrenia', 'Socio-economic status', 'Substance-use disorders', 'Violence']</t>
  </si>
  <si>
    <t>Background: Childhood family income has been shown to be associated with later psychiatric disorders, substance misuse and violent crime, but the consistency, strength and causal nature of these associations remain unclear. Methods: We conducted a nationwide cohort and co-sibling study of 650 680 individuals (426 886 siblings) born in Finland between 1986 and 1996 to re-examine these associations by accounting for unmeasured confounders shared between siblings. The participants were followed up from their 15th birthday until they either migrated, died, met criteria for the outcome of interest or reached the end of the study period (31 December 2017 or 31 December 2018 for substance misuse). The associations were adjusted for sex, birth year and birth order, and expressed as adjusted hazard ratios (aHRs). The outcomes included a diagnosis of a severe mental illness (schizophrenia-spectrum disorders or bipolar disorder), depression and anxiety. Substance misuse (e.g. medication prescription, hospitalization or death due to a substance use disorder or arrest for drug-related crime) and violent crime arrests were also examined. Stratified Cox regression models accounted for unmeasured confounders shared between differentially exposed siblings. Results: For each $15 000 increase in family income at age 15 years, the risks of the outcomes were reduced by between 9% in severe mental illness (aHR = 0.91; 95% confidence interval: 0.90-0.92) and 23% in violent crime arrests (aHR = 0.77; 0.76-0.78). These associations were fully attenuated in the sibling-comparison models (aHR range: 0.99-1.00). Sensitivity analyses confirmed the latter findings. Conclusions: Associations between childhood family income and subsequent risks for psychiatric disorders, substance misuse and violent crime arrest were not consistent with a causal interpretation.</t>
  </si>
  <si>
    <t>SCOPUS_ID:85038398484</t>
  </si>
  <si>
    <t>10.1016/j.amepre.2017.10.009</t>
  </si>
  <si>
    <t>Fall Risk Factors in Mid-Age Women: The Australian Longitudinal Study on Women's Health</t>
  </si>
  <si>
    <t>Introduction In contrast to older adults, little is known about risk factors for falls in adults aged 50â€“64 years, despite a high prevalence of falls in this age group. The aim was to identify risk factors for falls in mid-age women and explore how associations change with age. Methods Data were analyzed in 2016 from women aged 50â€“55 years in 2001 (born 1946â€“1951) in the Australian Longitudinal Study on Women's Health. The predictor variables were health-related factors (measured 2001, 2004, 2007, 2010) and the outcome was falls in the past 12 months (measured 2004, 2007, 2010, 2013). Prospective associations between predictor variables and falls measured 3 years later were analyzed using logistic regression with complete data for 4,629, 7,096, 5,911, and 5,774 participants. Results In surveys, 20.5% (2004), 30.7% (2007), 30.5% (2010), and 26.6% (2013) of women reported a fall in the previous 12 months. In the univariable models, most factors were associated with falls 3 years later. In the multivariable models, higher odds of falling were found for overweight and obese women compared with healthy weight women at all survey intervals (OR range, 1.15â€“1.43). Impaired vision (OR range, 1.25â€“1.35) and poor physical functioning (OR range, 1.24â€“1.66) were associated with falls at three survey intervals. Depression (OR range, 1.31â€“1.42), leaking urine (OR range, 1.25â€“1.49), stiff/painful joints (OR range, 1.26â€“1.62), severe tiredness (OR range, 1.29â€“1.49), osteoporosis (OR range, 1.25â€“1.52), and hormone replacement therapy (OR range, 0.69â€“0.79) were associated with falls at two survey intervals. There was no obvious age-related increase or decrease in the number of statistically significant associations. Conclusions Identified fall risk factors varied over time, highlighting that falling involves a complex interplay of risk factors in mid-age women.</t>
  </si>
  <si>
    <t>SCOPUS_ID:0028278676</t>
  </si>
  <si>
    <t>10.2105/AJPH.84.3.452</t>
  </si>
  <si>
    <t>AIDS risk reduction and reduced HIV seroconversion among injection drug users in Bangkok</t>
  </si>
  <si>
    <t>Human immunodeficiency virus (HIV) seroconversion was studied in a group of 173 injection drug users in Bangkok, Thailand, who had been previously tested for HIV and were interviewed and retested in the fall of 1989. Ten percent of the group had seroconverted. Two factors protected against HIV seroconversion: having stopped sharing injection equipment in response to the acquired immunodeficiency syndrome (AIDS) and having a regular sexual partner. The association between self-reported deliberate risk reduction and reduced HIV seroconversion among persons continuing to inject illicit drugs indicates that injection drug users can change their behavior in response to AIDS and will accurately report on the behavior change, and that the changes can protect against HIV infection.</t>
  </si>
  <si>
    <t>SCOPUS_ID:0028051717</t>
  </si>
  <si>
    <t>10.2105/AJPH.84.10.1675</t>
  </si>
  <si>
    <t>The effects of denturism: New Zealand dentists' response to competition</t>
  </si>
  <si>
    <t>The New Zealand Dental Act of 1988 allowed clinical dental technicians to deal directly with the public in fitting and supplying dentures. This study tested the hypothesis that dentists responded to competition from dental technicians by lowering their fees. The results indicate that there was no significant change in the fees charged by dentists for dentures. The apparent failure of deregulation to produce the expected outcome could be due to the competitive pressure imposed by dental technicians practicing illegally prior to 1988, to consumers' lack of information, or to barriers to 'consumer search' imposed by the act itself.</t>
  </si>
  <si>
    <t>SCOPUS_ID:0030197928</t>
  </si>
  <si>
    <t>10.1006/pmed.1996.0077</t>
  </si>
  <si>
    <t>The effect of adult participation in a school-based family intervention to improve children's diet and physical activity: The Child and Adolescent Trial for Cardiovascular Health</t>
  </si>
  <si>
    <t>['cardiovascular disease prevention', 'dose', 'family', 'school']</t>
  </si>
  <si>
    <t>Background. There are strong theoretical reasons for including a family component with a school-based intervention aimed at eating, activity, and smoking behaviors, but the empirical findings to date are limited and show mixed results. The overall CATCH family intervention added only knowledge and attitudinal effects, but no additional behavioral outcomes. This study provides a dose analysis of the family component of the CATCH study by assessing the effect of the level of adult participation. Method. This secondary analysis included students who attended a CATCH family intervention school during all 3 years of the study. The extent of the adult-child interaction, the key aspect of the CATCH family intervention, was measured by the number of activity packets that an adult household member completed with the child. Multiple regression analysis was used to assess the association of adult participation with the child's knowledge, attitudes, and behaviors related to diet and physical activity. Results. Statistically significant results suggested that dose effects were found for knowledge and attitudes related to diet and physical activity. These effects were more pronounced for minority and male students. Conclusions. These results suggest that dose response of a family intervention has been shown in the acquisition of positive knowledge and attitudes toward health habit changes. The methodology of dose response can be applied to other health promotion projects.</t>
  </si>
  <si>
    <t>SCOPUS_ID:85123646581</t>
  </si>
  <si>
    <t>10.1093/aje/kwab120</t>
  </si>
  <si>
    <t>COMETS Analytics: An Online Tool for Analyzing and Meta-Analyzing Metabolomics Data in Large Research Consortia</t>
  </si>
  <si>
    <t>['bioinformatics', 'data science', 'meta-analysis', 'metabolomics']</t>
  </si>
  <si>
    <t>Consortium-based research is crucial for producing reliable, high-quality findings, but existing tools for consortium studies have important drawbacks with respect to data protection, ease of deployment, and analytical rigor. To address these concerns, we developed COnsortium of METabolomics Studies (COMETS) Analytics to support and streamline consortium-based analyses of metabolomics and other-omics data. The application requires no specialized expertise and can be run locally to guarantee data protection or through a Web-based server for convenience and speed. Unlike other Web-based tools, COMETS Analytics enables standardized analyses to be run across all cohorts, using an algorithmic, reproducible approach to diagnose, document, and fix model issues. This eliminates the time-consuming and potentially error-prone step of manually customizing models by cohort, helping to accelerate consortium-based projects and enhancing analytical reproducibility. We demonstrated that the application scales well by performing 2 data analyses in 45 cohort studies that together comprised measurements of 4,647 metabolites in up to 134,742 participants. COMETS Analytics performed well in this test, as judged by the minimal errors that analysts had in preparing data inputs and the successful execution of all models attempted. As metabolomics gathers momentum among biomedical and epidemiologic researchers, COMETS Analytics may be a useful tool for facilitating large-scale consortium-based research.</t>
  </si>
  <si>
    <t>SCOPUS_ID:33750610300</t>
  </si>
  <si>
    <t>10.1136/jech.2005.041954</t>
  </si>
  <si>
    <t>Global health inequalities: An international comparison</t>
  </si>
  <si>
    <t>Objective: To study cross-national inequalities in mortality of adults and of children aged &lt;5 years using a novel approach, with clustering techniques to stratify countries into mortality groups (better-off, worse-off, mid-level) and to examine risk factors associated with inequality. Design, selling and participants: Analysis of data from the World Development Indicators 2003 database, compiled by the World Bank. Main outcome measures: Adult and child mortality among countries placed into distinct mortality categories by cluster analysis. Results: 29 countries had a high adult mortality (mean 584/1000; range 460/1000 to 725/1000) and 23 had a high child mortality (mean 207/1000, range 160/1000 to 316/1000). All these countries were in western and sub-Saharan Africa and Afghanistan. Bivariate analyses showed that relative to countries with low child mortality, those with high child mortality had significantly higher rates of extreme poverty (p&lt;0.001), populations living in rural areas (p&lt;0.001) and female illiteracy (p&lt;0.001), significantly lower per capita expenditure on healthcare (p&lt;0.001), outpatient visits, hospital beds and doctors, and lower rates of access to improved water (p&lt;0.001), sanitation (p&lt;0.001) and immunisations. In multivariate analyses, countries with high adult mortality had a higher prevalence of HIV infection (odds ratio per 1% increase 18.6; 95% CI 0.3 to 1135.5). Between 1960 and 2000, adult male mortality in countries with high mortality increased at &gt;4 times the rate in countries with low mortality. For child mortality, the worse-off group made slower progress in reducing &lt;5 mortality than the better-off group. Conclusions: Inequalities in child and adult mortality are large, are growing, and are related to several economic, social and health sector variables. Global efforts to deal with this problem require attention to the worse-off countries, geographic concentrations, and adopt a multidimensional approaches to development.</t>
  </si>
  <si>
    <t>SCOPUS_ID:85150737261</t>
  </si>
  <si>
    <t>10.1007/s10654-023-00983-9</t>
  </si>
  <si>
    <t>The association between night shift work and breast cancer risk in the Finnish twins cohort</t>
  </si>
  <si>
    <t>['Breast cancer', 'Night work', 'Shift work', 'Twins']</t>
  </si>
  <si>
    <t>Breast cancer is highly prevalent yet a more complete understanding of the interplay between genes and probable environmental risk factors, such as night work, remains lagging. Using a discordant twin pair design, we examined the association between night shift work and breast cancer risk, controlling for familial confounding. Shift work pattern was prospectively assessed by mailed questionnaires among 5,781 female twins from the Older Finnish Twin Cohort. Over the study period (1990â€“2018), 407 incident breast cancer cases were recorded using the Finnish Cancer Registry. Cox proportional hazards models were used to calculate hazard ratios (HRs) and 95% confidence intervals (CIs) adjusting for potential confounders. Within-pair co-twin analyses were employed in 57 pairs to account for potential familial confounding. Compared to women who worked days only, women with shift work that included night shifts had a 1.58-fold higher risk of breast cancer (HR = 1.58; 95%CI, 1.16â€“2.15, highest among the youngest women i.e. born 1950â€“1957, HR = 2.08; 95%CI, 1.32â€“3.28), whereas 2-shift workers not including night shifts, did not (HR = 0.84; 95%CI, 0.59â€“1.21). Women with longer sleep (average sleep duration &gt; 8Â h/night) appeared at greatest risk of breast cancer if they worked night shifts (HR = 2.91; 95%CI, 1.55â€“5.46; Pintx=0.32). Results did not vary by chronotype (Pintx=0.74). Co-twin analyses, though with limited power, suggested that night work may be associated with breast cancer risk independent of early environmental and genetic factors. These results confirm a previously described association between night shift work and breast cancer risk. Genetic influences only partially explain these associations.</t>
  </si>
  <si>
    <t>Austria</t>
  </si>
  <si>
    <t>SCOPUS_ID:47349107397</t>
  </si>
  <si>
    <t>10.1007/s10654-008-9245-3</t>
  </si>
  <si>
    <t>The association between father's social class and adult obesity is not explained by educational attainment and an unhealthy lifestyle in adulthood</t>
  </si>
  <si>
    <t>['BMI', 'Early life', 'Health behaviours', 'Social inequality', 'Socioeconomic position', 'Waist-hip-ratio']</t>
  </si>
  <si>
    <t>Objectives: To investigate the effect of father's social class on central and general obesity in adulthood. To test the role of educational attainment and adult health behaviours as mediators in this association. Methods: BMI, Waist-hip-ratio, smoking status, alcohol consumption, leisure-time physical activity and dietary intake (semi-quantitative food-frequency questionnaire) were assessed at phase 5 (1997-1998) of the Whitehall II cohort study. We used retrospective data on educational attainment and father's social class. Our study sample was 4598 participants (3364 men, 1234 women) aged 44-69, with a valid obesity measure and information on father's social class and educational attainment. Results: Father's social class was inversely associated with adult life central (Waist-hip-ratio) and general (BMI) obesity in women but not in men. For example, mean BMI difference between the highest and lowest childhood social class was 2.04 kg/m2 (95% confidence intervals: 0.90; 3.18). These associations remained robust to adjustment for adult life socioeconomic position. Adjusting for educational attainment resulted in a reduction of 10-15% in the difference in mean obesity measures between lowest and highest father's social class. In our fully adjusted model, adult life health behaviours did not provide further attenuation of the effect of father's social class on adult obesity. Conclusion: We provide evidence for an independent effect of father's social class on adult central and general obesity in women, which is not explained by educational attainment and an unhealthy lifestyle in adulthood. Policies aiming at reducing inequalities in obesity should tackle the problem of social inequality early in life. Â© 2008 Springer Science+Business Media B.V.</t>
  </si>
  <si>
    <t>SCOPUS_ID:85124166197</t>
  </si>
  <si>
    <t>10.1016/j.ypmed.2022.106981</t>
  </si>
  <si>
    <t>Valuing the cross-sector benefits from improving youth health to drive investment in place-based preventive interventions in the US: A simulation modeling study</t>
  </si>
  <si>
    <t>['Child health', 'Health policy', 'Healthcare financing', 'Mental health', 'Prevention']</t>
  </si>
  <si>
    <t>Healthcare payment reform has not produced incentives for investing in place-based, or population-level, upstream preventive interventions. This article uses economic modeling to estimate the long-term benefits to different sectors associated with improvements in population health indicators in childhood. This information can motivate policymakers to invest in prevention and provide guidance for cross-sector contracting to align incentives for implementing place-based preventive interventions. A benefit-cost model developed by the Washington State Institute for Public Policy was used to estimate total and sector-specific benefits expected from improvements to nine different population health indicators at ages 17 and 18. The magnitudes of improvement used in the model were comparable to those that could be achieved by high-quality implementation of evidence-based population-level preventive interventions. Benefits accruing throughout the lifecycle and over a ten-year time horizon were modelled. Intervention effect sizes of 0.10 and 0.20 demonstrated substantial long-term benefits for eight of the nine outcomes measured. At an effect size of 0.10, the median lifecycle benefit per participant across the ten indicators was $3080 (ranged: $93 to $14,220). The median over a 10-year time horizon was $242 (range: $14 to $1357). Benefits at effect sizes of 0.20 were approximately double. Policymakers may be able to build will for additional investment based on these cross-sector returns and communities may be able to capture these cross-sector benefits through contracting to better align incentives for implementing and sustaining place-based preventive interventions.</t>
  </si>
  <si>
    <t>SCOPUS_ID:85045209438</t>
  </si>
  <si>
    <t>10.1016/j.amepre.2017.12.006</t>
  </si>
  <si>
    <t>Boulder Food Rescue: An Innovative Approach to Reducing Food Waste and Increasing Food Security</t>
  </si>
  <si>
    <t>Food waste and food insecurity are both significant issues in communities throughout the U.S., including Boulder, Colorado. As much as 40% of the food produced in the U.S. goes uneaten and ends up in landfills. Nearly 13% of people in the Boulder region experience some level of food insecurity. Founded in 2011, Boulder Food Rescue supports community members to create their own food security through a participatory approach to an emergency food system. The organization uses a web-application â€œrobotâ€ to manage a schedule of volunteers. They coordinate with individuals at low-income senior housing sites, individual housing sites, family housing sites, after-school programs, and pre-schools to set up no-cost grocery programs stocked with food from local markets and grocers that would otherwise go to waste. Each site coordinator makes decisions about how, when, and where food delivery and distribution will occur. The program also conducts robust, real-time data collection and analysis. Boulder Food Rescue is a member and manager of the Food Rescue Alliance, and its model has been replicated and adapted by other cities, including Denver, Colorado Springs, Seattle, Jackson Hole, Minneapolis, Binghamton, and in the Philippines. Information for this special article was collected through key informant interviews with current and former Boulder Food Rescue staff and document review of Boulder Food Rescue materials. Boulder Food Rescue's open source software is available to other communities; to date, 40 cities have used the tool to start their own food rescue organizations. Boulder Food Rescue hopes to continue spreading this model to other cities that are considering ways to reduce food waste and increase food security. Supplement information: This article is part of a supplement entitled Building Thriving Communities Through Comprehensive Community Health Initiatives, which is sponsored by Kaiser Permanente, Community Health.</t>
  </si>
  <si>
    <t>SCOPUS_ID:77951647598</t>
  </si>
  <si>
    <t>10.1093/ije/dyq032</t>
  </si>
  <si>
    <t>The effect of case management on childhood pneumonia mortality in developing countries</t>
  </si>
  <si>
    <t>['Case management', 'Childhood pneumonia', 'Community', 'Developing countries', 'Hospital']</t>
  </si>
  <si>
    <t>Background: With the aim of populating the Lives Saved Tool (LiST) with parameters of effectiveness of existing interventions, we conducted a systematic review of the literature assessing the effect of pneumonia case management on mortality from childhood pneumonia. Methods: This review covered the following interventions: community case management with antibiotic treatment, and hospital treatment with antibiotics, oxygen, zinc and vitamin A. Pneumonia mortality outcomes were sought where available but data were also recorded on secondary outcomes. We summarized results from randomized controlled trials (RCTs), cluster RCTs, quasi-experimental studies and observational studies across outcome measures using standard meta-analysis methods and used a set of standardized rules developed for the purpose of populating the LiST with required parameters, which dealt with the issues of comparability of the studies in a uniform way across a spectrum of childhood conditions. Results: We estimate that community case management of pneumonia could result in a 70% reduction in mortality from pneumonia in 0-5-year-old children. In contrast treatment of pneumonia episodes with zinc and vitamin A is ineffective in reducing pneumonia mortality. There is insufficient evidence to make a quantitative estimate of the effect of hospital case management on pneumonia mortality based on the published data. Conclusion: The available evidence reinforces the effectiveness of community and hospital case management with World Health Organizationrecommended antibiotics and the lack of effect of zinc and vitamin A supportive treatment for children with pneumonia. Evidence from one trial demonstrates the effectiveness of oxygen therapy but further research is required to give higher quality evidence so that an effect estimate can be incorporated into the LiST model. We identified no trials that separately evaluated the effectiveness of other supportive care interventions. The summary estimates of effect on pneumonia mortality will inform the LiST model. Â© The Author 2010; all rights reserved.</t>
  </si>
  <si>
    <t>SCOPUS_ID:76249114072</t>
  </si>
  <si>
    <t>10.1093/eurpub/ckp111</t>
  </si>
  <si>
    <t>Issues in estimating smoking attributable mortality in Israel</t>
  </si>
  <si>
    <t>['Mortality', 'Relative risk', 'Smoking', 'Smoking attributable mortality']</t>
  </si>
  <si>
    <t>Background: The US Centres for Disease Control provides a widely used online user-friendly computational program, called SAMMEC (Smoking Attributable Mortality, Morbidity and Economic Costs) to produce estimates of tobacco-related mortality. However, the SAMMEC tool loses accuracy because it lacks flexibility in deciding which diseases enter into the calculations, has estimates of relative risk (RR) attributable to smoking based on old studies, and does not allow for the latency period that occurs between initial exposure and mortality. Methods: Smoking attributable mortality (SAM) due to active smoking in Israel was estimated with the approach used by SAMMEC taking into account past and present smoking prevalence (lag-times) as well as using new and expanded disease categories. Results: Around 50.3% of the increase from the un-lagged SAM estimate of 3859 deaths to the final SAM estimate of 8664 deaths in 2003 is attributable to the introduction of lag times. More robust estimates of risk accounted for a further 29.6% of the increase. While 21.2% is attributable to the inclusion of additional disease categories, only 1.5% was attributable to the widening of existing diseases categories. Conclusion: This difference in estimates is attributable to expansion of the list of diseases included, updating the estimates of RR for smoking-attributable death, and the use of smoking prevalence from previous years to more accurately reflect the effect of tobacco use on disease occurrence. There is a need to establish an 'authority' to implement a multi-faceted intervention strategy to decrease the considerable burden from smoking in Israel.</t>
  </si>
  <si>
    <t>SCOPUS_ID:0033728677</t>
  </si>
  <si>
    <t>10.1136/jech.54.12.930</t>
  </si>
  <si>
    <t>Coronary artery bypass graft surgery: Socioeconomic inequalities in access and in 30 day mortality. A population-based study in Rome, Italy</t>
  </si>
  <si>
    <t>Objectives-To evaluate whether coronary artery bypass graft (CABG) surgery is equally provided among different socioeconomic status (SES) groups in accordance with need. To estimate the association between SES and mortality occurring 30 days after CABG surgery. Design-Individual socioeconomic index assigned with respect to the characteristics of the census tract of residence (level I = highest SES; level IV = lowest SES). Comparison of age adjusted hospital admission rates of ischaemic heart disease (IHD) and CABG surgery among four SES groups. Retrospective cohort study of all patients who underwent CABG surgery during 1996-97. Setting-Rome (2 685 890 inhabitants) and the seven cardiac surgery units in the city. Participants-All residents in Rome aged 35 years or more. A cohort of 1875 CABG patients aged 35 years or more. Main outcome measures-Age adjusted hospitalisation rates for CABG and IHD and rate of CABG per 100 IHD hospitalisations by SES group, taking level I as the reference group. Odds ratios of 30 day mortality after CABG surgery, adjusted for age, gender, illness severity at admission, and type of hospital where CABG was performed. Results-People in the lowest SES level experienced an excess in the age adjusted IHD hospitalisation rates compared with the highest SES level (an excess of 57% among men, and of 94% among women), but the rate of CABG per 100 IHD hospitalisations was lower, among men, in the most socially disadvantaged level (8.9 CABG procedures per 100 IHD hospital admissions in level IV versus 14.1 in level I rate ratio = 0.63; 95% CI 0.44, 0.89). The most socially disadvantaged SES group experienced a higher risk of 30 day mortality after CABG surgery (8.1%) than those in the highest SES group (4.8%); this excess in mortality was confirmed even when initial illness severity was taken into account (odds ratio= 2.89; 95% CI 1.44, 5.80). Conclusions-The universal coverage of the National Health Service in Italy does not guarantee equitable access to CABG surgery for IHD patients. Factors related to SES are likely to influence poor prognosis after CABG surgery.</t>
  </si>
  <si>
    <t>SCOPUS_ID:85060018664</t>
  </si>
  <si>
    <t>10.1136/jech-2018-211431</t>
  </si>
  <si>
    <t>Housing and health: New evidence using biomarker data</t>
  </si>
  <si>
    <t>background The link between housing and health is well established and long-standing, however much of the evidence relies on self-reported health measures. While these are useful, the availability of biomarker data allows us to add to this evidence using objective indicators of health. Methods In this paper, we use C-reactive protein (CRP), a biomarker associated with infection and stress, alongside information relating to housing details, demographic characteristics and health behaviours taken from the UK Household Longitudinal Study. Hierarchical linear regression models estimate CRP for individual housing characteristics, and all available housing characteristics, controlling for confounders. results Results indicate that housing tenure, type, cost burden and desire to stay in current home are associated with CRP. Private renters have significantly higher (worse) CRP than owners with a mortgage. In terms of housing type, respondents living in detached homes had lower CRP than those in semidetached or terraced houses, or those living in flats. Housing cost burden is associated with lower CRP, although further analysis indicates that this is the case only for low-income renters. Desire to stay in current home is significantly associated with higher CRP. Conclusions A number of housing characteristics were associated with CRP. These results further support an important role for housing in health.</t>
  </si>
  <si>
    <t>SCOPUS_ID:84952637063</t>
  </si>
  <si>
    <t>10.1007/s10654-015-0042-5</t>
  </si>
  <si>
    <t>Population mixing and the risk of childhood leukaemia in Switzerland: a census-based cohort study</t>
  </si>
  <si>
    <t>['Children', 'Cohort study', 'Leukaemia', 'Population mixing', 'Switzerland']</t>
  </si>
  <si>
    <t>Childhood leukaemia (CL) may have an infectious cause and population mixing may therefore increase the risk of CL. We aimed to determine whether CL was associated with population mixing in Switzerland. We followed children aged &lt;16Â years in the Swiss National Cohort 1990â€“2008 and linked CL cases from the Swiss Childhood Cancer Registry to the cohort. We calculated adjusted hazard ratios (HRs) for all CL, CL at age &lt;5Â years and acute lymphoblastic leukaemia (ALL) for three measures of population mixing (population growth, in-migration and diversity of origin), stratified by degree of urbanisation. Measures of population mixing were calculated for all municipalities for the 5-year period preceding the 1990 and 2000 censuses. Analyses were based on 2,128,012 children of whom 536 developed CL. HRs comparing highest with lowest quintile of population growth were 1.11 [95Â %Â confidence interval (CI) 0.65â€“1.89] in rural and 0.59 (95Â %Â CI 0.43â€“0.81) in urban municipalities (interaction: pÂ =Â 0.271). Results were similar for ALL and for CL at age &lt;5Â years. For level of in-migration there was evidence of a negative association with ALL. HRs comparing highest with lowest quintile were 0.60 (95Â % CI 0.41â€“0.87) in urban and 0.61 (95Â % CI 0.30â€“1.21) in rural settings. There was little evidence of an association with diversity of origin. This nationwide cohort study of the association between CL and population growth, in-migration and diversity of origin provides little support for the population mixing hypothesis.</t>
  </si>
  <si>
    <t>SCOPUS_ID:0027531865</t>
  </si>
  <si>
    <t>10.2105/AJPH.83.2.240</t>
  </si>
  <si>
    <t>Symptoms of depression among Blacks and Whites</t>
  </si>
  <si>
    <t>Objectives. We sought to examine relationships between sociodemographic indicators of risk and depression symptoms within the Black and White populations. Methods. In a national probability sample, differences in sex, age, marital status, religion, social class, employment status, urbanicity, and region were evaluated against a Center for Epidemiological Studies Depression Scale score of 16 or greater. Risk factors were identified within the two populations and compared between them. Results. For both races, females were at greater risk for depression than males, and respondents who were formerly married or separated were at greater risk than those who were currently married. Major differences in patterns of risk were also found between the races. Blacks who were 30 to 39 years of age, belonged to non- Western religious groups, and lived in the West were at greater risk than comparable Whites. Blacks who were widowed, members of the middle and lower- middle class, and unemployed were at less risk. Conclusions. Similarities and differences in patterns of risk were evident. The nature of the differences suggests important divergence in sociocultural and economic experience.</t>
  </si>
  <si>
    <t>SCOPUS_ID:85045670076</t>
  </si>
  <si>
    <t>10.1097/EDE.0000000000000734</t>
  </si>
  <si>
    <t>The right tool for the job: Choosing between covariate-balancing and generalized boosted model propensity scores</t>
  </si>
  <si>
    <t>Estimating the causal effect of an exposure (vs. some control) on an outcome using observational data often requires addressing the fact that exposed and control groups differ on pre-exposure characteristics that may be related to the outcome (confounders). Propensity score methods have long been used as a tool for adjusting for observed confounders in order to produce more valid causal effect estimates under the strong ignorability assumption. In this article, we compare two promising propensity score estimation methods (for time-invariant binary exposures) when assessing the average treatment effect on the treated: the generalized boosted models and covariate-balancing propensity scores, with the main objective to provide analysts with some rules-of-thumb when choosing between these two methods. We compare the methods across different dimensions including the presence of extraneous variables, the complexity of the relationship between exposure or outcome and covariates, and the residual variance in outcome and exposure. We found that when noncomplex relationships exist between outcome or exposure and covariates, the covariate-balancing method outperformed the boosted method, but under complex relationships, the boosted method performed better. We lay out criteria for when one method should be expected to outperform the other with no blanket statement on whether one method is always better than the other.</t>
  </si>
  <si>
    <t>SCOPUS_ID:84922476922</t>
  </si>
  <si>
    <t>10.1093/eurpub/cku074</t>
  </si>
  <si>
    <t>Under-estimation of obesity, hypertension and high cholesterol by self-reported data: Comparison of self-reported information and objective measures from health examination surveys</t>
  </si>
  <si>
    <t>Background: Non-communicable diseases (NCDs) cause 63% of deaths worldwide. The leading NCD risk factor is raised blood pressure, contributing to 13% of deaths. A large proportion of NCDs are preventable by modifying risk factor levels. Effective prevention programmes and health policy decisions need to be evidence based. Currently, self-reported information in general populations or data from patients receiving healthcare provides the best available information on the prevalence of obesity, hypertension, diabetes, etc. in most countries. Methods: In the European Health Examination Survey Pilot Project, 12 countries conducted a pilot survey among the working-age population. Information was collected using standardized questionnaires, physical measurement and blood sampling protocols. This allowed comparison of self-reported and measured data on prevalence of overweight, obesity, hypertension, high blood cholesterol and diabetes. Results: Self-reported data under-estimated population means and prevalence for health indicators assessed. The self-reported data provided prevalence of obesity four percentage points lower for both men and women. For hypertension, the self-reported prevalence was 10 percentage points lower, only in men. For elevated total cholesterol, the difference was 50 percentage point among men and 44 percentage points among women. For diabetes, again only in men, the self-reported prevalence was 1 percentage point lower than measured. With self-reported data only, almost 70% of population at risk of elevated total cholesterol is missed compared with data from objective measurements. Conclusions: Health indicators based on measurements in the general population include undiagnosed cases, therefore providing more accurate surveillance data than reliance on self-reported or healthcare-based information only.</t>
  </si>
  <si>
    <t>SCOPUS_ID:85169832505</t>
  </si>
  <si>
    <t>10.1016/j.ypmed.2023.107686</t>
  </si>
  <si>
    <t>Racial, ethnic and gender trends in lung cancer mortality rates in the United States-Mexico border and non-border areas</t>
  </si>
  <si>
    <t>['Healthcare access', 'Lung cancer mortality', 'Racial/ethnic disparities', 'Time trends', 'US-Mexico border']</t>
  </si>
  <si>
    <t>Background: Geographic patterns of lung cancer mortality rate differ in the region bordering Mexico in contrast to the US. This study compares lung cancer mortality between border and non-border counties by race/ethnicity and gender. Methods: This study utilized population-level death certificate data from US Centers for Disease Control and Prevention Public Internet Wide-Ranging Online Data for Epidemiologic Research dataset between 1999 and 2020. Established algorithms were implemented to examine lung cancer deaths among US residents. We analyzed the age-adjusted data by year, race/ethnicity, gender, and geographic region. Joinpoint regression was used to determine mortality trends across time. Results: Lung cancer mortality rates were lower in border counties compared to non-border counties across time (p &lt; 0.05). Hispanic lung cancer mortality rates were not different in border counties compared to non-border counties during the same period (p &gt; 0.05). Lung cancer mortality among non-Hispanic White living in border counties was lower than non-Hispanic White residing in non-border counties (p &lt; 0.01), and non-Hispanic Black living in border counties had lower lung cancer mortality than non-Hispanic Black in non-border counties in all but three years (p &lt; 0.05). Both female and male mortality rates were lower in border counties compared to non-border counties (p &lt; 0.05). Conclusion: Differences in lung cancer mortality between border counties and non-border counties reflect lower mortality in Hispanics overall and a decline for non-Hispanic White and non-Hispanic Black living in border counties experiencing lower lung cancer mortality rates than non-border counties. Further studies are needed to identify specific causes for lower mortality rates in border counties.</t>
  </si>
  <si>
    <t>SCOPUS_ID:0025168025</t>
  </si>
  <si>
    <t>10.1097/00001648-199007000-00011</t>
  </si>
  <si>
    <t>Recall bias in subjective reports of familial cancer</t>
  </si>
  <si>
    <t>['Bias', 'Cancer', 'Twins']</t>
  </si>
  <si>
    <t>Both twins in a pair in which one had suffered breast cancer (115 pairs) were asked about the occurrence of cancer among first-and second-degree relatives. For all cancer sites together, there was agreement about 129 cases; another 48 cancers were mentioned only by the case twin and another 55 only by the co-twin. For breast cancer, there was agreement about 22 events; another 12 cases were provided by the cancer twin and four by the co-twin. The odds ratio for a family history of cancer was 1.14; for breast cancer the corresponding value was 1.48. The results are suggestive of some recall bias in subjective reports on familial cancer. (Epidemiology 1990; 1:318â€“321). Â© 1990 Epidemiology Resources Inc.</t>
  </si>
  <si>
    <t>SCOPUS_ID:0029809750</t>
  </si>
  <si>
    <t>10.1093/oxfordjournals.aje.a008919</t>
  </si>
  <si>
    <t>Adverse effect of pregnancy on high density lipoprotein (HDL) cholesterol in young adult women: The CARDIA study</t>
  </si>
  <si>
    <t>The authors analyzed data from the Coronary Artery Risk Development in Young Adults (CARDIA) Study in order to examine associations between parity and lipoproteins. Of 2,787 women recruited in 1985-1986, 2,534 (91%) returned in 1987-1988 and 2,393 (86%) returned in 1990-1991 for repeat evaluations. Two-year change (1987-1988 to 1985-1986) in high density lipoprotein (HDL) cholesterol was significantly different among the parity groups. HDL cholesterol decreased in women who had their first pregnancy of at least 28 weeks duration during follow-up (mean Â± standard error, -3.5 Â± 1.2 mg/dl), and this change was significantly different from the increase in women parous at baseline who had no further pregnancies (2.5 Â± 0.3 mg/dl) and in nullipara (2.4 Â± 0.3 mg/dl). There was a nonsignificant trend for a greater decrease in HDL2 cholesterol fraction in the primipara compared with the other groups. The HDL cholesterol decrease remained significant after controlling for race, age, education, oral contraceptive use, and changes in body mass index, waist-hip ratio, physical activity, smoking status, and alcohol intake. Change in HDL cholesterol was also significantly different among the parity groups in analyses of pregnancies that occurred during the subsequent 3 years of follow-up. There were no differences for change in LDL cholesterol or triglycerides. Potential mechanisms for a detrimental effect of pregnancy on HDL cholesterol include hormonal, body composition, or life- style/behavioral changes.</t>
  </si>
  <si>
    <t>SCOPUS_ID:0344673387</t>
  </si>
  <si>
    <t>10.1093/eurpub/9.2.97</t>
  </si>
  <si>
    <t>Who went to a general hospital in the eighteenth and nineteenth centuries in Copenhagen?</t>
  </si>
  <si>
    <t>['Age', 'History of public health', 'Hospital patients', 'Mortality', 'Social class']</t>
  </si>
  <si>
    <t>Background: Admission to hospitals during previous centuries is often considered to have been more harmful than beneficial to health. One may ask why people in steadily increasing numbers went to hospitals in those days and if the hospitals actually were so harmful. Since we cannot ask the patients about their motives, an indirect answer to the first question can be found by looking at the characteristics of the patients who were admitted to hospital. Methods: Data were derived from patient registers of Copenhagen's first general hospital where a sample of about approximately 500 patients was taken for each of the years 1770, 1838, 1855 and 1880. Data were available and registered on the basis of age, sex, place of birth and residence, length of stay, mortality, occupation and who paid for the stay. Results: Among the steadily increasing number of patients, the huge majority belonged to the working class, they were young, approximately 50% were between 15 and 29 years' old and men dominated among the patients. The patients were people who could not otherwise receive care and shelter when ill. There were very few changes during the 110 years studied. The mortality rate was around 10%. Approximately one-fifth of the patients who died at the hospital did so before they had been there 1 day, i.e. before the hospital could do any harm. Conclusions: Considering the alternatives the patients admitted had, it is most likely that their hospital stay contributed positively to their health and that the lower classes did seek the hospital voluntarily.</t>
  </si>
  <si>
    <t>SCOPUS_ID:0034663793</t>
  </si>
  <si>
    <t>10.1093/aje/152.4.363</t>
  </si>
  <si>
    <t>Breast cancer, lactation history, and serum organochlorines</t>
  </si>
  <si>
    <t>['Breast neoplasms', 'DDE', 'Lactation', 'Polychlorinated biphenyls']</t>
  </si>
  <si>
    <t>The authors analyzed the relation between lactation history, organochlorine serum levels - in particular, 2,2-bis(p-chlorophenyl)-1,1,1- trichloroethane (DDT) and 1,1-dichloro-2,2-bis(p-chlorophenyl)ethylene (DDE) - and the risk of breast cancer within a subsample from a larger breast cancer case-control study conducted among women living in Mexico City, Mexico, between 1990 and 1995. From the original study, they selected a random sample of 260 subjects (1:1 case/control ratio). Analysis was restricted to 120 cases and 126 controls who had given birth to at least one child and had complete information on all key variables. Serum DDE levels were higher among cases (mean = 3.84 Î¼g/g lipids, standard deviation = 5.98) than among controls (mean = 2.51 Î¼g/g lipids, standard deviation = 1.97). After adjustment for age, age at menarche, duration of lactation, Quetelet index, and serum DDT levels, serum DDE levels were positively related to the risk of breast cancer (adjusted odds ratio (OR)(Q)1-(Q)2 = 1.24, 95% confidence interval (CI): 0.50, 3.06; OR(Q)1-(Q)3 = 2.31, 95% Cl: 0.92, 5.86; OR(Q)1- (Q)4 = 3.81, 95% Cl: 1.14, 12.80; test of trend, p = 0.02). The increased risk associated with higher serum DDE levels was more apparent among postmenopausal women (OR(Q)1-(Q)4 = 5.26, 95% Cl: 0.80, 34.30; test of trend p = 0.03). A longer period of lactation was associated with a slightly decreased risk of breast cancer independently of serum DDE levels (OR = 0.91, 95% Cl: 0.85, 0.99 change in risk per 10 months of lactation). Serum DDT level was not related to the risk of breast cancer. The data suggest that high levels of exposure to DDE may increase women's risk of breast cancer, particularly among postmenopausal women.</t>
  </si>
  <si>
    <t>SCOPUS_ID:80054075776</t>
  </si>
  <si>
    <t>10.1093/aje/kwr201</t>
  </si>
  <si>
    <t>Use of penicillin and other antibiotics and risk of multiple sclerosis: A population-based case-control study</t>
  </si>
  <si>
    <t>['anti-bacterial agents', 'case-control studies', 'multiple sclerosis', 'penicillins', 'risk']</t>
  </si>
  <si>
    <t>A 2006 study from the United Kingdom found that penicillin use may decrease the risk of multiple sclerosis (MS). To confirm this finding, the authors conducted a nationwide case-control study in Denmark, using the Danish Multiple Sclerosis Registry to identify 3,259 patients with MS onset from 1996 to 2008, and selected 10 population controls per case (n = 32,590), matched on sex and age. Through the National Prescription Database, prescriptions for antibiotics redeemed from 1995 to 2008 and before the date of first MS symptom/index date were identified. Conditional logistic regression analysis was used to compute odds ratios associating antibiotic use with MS occurrence. In total, 1,922 patients (59%) redeemed penicillin prescriptions before the index date and 2,292 (70%) redeemed any type of antibiotic prescription. Penicillin use was associated with an increased risk of MS (odds ratio = 1.21, 95% confidence interval: 1.10, 1.27). Use of any type of antibiotic was similarly associated with an increased risk of MS (odds ratio = 1.41, 95% confidence interval: 1.29, 1.53). The odds ratios for different types of antibiotics ranged between 1.08 and 1.83. Thus, this study found that penicillin use and use of other antibiotics were similarly associated with increased risk of MS, suggesting that the underlying infections may be causally associated with MS. Â© 2011 The Author.</t>
  </si>
  <si>
    <t>SCOPUS_ID:21244452423</t>
  </si>
  <si>
    <t>10.1093/aje/kwi160</t>
  </si>
  <si>
    <t>Dynamic models of meningococcal carriage, disease, and the impact of serogroup C conjugate vaccination</t>
  </si>
  <si>
    <t>['Disease transmission', 'Immunity, herd', 'Meningitis, meningococcal, serogroup C', 'Meningococcal vaccines', 'Models, theoretical', 'Vaccination', 'Vaccines, conjugate']</t>
  </si>
  <si>
    <t>Much interest has surrounded the use of conjugate vaccines in recent years, with the development of vaccines against disease caused by Haemophilus influenzae type b, Neisseria meningitidis, and Streptococcus pneumoniae. These vaccines offer the potential for safe and effective disease control, but some questions remain, particularly regarding the duration and mechanisms of protection and the longer-term impact of vaccination on carriage. In this paper, the authors use data on immunization with serogroup C meningococcal conjugate vaccines in England and Wales to develop and apply a mathematical model to investigate the direct and indirect (herd immunity) effects of a conjugate vaccine program. A realistic, age-structured, dynamic model was developed and parameterized and was fitted to epidemiologic data from England and Wales. The effects of a range of vaccine strategies, including hypothetical scenarios, were investigated. The basic reproduction number was estimated to be 1.36. Catch-up vaccination targeting teenagers generated substantial herd immunity and was important in controlling disease rapidly. The results were sensitive to changes in the assumptions regarding the method of vaccine action, particularly duration of protection and efficacy of vaccination against carriage acquisition. This model can be used to help predict the potential impact of vaccine strategies both in the United Kingdom and elsewhere. Copyright Â© 2005 by the Johns Hopkins Bloomberg School of Public Health All rights reserved.</t>
  </si>
  <si>
    <t>SCOPUS_ID:84880323998</t>
  </si>
  <si>
    <t>10.1016/j.amepre.2013.03.018</t>
  </si>
  <si>
    <t>Walk scoreÂ® and transit scoreÂ® and walking in the multi-ethnic study of atherosclerosis</t>
  </si>
  <si>
    <t>Background Walk ScoreÂ® and Transit ScoreÂ® are open-source measures of the neighborhood built environment to support walking (" walkability") and access to transportation. Purpose To investigate associations of Street Smart Walk Score and Transit Score with self-reported transport and leisure walking using data from a large multicity and diverse population-based sample of adults. Methods Data from a sample of 4552 residents of Baltimore MD, Chicago IL, Forsyth County NC, Los Angeles CA, New York NY, and St. Paul MN from the Multi-Ethnic Study of Atherosclerosis (2010-2012) were linked to Walk Score and Transit Score (collected in 2012). Logistic and linear regression models estimated ORs of not walking and mean differences in minutes walked, respectively, associated with continuous and categoric Walk Score and Transit Score. All analyses were conducted in 2012. Results After adjustment for site, key sociodemographic, and health variables, a higher Walk Score was associated with lower odds of not walking for transport and more minutes/week of transport walking. Compared to those in a "walker's paradise," lower categories of Walk Score were associated with a linear increase in odds of not transport walking and a decline in minutes of leisure walking. An increase in Transit Score was associated with lower odds of not transport walking or leisure walking, and additional minutes/week of leisure walking. Conclusions Walk Score and Transit Score appear to be useful as measures of walkability in analyses of neighborhood effects. Â© 2013 American Journal of Preventive Medicine.</t>
  </si>
  <si>
    <t>SCOPUS_ID:84894029471</t>
  </si>
  <si>
    <t>10.1136/jech-2013-202956</t>
  </si>
  <si>
    <t>Prenatal exposure to alcohol, and gender differences on child mental health at age seven years</t>
  </si>
  <si>
    <t>Background: It remains uncertain whether exposure to lower doses of alcohol is damaging to the developing fetus. The present study aimed to investigate associations for boys and girls between prenatal exposure to binge drinking and lower doses of alcohol in pregnancy, and parent-reported behavioural and emotional development at age seven. Methods: This study used data from the Danish National Birth Cohort. Associations between cumulated alcohol exposure and binge drinking from full pregnancy and parent scores on the Strengths and Difficulties Questionnaire (SDQ) measured at age seven were investigated. The SDQ was used as continuous externalising/internalising scores, and as above/below cut-off for the specific scales of hyperactivity/inattention, conduct, emotional and peer problems. Inclusion criteria were information on alcohol exposure from three interviews, SDQ scores at age seven and being born full term (n=37 152). Results: Controlling for relevant confounders, small positive associations were observed between binge drinking and internalising (relative change in mean: 1.04-1.06), externalising scores (relative change in mean: 1.01-1.07), and conduct scores (OR 1.12 to 1.23) for boys. No associations were observed with lower doses of alcohol. Conclusions: Exposure to binge drinking is weakly associated with impaired behavioural and emotional development measured at age seven. Large differences in background characteristics were observed between the groups defined by cumulated alcohol exposure, leaving the interpretations of findings uncertain.</t>
  </si>
  <si>
    <t>SCOPUS_ID:85177571511</t>
  </si>
  <si>
    <t>10.1016/j.ypmed.2023.107775</t>
  </si>
  <si>
    <t>Long-term trend of future Cancer onset: A model-based prediction of Cancer incidence and onset age by region and gender.</t>
  </si>
  <si>
    <t>['Bayesian age-period-cohort model', 'Cancer', 'Global burden of diseases', 'Incidence', 'Onset age', 'Prediction']</t>
  </si>
  <si>
    <t>Objectives: This study provided estimates of cancer incidence rate and onset age by Socio-demographic Index (SDI) regions and gender from 2020 to 2040, aiming to clarify the long-term patterns of future cancer onset. Method: Based on the incidence data from the Global Burden of Diseases (GBD) 2019 study, we constructed the Bayesian age-period-cohort model to calculate the age-standardized incidence rates (ASIR) of cancers from 2020 to 2040. Using the average annual percentage change (AAPC) to quantify the trends of ASIR and the onset age. In addition, the incidences in 2019 were fixed to distinguish the age onset changes caused by demographic and incidence from 2020 to 2040. Results: Globally, two-thirds of cancers have escalating trends of incidence rate, and the proportion of cancer weighted average onset age above 60 years old will grow from 62% to 76% between 2020 and 2040. In five SDI regions, the proportion of weighted average onset age above 60 years old will rise above 10% in the next 20 years and increase sequentially with the rise of the SDI level. Preclude sex-specific cancers, the onset age is younger in men than in women in 2040. Rule out the influence of changing demographics, half of cancer's morbidity has a youth-oriented tendency globally, which is concentrated in hormone-related and digestive tract cancer. Conclusion: From 2020 to 2040, the incidence and onset age changes demonstrate marked geographic and gender variations in the cancer spectrum. Cancer incidence and onset age are predicted to continuously increase worldwide in the future.</t>
  </si>
  <si>
    <t>SCOPUS_ID:33847053958</t>
  </si>
  <si>
    <t>10.1097/01.ede.0000253934.58618.98</t>
  </si>
  <si>
    <t>Residential magnetic fields, medication use, and the risk of breast cancer</t>
  </si>
  <si>
    <t>BACKGROUND: Exposure to 60-Hz magnetic fields may increase breast cancer risk by suppressing the nocturnal production of melatonin. The use of medications associated with reduced melatonin levels could modify this relationship. METHODS: We recontacted participants in a population-based case-control study of residential magnetic field exposure and breast cancer risk and interviewed them regarding medication use during the 10 years before diagnosis. Cases were diagnosed between November 1992 and March 1995, and magnetic field levels were measured in the home at diagnosis. We obtained medication use information by telephone interview from 558 cases and 588 controls. RESULTS: Breast cancer risk was not associated with exposure to residential magnetic fields, regardless of medication use. CONCLUSIONS: These results support previous findings that magnetic field exposure does not increase breast cancer risk. Â© 2007 Lippincott Williams &amp; Wilkins, Inc.</t>
  </si>
  <si>
    <t>SCOPUS_ID:85110464476</t>
  </si>
  <si>
    <t>10.1007/s10654-021-00783-z</t>
  </si>
  <si>
    <t>Body mass index and height in young adult men in relation to subsequent risk of mood disorder</t>
  </si>
  <si>
    <t>['Bipolar disorder', 'Body mass index', 'Cohort study', 'Depression', 'Height']</t>
  </si>
  <si>
    <t>Adolescence represents an important period in brain and mental development, which raises the question of whether measures of body size at entry into adult life influence the risk of developing mood disorders. We examined the association of BMI and height in a cohort of young men with risk of mood disorders throughout life. The study included 630,807 Danish men born 1939â€“1959 and 1983â€“1997 with measures of height and weight at conscription board examinations. Psychiatristâ€™s diagnosis of mood disorders was obtained from national patient registries from 1969 to 2016. The associations of BMI and height with mood disorders were estimated by Cox proportional hazard regression analyses adjusting for education, cognitive ability, migration status drug and alcohol misuse. During a mean follow-up of 26.3 years, 2,608 (0.6%) and 19,690 (3.1%) men were diagnosed with bipolar disorder and depression, respectively. We found an inverse linear association of BMI with risk of bipolar disorder, whereas the association of BMI with depression was curve-linear with a decline in risk until BMI around 25Â kg/m2, and an almost constant risk across the BMI range above 25Â kg/m2. Height was not associated with bipolar disorder or depression. Comparison of brothers, assumed to share family factors of possible influence on the risk of mood disorders, showed similar results although with wider confidence intervals. BMI in the lower range at menâ€™s entry into adulthood is inversely associated with risk of bipolar disorder and depression throughout adult life, whereas height is not related.</t>
  </si>
  <si>
    <t>SCOPUS_ID:0034756703</t>
  </si>
  <si>
    <t>10.1006/pmed.2001.0912</t>
  </si>
  <si>
    <t>Perceived environmental aesthetics and convenience and company are associated with walking for exercise among Australian adults</t>
  </si>
  <si>
    <t>['Environments', 'Mental health', 'Physical health', 'Social influences', 'Walking']</t>
  </si>
  <si>
    <t>Background. This study aimed to investigate relationships between environmental aesthetics, convenience, and walking companions and walking for exercise or recreation and to investigate differences in these relationships by sex and by reported physical and mental health. Methods. Analyses of cross-sectional self-report data from a statewide population survey of 3,392 Australian adults were used. Results. Men and women reporting a less aesthetically pleasing or less convenient environment were less likely to report walking for exercise or recreation in the past 2 weeks. Those respondents, particularly women, reporting no company or pet to walk with were also less likely to walk for exercise or recreation. Associations with environmental and social influences were observed for men and women reporting both good and poor physical and mental health. Conclusions. Perceived environmental aesthetics and convenience and walking companions are important correlates of walking for exercise among urban Australians. Acknowledging the cross-sectional nature of these data, findings support a case for evaluation of environmental policies to promote physical activity. Â© 2001 American Health Foundation and Academic Press.</t>
  </si>
  <si>
    <t>SCOPUS_ID:20244367283</t>
  </si>
  <si>
    <t>10.1093/oxfordjournals.aje.a117632</t>
  </si>
  <si>
    <t>Coronary heart disease prevalence and its relation to risk factors in American Indians: The strong heart study</t>
  </si>
  <si>
    <t>['Coronary disease', 'Diabetes mellitus', 'Hypertension', 'Indians, North American', 'Insulin', 'Lipoproteins', 'Obesity']</t>
  </si>
  <si>
    <t>Although coronary heart disease (CHD) is currently the leading cause of death among American Indians, information on the prevalence of CHD and its association with known cardiovascular risk factors is limited. The Strong Heart Study was initiated in 1988 to quantify cardiovascular disease and its risk factors among three geographically diverse groups of American Indians. Members of 13 Indian communities in Arizona, Oklahoma, and South and North Dakota between 45 and 74 years of age underwent a physical examination that included medical history; an electrocardiogram; anthropometric and blood pressure measurements; an oral glucose tolerance test; and measurements of fasting plasma lipoproteins, fibrinogen, insulin, hemoglobin A1C, and urinary albumin. Prevalence rates of definite myocardial infarction and definite CHD were higher in men than in women at all three centers (p &lt; 0.0001) and higher in those with diabetes mellitus (p = 0.002 in men and p = 0.0003 in women). Diabetes was associated with relatively higher prevalence rates of myocardial infarction (diabetic: nondiabetic prevalence ratio = 3.8 vs. 1.9) and CHD (prevalence ratio = 4.6 vs. 1.8) in women than in men. Prevalence rates of heart disease were lowest in the communities in Arizona; prevalence rates were similar in Oklahoma and South Dakota/North Dakota and were two- to threefold higher than those in Arizona. By logistic regression, prevalent CHD among American Indians was significantly and independently related to age, diabetes, hypertension, albuminuria, percentage of body fat, smoking, high concentrations of plasma insulin, and low concentrations of high density lipoprotein cholesterol. In contrast to reports from other non-Indian populations, diabetes was the strongest risk factor. The lower prevalence of CHD among Indians in Arizona is distinctive in view of their higher rates of diabetes, obesity, hypertension, and albuminuria, but it may be partly related to their low frequency of smoking and their low concentrations of total and low density lipoprotein cholesterol. These findings from the initial Strong Heart Study examination emphasize the importance of diabetes and its associated variables as risk factors for CHD in Native American populations. Â© 1995 by The Johns Hopkins University School of Hygiene and Public Health.</t>
  </si>
  <si>
    <t>SCOPUS_ID:0029095987</t>
  </si>
  <si>
    <t>10.1006/pmed.1995.1057</t>
  </si>
  <si>
    <t>Recruitment to a university alcohol program: Evaluation of social marketing theory and stepped approach model</t>
  </si>
  <si>
    <t>Background. This study was a first initiative to evaluate the application of social marketing theory (SMT) to increase attendance at an alcohol abuse education program for university residence hall students and to ascertain whether aggressive recruitment strategies are necessary as part of the stepped approach model (SAM) of service delivery. Method. SMT and public health strategies that include focus groups, in-depth interviews, and intercept interviews were used to develop recruitment materials in a Test Hall. These new recruitment materials were introduced to the residents in the Treatment Hall (N = 727) and were compared to the Usual Care, Control Hall (N = 706) which received the recruitment materials normally provided to residents as well as to three Historical Halls separately and combined which had used the Usual Care recruitment materials in the past. Results. The Treatment Hall percentage attendance was significantly superior (0.001 &lt; p &lt; 0.05) in all comparisons. The percentage attendance did not differ significantly from marketing literature expectations. The projections for campus-wide attendance for residence hall students were between 207 and 243 participants and for nationwide attendance, 36,900 Â± 8,185. Conclusions. The results suggest that the SMT and public health methods used are helpful in developing recruitment strategies and are an important initial step of the SAM and that a 'minimal intervention' recruitment strategy is a cost- effective approach that can have a dramatic impact. Â© 1995 Academic Press. All rights reserved.</t>
  </si>
  <si>
    <t>SCOPUS_ID:79956217853</t>
  </si>
  <si>
    <t>10.1136/jech.2009.104588</t>
  </si>
  <si>
    <t>Age of diagnosis for autism: Individual and community factors across 10 birth cohorts</t>
  </si>
  <si>
    <t>Background: The incidence of autism rose dramatically between 1992 and 2001, while the age at which children were first diagnosed declined. During this period the size and composition of the autism caseload has changed, but little is known about whether the factors associated with the timing of diagnosis may also have shifted. Using a multilevel analysis strategy, the individual and community-level factors associated with age of diagnosis were modelled across 10 birth cohorts of California children. Methods: Linked birth and administrative records on 17 185 children with diagnoses of autistic disorder born in California between 1992 and 2001 and enrolled with the California Department of Developmental Services (DDS) were analysed. Information on cases, their parents and their residential location were extracted from birth and DDS records. Zip codes of residence were matched to census data to create community-level measures. Multilevel linear models were estimated for each birth cohort, with individual-level effects for sex, race, parental characteristics, poverty status, birth order and symptom expression. At the community level measures of educational and economic composition, local autism prevalence and the presence of a child psychiatrist were included. Results: Children with highly educated parents are diagnosed earlier, and this effect has strengthened over time. There is a persistent gap in the age of diagnosis between high and low socioeconomic status (SES) children that has shrunk but not disappeared over time. Conclusion: Routine screening for autism in early childhood for all children, particularly those of low SES, is necessary to eliminate disparities in early intervention.</t>
  </si>
  <si>
    <t>SCOPUS_ID:84962766998</t>
  </si>
  <si>
    <t>10.1093/ije/dyv191</t>
  </si>
  <si>
    <t>Associations of sitting behaviours with all-cause mortality over a 16-year follow-up: The Whitehall II study</t>
  </si>
  <si>
    <t>['Mortality', 'Sedentary behaviour', 'Sitting', 'Television']</t>
  </si>
  <si>
    <t>Background: Sitting behaviours have been linked with increased risk of all-cause mortality independent of moderate to vigorous physical activity (MVPA). Previous studies have tended to examine single indicators of sitting or all sitting behaviours combined. This study aims to enhance the evidence base by examining the type-specific prospective associations of four different sitting behaviours as well as total sitting with the risk of allcause mortality. Methods: Participants (3720 men and 1412 women) from the Whitehall II cohort study who were free from cardiovascular disease provided information on weekly sitting time (at work, during leisure time, while watching TV, during leisure time excluding TV, and at work and during leisure time combined) and covariates in 1997-99. Cox proportional hazards models were used to investigate prospective associations between sitting time (h/week) and mortality risk. Follow-up was from date of measurement until (the earliest of) death, date of censor or July 31 2014. Results: Over 81 373 person-years of follow-up (mean follow-up time 15.762.2 years) a total of 450 deaths were recorded. No associations were observed between any of the five sitting indicators and mortality risk, either in unadjusted models or models adjusted for covariates including MVPA. Conclusions: Sitting time was not associated with all-cause mortality risk. The results of this study suggest that policy makers and clinicians should be cautious about placing emphasis on sitting behaviour as a risk factor for mortality that is distinct from the effect of physical activity.</t>
  </si>
  <si>
    <t>SCOPUS_ID:33748035052</t>
  </si>
  <si>
    <t>10.1093/aje/kwj208</t>
  </si>
  <si>
    <t>Occupational exposure and laryngeal and hypopharyngeal cancer risk in Central and Eastern Europe</t>
  </si>
  <si>
    <t>['Hypopharyngeal neoplasms', 'Laryngeal neoplasms', 'Occupational exposure']</t>
  </si>
  <si>
    <t>A multicenter case-control study was conducted during 1999-2002 in four European countries (Poland, Romania, Russia, and Slovakia) to evaluate the role of occupational exposures in risk of laryngeal/hypopharyngeal cancer. Male cancer cases (34 hypopharyngeal, 316 laryngeal) with full data on occupational history and nonoccupational factors were compared with 728 hospital controls for occupational exposure to 73 suspected carcinogens. Occupational history was evaluated by industrial hygienists blinded to case/control status. Elevated risks for ever exposure to coal dust were found for both hypopharyngeal (odds ratio (OR) = 4.19, 95% confidence interval (CI): 1.18, 14.89) and laryngeal (OR = 1.81, 95% CI: 0.94, 3.47) cancer, with clear dose-response patterns. Inclusion of a 20-year lag in the analysis strengthened these associations. Hypopharyngeal cancer risk was also significantly associated with exposure to mild steel dust (OR = 3.04, 95% CI: 1.39, 6.64) and iron compounds and fumes (OR = 2.74, 95% CI: 1.29, 5.84), without clear dose-response relations. Laryngeal cancer was significantly associated with exposure to hard-alloys dust (OR = 2.23, 95% CI: 1.08, 4.57) and chlorinated solvents (OR = 2.18, 95% CI: 1.03, 4.61), without dose-response relations. A possible link between high formaldehyde exposure and laryngeal cancer was suggested. No association was found for exposure to asbestos or inorganic acid mists. These data indicate that occupational exposure to coal dust may play a role in laryngeal and hypopharyngeal cancer. Other possible relations need further evaluation. Copyright Â© 2006 by the Johns Hopkins Bloomberg School of Public Health All rights reserved.</t>
  </si>
  <si>
    <t>SCOPUS_ID:0035183333</t>
  </si>
  <si>
    <t>10.1097/00001648-200101000-00010</t>
  </si>
  <si>
    <t>Is there harvesting in the association of airborne particles with daily deaths and hospital admissions?</t>
  </si>
  <si>
    <t>['Air pollution', 'Chronic obstructive pulmonary disease', 'Death', 'Heart disease', 'Hospital admissions', 'Particles', 'PM 10', 'Pneumonia']</t>
  </si>
  <si>
    <t>Although many studies have shown that airborne particles are associated with increased daily death and hospitalization rates, some have questioned whether these events are occurring in persons who would die or enter the hospital within a few days in any case. This hypothesis is usually called the harvesting effect. Harvesting is postulated to occur because the size of the pool of susceptibles decreases as a result of air pollution. I have developed a framework for examining this hypothesis. I used a smoothing technique that allowed me to examine the association between daily deaths and daily hospital admissions net of any such rebound that occurred within a fixed time scale. By varying that time scale I could look at effects net of rebounds on successively larger time scales, ranging from 15 to 60 days. I examined daily deaths and hospital admissions in Chicago for the years 1988-1993. In baseline analyses, particulate matter less than 10 Î¼m in aerodynamic diameter (PM10) was associated with increased daily deaths and hospital admissions for heart disease, pneumonia, and chronic obstructive pulmonary disease. A 10 Î¼g/m3 increase in PM10 was associated with a 0.89% increase in daily deaths (95% confidence interval = 0.61-1.16%), for example. Using smoothing to look at effects net of short-term rebounds, the effect-size estimates for daily deaths and for chronic obstructive pulmonary disease admissions more than doubled. They did not change for pneumonia and heart disease admissions. The increased effect size for daily deaths occurred only for deaths outside of the hospital. These results are consistent with air pollution increasing the size of the risk pool and for most of the deaths being advanced by months to years.</t>
  </si>
  <si>
    <t>SCOPUS_ID:0030997166</t>
  </si>
  <si>
    <t>10.1006/pmed.1996.9990</t>
  </si>
  <si>
    <t>A controlled trial of educational strategies to teach medical students brief intervention skills for alcohol problems</t>
  </si>
  <si>
    <t>Objectives. Comparatively little is known about the most effective educational strategies to train medical students to successfully intervene in their patients' alcohol problems. The relative effectiveness of two educational programs to teach medical students brief intervention skills for managing alcohol problems was examined. Methods. Teaching took place over 3 hr and was either the traditional didactic teaching program on the principles and practice of brief and early intervention or an interactive program involving a shortened lecture, clinical practice, and small group feedback on clinical performance. Students were assessed on a 10-min videotaped encounter with a simulated patient before and after teaching according to how they addressed alcohol-related issues and on their general interactional skills. Results. Performance on alcohol-related issues and interactional skills were significantly improved after teaching, although still poor in terms of clinical performance. A between-groups comparison on pre/postteaching difference scores indicated interactive training was no more effective than traditional didactic lectures in developing the knowledge and skills needed for a brief alcohol intervention. Conclusion. The need for more detailed teaching sessions on sensitive areas such as alcohol use is indicated.</t>
  </si>
  <si>
    <t>SCOPUS_ID:85178494525</t>
  </si>
  <si>
    <t>10.1097/EDE.0000000000001684</t>
  </si>
  <si>
    <t>Flexible Machine Learning Estimation of Conditional Average Treatment Effects: A Blessing and a Curse</t>
  </si>
  <si>
    <t>['Causal inference', 'Heterogeneity of treatment effects', 'Individual treatment effect', 'Machine learning', 'Unmeasured effect modifiers']</t>
  </si>
  <si>
    <t>Causal inference from observational data requires untestable identification assumptions. If these assumptions apply, machine learning methods can be used to study complex forms of causal effect heterogeneity. Recently, several machine learning methods were developed to estimate the conditional average treatment effect (ATE). If the features at hand cannot explain all heterogeneity, the individual treatment effects can seriously deviate from the conditional ATE. In this work, we demonstrate how the distributions of the individual treatment effect and the conditional ATE can differ when a causal random forest is applied. We extend the causal random forest to estimate the difference in conditional variance between treated and controls. If the distribution of the individual treatment effect equals that of the conditional ATE, this estimated difference in variance should be small. If they differ, an additional causal assumption is necessary to quantify the heterogeneity not captured by the distribution of the conditional ATE. The conditional variance of the individual treatment effect can be identified when the individual effect is independent of the outcome under no treatment given the measured features. Then, in the cases where the individual treatment effect and conditional ATE distributions differ, the extended causal random forest can appropriately estimate the variance of the individual treatment effect distribution, whereas the causal random forest fails to do so.</t>
  </si>
  <si>
    <t>SCOPUS_ID:1542327661</t>
  </si>
  <si>
    <t>10.1093/aje/kwh059</t>
  </si>
  <si>
    <t>Obesity and the Risk of Parkinson's Disease</t>
  </si>
  <si>
    <t>['Body composition', 'Body mass index', 'Obesity', 'Parkinson disease', 'Prospective studies']</t>
  </si>
  <si>
    <t>Dopamine is involved in the regulation of food intake, and obese persons have decreased dopamine D2 receptor availability in the striatum. Furthermore, midlife triceps skinfold thickness has been found to be positively associated with the risk of Parkinson's disease (PD) among Japanese-American men in Hawaii. The authors prospectively investigated whether obesity was associated with PD risk in two large cohorts of US men and women. They documented 249 cases of PD in men (1986-2000) and 202 cases in women (1976-1998). Neither baseline body mass index (weight (kg)/height (m)2) nor early adult body mass index was associated with PD PID risk. The multivariate relative risk for a baseline body mass index of â‰¥30 versus &lt;23 was 0.8 (95% confidence interval (CI): 0.6, 1.2; p for trend = 0.3). Overall, waist circumference and waist-to-hip ratio were not related to PD risk. However, among never smokers, both variables showed significantly positive associations with PD risk. The relative risks for comparisons of extreme quintiles were 1.9 (95% CI: 1.0, 3.4; p for trend = 0.03) for waist circumference and 2.0 (95% CI: 1.1, 3.6; p for trend = 0.03) for waist-to-hip ratio. The results do not support a role of overall obesity in PD pathogenesis; however, central obesity may be associated with higher PD risk among never smokers, and this finding merits further investigation.</t>
  </si>
  <si>
    <t>SCOPUS_ID:0037564790</t>
  </si>
  <si>
    <t>10.2105/AJPH.93.6.933</t>
  </si>
  <si>
    <t>An Individually Tailored Intervention for HIV Prevention: Baseline Data from the EXPLORE Study</t>
  </si>
  <si>
    <t>Objectives. We describe the intervention tested in EXPLORE, an HIV prevention trial aimed at men who have sex with men (MSM), and test the empirical basis of the individually tailored intervention. Methods. Data on participants' self-efficacy, communication skills, social norms, and enjoyment of unprotected anal intercourse were examined in relation to sexual risk. Combinations of these factors, together with alcohol use and noninjection drug use, were also examined. Results. The individual factors examined were associated with sexual risk behavior. The cohort was shown to be heterogeneous in regard to the presence of combinations of these risk-related factors. Conclusions. Baseline data from the EXPLORE study support the efficacy of the individually tailored intervention used.</t>
  </si>
  <si>
    <t>SCOPUS_ID:84961266437</t>
  </si>
  <si>
    <t>10.1136/jech-2014-204914</t>
  </si>
  <si>
    <t>Adverse psychosocial work factors, blood pressure and hypertension incidence: Repeated exposure in a 5-year prospective cohort study</t>
  </si>
  <si>
    <t>Background Two main theoretical models have been used to assess the impact of psychosocial work factors on blood pressure (BP): The demand-control (DC) model and the effort-reward imbalance (ERI) model. Previous studies have mostly used a single time point exposure to examine this association. Objective To examine the effect of repeated job strain and ERI exposure on (1) ambulatory BP (ABP) evolution over 5 years and (2) hypertension incidence over 5 years. Method The design is a prospective cohort study. The study population was composed of 1394 white-collar workers (568 men and 826 women). They were assessed three times during a 5-year period (years 1, 3 and 5). At each time, psychosocial work factors were measured using validated scales and ABP was measured every 15 min during a working day. Results Men who were chronically exposed over 5 years to an active job had a higher cumulative incidence of hypertension (RR=2.05, 95% CI 1.36 to 3.09), compared with never-exposed men. In women, ERI exposure onset was associated with higher increases in systolic ABP (+2.5 mm Hg). No association was found between chronic high-strain exposure and ABP. Conclusions Chronic exposure to active jobs in men led to a higher risk of hypertension and ERI exposure onset in women led to increases in systolic ABP. Results from the present study highlight the need to consider chronic exposure in order to fully capture the deleterious effect of adverse psychosocial work stressors on cardiovascular health.</t>
  </si>
  <si>
    <t>SCOPUS_ID:9144235584</t>
  </si>
  <si>
    <t>10.1136/jech.58.1.18</t>
  </si>
  <si>
    <t>Traffic related air pollution and incidence of childhood asthma: Results of the Vesta case-control study</t>
  </si>
  <si>
    <t>Study objective: The Vesta project aims to assess the role of traffic related air pollution in the occurrence of childhood asthma. Design and setting: Case-control study conducted in five French metropolitan areas between 1998 and 2000. A set of 217 pairs of matched 4 to 14 years old cases and controls were investigated. An index of lifelong exposure to traffic exhausts was constructed, using retrospective information on traffic density close to all home and school addresses since birth; this index was also calculated for the 0-3 years age period to investigate the effect of early exposures. Main results: Adjusted on environmental tobacco smoke, personal and parental allergy, and several confounders, lifelong exposure was not associated with asthma. In contrast, associations before age of 3 were significant: odds ratios for tertiles 2 and 3 of the exposure index, relative to tertile 1, exhibited a positive trend (1.48 (95%Cl = 0.7 to 3.0) and 2.28 (1.1 to 4.6)), with greater odds ratios among subjects with positive skin prick tests. Conclusions: These results suggest that traffic related pollutants might have contributed to the asthma epidemic that has taken place during the past decades among children.</t>
  </si>
  <si>
    <t>SCOPUS_ID:34548613771</t>
  </si>
  <si>
    <t>10.1007/s10654-007-9149-7</t>
  </si>
  <si>
    <t>Timing of blood extraction in epidemiologic and proteomic studies: Results and proposals from the PANKRAS II Study</t>
  </si>
  <si>
    <t>['"-omics" research', 'Blood extraction', 'Epidemiology', 'Epidemiology/methods', 'Epidemiology/standards', 'Genomics', 'Lipids/blood', 'Molecular', 'Pancreatic neoplasms', 'Proteomics', 'Research design/organization and administration']</t>
  </si>
  <si>
    <t>There are no consensus guidelines or standards for epidemiologic and '-omics' studies using blood biomarkers on how to report the timing of extraction of blood samples. However, disease-induced changes in blood concentrations of exogenous and endogenous compounds may bias studies. The aim of the present report is to describe the timing of blood collection with respect to a variety of relevant clinical events in the PANKRAS II Study, and to suggest ways to display graphically the quantitative information. Subjects were 167 incident cases of exocrine pancreatic cancer prospectively recruited in five teaching hospitals in eastern Spain. Over 80% of patients had blood extracted during the first 6 months since onset of cancer symptoms, and 82% within the first month of admission to a study hospital. Over 80% of cases had blood drawn after an ultrasound, a CT scan or an ERCP, 25% after a laparotomy, and 37% after treatment onset. All three intervals from blood extraction to diagnosis, to treatment onset and to interview had a median of 0 days, and 88% of cases had blood drawn within 2 weeks of diagnosis. Over 72% of cases had concentrations of total lipids in the medium, normal range. Results suggest ways to report intervals involving blood biomarkers and may contribute to develop consensus guidelines and standards on the collection of blood samples in epidemiologic and '-omics' research. Â© 2007 Springer Science+Business Media B.V.</t>
  </si>
  <si>
    <t>SCOPUS_ID:85184013780</t>
  </si>
  <si>
    <t>10.1093/eurpub/ckad187</t>
  </si>
  <si>
    <t>Preschool children from lower household incomes experience inequality in asthma treatment: findings from a Danish nationwide cohort study</t>
  </si>
  <si>
    <t>Background: The obligation to pay for asthma medication in a country with universal healthcare might lead to increased asthma exacerbations and inequitable healthcare access for children from low-income households. Thus, the aim of this study was to examine the association between household income and childhood/preschool asthma regarding hospitalization and medication receipt. Methods: In this nationwide register-based cohort study, we encompassed all 3-year-old children residing in Denmark, born between 2000 and 2014, along with their linked parents and followed them until their sixth birthday. Household income was divided into quartiles. Asthma was categorized in two mutually exclusive groups as either the redemption of two prescriptions for asthma medication or receiving a hospital diagnosis. We utilized Poisson regression to estimate the risk ratio (RR). Results: The analysis included 834 422 preschool children. The prevalence of asthma dependent on medication alone was 7.3%, while 1.8% of children necessitated asthma-related hospitalization. Income inequality was evident across all income quartiles. Notably, children from the lowest income quartile had a RR of 0.95 (95% CI: 0.92â€“0.98) of redeeming asthma medication and conversely a RR of 1.18 (95% CI: 1.14â€“1.23) of asthma-related hospitalization. Conclusions: Despite universal healthcare, income inequality has a dual impact on children from low-income households. They face a diminished risk of redeeming asthma medication and a higher susceptibility to asthma-related hospitalizations indicating an unequal access to healthcare. Prioritizing efforts to reduce childhood health inequalities is crucial. However, further research, particularly qualitative studies, is needed to better comprehend the underlying mechanisms to address the complexities of income inequality.</t>
  </si>
  <si>
    <t>SCOPUS_ID:0029780724</t>
  </si>
  <si>
    <t>10.1007/bf00145300</t>
  </si>
  <si>
    <t>Family outbreak of alimentary tick-borne encephalitis in Slovakia associated with a natural focus of infection</t>
  </si>
  <si>
    <t>['Alimentary infections', 'Slovakia', 'Tick-borne encephalitis']</t>
  </si>
  <si>
    <t>A family outbreak of tick-borne encephalitis involving 7 people, all of them hospitalized, was observed in the district of Povazska Bystrica (central Slovakia). The disease was associated with the drinking of unboiled goat milk and tick-borne encephalitis virus was recovered from Ixodes ricinus ticks collected from places where goats were grazing.</t>
  </si>
  <si>
    <t>Slovakia</t>
  </si>
  <si>
    <t>SCOPUS_ID:17844363699</t>
  </si>
  <si>
    <t>10.1016/j.ypmed.2004.09.035</t>
  </si>
  <si>
    <t>Examining the relationships among built environment, physical activity, and body mass index in El Paso, TX</t>
  </si>
  <si>
    <t>['BMI', 'Geocoding', 'Hispanic']</t>
  </si>
  <si>
    <t>Objective. The current study examined the relationships among built environment, physical activity, and body mass index (BMI) in a primarily Hispanic border community in El Paso, TX. Methods. Data from a 2001 community-wide health survey were matched to environmental data using geocoding techniques in ARC VIEW software. A total of 996 adults were surveyed by phone and 452 were successfully geocoded. Results. The sample was 71% female, 79% Hispanic, 42 Â± 17 years old, moderately acculturated, and had socioeconomic status (SES) levels of semi-skilled workers. Increasing BMI was related to less moderate intensity physical activity (P = 0.05), higher SES (P = 0.0003), worse overall health (P = 0.0004), and living in areas with greater land-use mix (less residential; P = 0.03). The relationship between overall health and BMI was in part mediated by higher numbers of barriers to physical activity in those with poor health, which lead to a decrease in moderate physical activity. These variables explained 20% of the variance in BMI. Conclusions. This is one of the first studies to find a positive relationship between land-use mix and BMI in a predominantly Hispanic, low-income community. The positive association between BMI and land-use mix may be due to the inclusion of individual SES as a controlling variable in the analyses, suggesting that SES may have a differential effect on how the built environment influences BMI in low- to moderate-income minority communities. Â© 2004 Elsevier Inc. All rights reserved.</t>
  </si>
  <si>
    <t>SCOPUS_ID:84872496621</t>
  </si>
  <si>
    <t>10.1016/j.ypmed.2012.11.013</t>
  </si>
  <si>
    <t>Linking depression symptom trajectories in adolescence to physical activity and team sports participation in young adults</t>
  </si>
  <si>
    <t>['Depression', 'Exercise', 'Longitudinal studies', 'Mental health', 'Sports']</t>
  </si>
  <si>
    <t>Objective: The objective of this study is to examine depressive symptom trajectories during adolescence as predictors of physical activity (PA) in young adulthood. Methods: Adolescents residing in Montreal, Canada (n = 860) reported their depressive symptoms every 3-4. months during high school in 20 data collections. Three years later, participants reported engaging in moderate and vigorous intensity PA and team sports participation. Trajectories of depressive symptoms were estimated using latent growth modeling and examined as predictors of PA outcomes. Results: Three depression symptom trajectory groups were identified during adolescence: low and declining depressive symptom scores (group 1; 37.8%); moderate and stable depressive symptom scores (group 2; 41.6%); and high increasing depressive symptom scores (group 3; 20.6%). In multivariable analyses, group 2 and group 3 participated in less moderate-intensity PA and were less likely to participate in team sports compared to group 1. Conclusions: The importance of examining intensity and type of PA as outcomes of depressive symptoms is highlighted. Targeted approaches are needed to encourage adolescents with moderate to high depression symptoms to engage in PA and team sports to improve their health and well-being. Â© 2012 Elsevier Inc.</t>
  </si>
  <si>
    <t>SCOPUS_ID:85083405785</t>
  </si>
  <si>
    <t>10.1093/ije/dyz094</t>
  </si>
  <si>
    <t>Software application profile: The Rapid Inquiry Facility 4.0: An open access tool for environmental public health tracking</t>
  </si>
  <si>
    <t>['cluster detection', 'Disease mapping', 'epidemiology', 'risk analysis', 'surveillance']</t>
  </si>
  <si>
    <t>The Rapid Inquiry Facility 4.0 (RIF) is a new user-friendly and open-access tool, developed by the UK Small Area Health Statistics Unit (SAHSU), to facilitate environment public health tracking (EPHT) or surveillance (EPHS). The RIF is designed to help public health professionals and academics to rapidly perform exploratory investigations of health and environmental data at the small-area level (e.g. postcode or detailed census areas) in order to identify unusual signals, such as disease clusters and potential environmental hazards, whether localized (e.g. industrial site) or widespread (e.g. air and noise pollution). The RIF allows the use of advanced disease mapping methods, including Bayesian small-area smoothing and complex risk analysis functionalities, while accounting for confounders. The RIF could be particularly useful to monitor spatio-temporal trends in mortality and morbidity associated with cardiovascular diseases, cancers, diabetes and chronic lung diseases, or to conduct local or national studies on air pollution, flooding, low-magnetic fields or nuclear power plants.</t>
  </si>
  <si>
    <t>SCOPUS_ID:77953601221</t>
  </si>
  <si>
    <t>10.2105/AJPH.2009.172460</t>
  </si>
  <si>
    <t>Connecting discovery and delivery: The need for more evidence on effective smoking cessation strategies for people living with HIV/AIDS</t>
  </si>
  <si>
    <t>Smoking prevalence among the 1.1 million Americans living with HIV/AIDS is 2 to 3 times higher than the 19.8% rate among the general population. Since 1990, scientists have worked toward the discovery of health risks related to smoking in people living with HIV/AIDS; however, few studies have evaluated the delivery of smoking cessation interventions for this population. Increasing linkages between discovery science and delivery science may facilitate a faster transition to delivery of smoking cessation interventions for people living with HIV/ AIDS.</t>
  </si>
  <si>
    <t>SCOPUS_ID:85054956231</t>
  </si>
  <si>
    <t>10.1093/aje/kwy102</t>
  </si>
  <si>
    <t>Associations of circulating 25-hydroxyVitamin D&lt;inf&gt;3&lt;/inf&gt; concentrations with incident, sporadic colorectal adenoma risk according to common Vitamin D-binding protein isoforms</t>
  </si>
  <si>
    <t>['Case-control studies', 'Colorectal neoplasms', 'Gene-environment interaction', 'Vitamin D', 'Vitamin D-binding protein']</t>
  </si>
  <si>
    <t>Concentration of 25-hydroxyvitamin D3 (25(OH)D3), the main circulating form of vitamin D, is inversely associated with incident, sporadic colorectal adenoma risk. We investigated whether this association differs by 2 functional variants in the vitamin D-binding protein (DBP) gene, group-specific component (GC), that encode for common protein isoforms Gc1s, Gc1f, and Gc2 linked to differences in vitamin D metabolism. We pooled data (418 patients with adenoma and 524 polyp-free control subjects) from 3 colonoscopy-based case-control studies (Minnesota, 1991-1994; North Carolina, 1994-1997; South Carolina, 2002). We estimated 25(OH)D3-adenoma associations, stratified by DBP isoforms, using multivariable logistic regression. Higher 25(OH)D3 concentrations were inversely associated with colorectal adenoma risk among those with the Gc2 isoform (per 10-ng/mL increase in 25(OH)D3, odds ratio = 0.71, 95% confidence interval: 0.56, 0.90), but not among those with only Gc1 isoforms (odds ratio = 1.07, 95% confidence interval: 0.87, 1.32; P for interaction = 0.03). Thus, the vitamin D-incident, sporadic colorectal adenoma association may differ by common DBP isoforms, and patients with the Gc2 isoform may particularly benefit from maintaining higher circulating 25(OH)D3 concentrations for adenoma prevention.</t>
  </si>
  <si>
    <t>SCOPUS_ID:84901945192</t>
  </si>
  <si>
    <t>10.1136/jech-2013-203767</t>
  </si>
  <si>
    <t>The association between green space and mental health varies across the lifecourse. a longitudinal study</t>
  </si>
  <si>
    <t>Background: Epidemiological studies on green space and health have relied almost exclusively on crosssectional designs, restricting understanding on how this relationship could vary across the lifecourse. Methods: We used multilevel linear regression to analyse variation in minor psychiatric morbidity over nine annual waves of the British Household Panel Survey (1996-2004). The sample was restricted to residents of urban areas who remained within their neighbourhoods for at least 12 months. The 12-item General Health Questionnaire and confounders were reported for 29 626 male and 35 781 female observations ( person-years). This individual-level dataset was linked to a measure of green space availability within each ward of residence. Regression models included age, gender, employment status, household tenure, marital status, education, smoking status and household income. Results: When not considering age, green space was associated with better mental health among men, but not women. Interaction terms fitted between age and green space revealed variation in the association between green space and mental health across the lifecourse and by gender. For men, the benefit of more green space emerged in early to mid-adulthood. Among older women, a curvilinear association materialised wherein those with a moderate availability of green space had better mental health. Conclusions: These findings illustrate how the relationship between urban green space and health can vary across the lifecourse, and they highlight the need for longitudinal studies to answer why green space may be better for health at some points in the lifecourse than others.</t>
  </si>
  <si>
    <t>SCOPUS_ID:34848820832</t>
  </si>
  <si>
    <t>10.1016/j.ypmed.2006.07.005</t>
  </si>
  <si>
    <t>Tobacco smoking in relation to pain in a national general population survey</t>
  </si>
  <si>
    <t>['General population', 'Number of pain locations', 'Pain intensity', 'Smoking']</t>
  </si>
  <si>
    <t>Background.: We examined whether smoking status including heavy smoking (20 or more cigarettes per day) is related to the number of pain locations and intensity of pain. Methods.: A probability sample of the German national population aged 18 to 79 including 7124 participants (response proportion: 61.4%) was used. All individuals underwent a health examination between 1997 and 1999. Ordinal logistic regression analyses were performed with number of pain locations and pain intensity as dependent variables which had been assessed by questionnaire. Results.: Former and current heavy smokers had higher odds for greater numbers of pain locations and for moderate and intense pain than never smokers after adjustment for analgesic medicament use and behavior-related risk factors. Female former heavy smokers had an adjusted odds ratio (OR) of 1.6 (95% confidence interval, CI, 1.2-2.2) and male former heavy smokers had an adjusted OR of 1.4 (CI 1.1-1.8) for higher numbers of pain locations compared to never smoking women and men respectively (female current smokers: OR 1.4, CI 1.0-1.9; male current smokers: OR 1.3, CI 1.1-1.7). Conclusion.: The findings suggest that former and current heavy smokers are more likely to report more pain locations and more intense pain than never smokers. Â© 2006 Elsevier Inc. All rights reserved.</t>
  </si>
  <si>
    <t>SCOPUS_ID:78650525695</t>
  </si>
  <si>
    <t>10.1016/j.ypmed.2010.10.006</t>
  </si>
  <si>
    <t>Serologic survey of pandemic influenza A (H1N1 2009) in Beijing, China</t>
  </si>
  <si>
    <t>['High risk group', 'Influencing factor', 'Pandemic influenza A (H1N1 2009) Seropositive rate']</t>
  </si>
  <si>
    <t>Objective: To examine the frequency and distribution of antibodies against pandemic influenza A (H1N1 2009) [H1N1] in populations in Beijing and elucidate influencing factors. Methods: In January 2010, a randomized serologic survey of pandemic influenza A (H1N1 2009) was carried out. Six districts that were randomly selected with a total of 4601 participants involved in the survey have their antibody level tested by hemagglutination inhibition assay. Results: Among the 4601 participants, the overall seropositive rate for pandemic influenza A (H1N1 2009) antibodies was 31.7%. The seropositivity prevalence in participants who received the pandemic H1N1 vaccination was 60.9%. Only 53.1% of the pandemic influenza A (H1N1 2009) seropositive individuals who had not received the vaccination experienced respiratory tract infection symptoms. Multivariate logistic regression revealed that factors such as age, occupation, dwelling type, whether the participant's family included students in school, and the vaccination history with pandemic influenza A (H1N1 2009) were associated with antibody titers (p&lt;. 0.05). Conclusions: Our data indicated that almost 30.0% of the residents had appropriate antibody titers against pandemic influenza A (H1N1 2009) in Beijing, and these titers may provide an immune barrier. Â© 2010 Elsevier Inc.</t>
  </si>
  <si>
    <t>SCOPUS_ID:0027501567</t>
  </si>
  <si>
    <t>10.1093/ije/22.5.772</t>
  </si>
  <si>
    <t>Hdl-cholesterol and breast cancer: A joint study in northern italy and southern france</t>
  </si>
  <si>
    <t>Fferraroni M (Istituto di Statistica Medica e Biometria, University of Milan, via G. Venezian 1, 20133 Milan, Italy), Gerber M, Decarli A, Richardson S, Marubini E, Crastes de Paulet P, Crastes de Paulet A and Pujol H. HDL-cholesterol and breast cancer: A joint study in Northern Italy and Sputhern France. International Journal of Epidemiology 1993; 22: 772-780. The goal of the present study is to evaluate HDL-cholesterol (HDL-C) as a marker of breast cancer (BC) risk. It is based on several epidemiological and biological studies and is justified by the rising incidence of breast cancer throughout the world. A hospital-based study on host-related risk factors and breast cancer, conducted with similar methods in northern Italy and southern France, provided the biological data, the information on the established BC risk factors and on nutrition for 307 cases and 329 controls. This data set allowed for a thorough analysis of the relationship of HDL-C with established risk factors for BC and also of its association with BC at the time of diagnosis. Most of our findings on HDL- C determinants in the control sample are comparable to previous studies. The BC risk factors associated with reproductive life correlate with HDL-C levels: the protective factors are associated with a lower level of HDL-C and inversely. The same is true for nutritional factors such as alcohol. For these determinants, the trend is similar for cases and controls, and HDL-C level appears to be related to oestrogen metabolism. Thus it may be considered as a marker of BC risk. Our results indicate that high HDL-C levels should be especially checked in women aged ^60 years, or in premenopausal women presenting a low BMI, or in postmenopausal women with an early menopause. Â© 1993, International Epidemiological Association.</t>
  </si>
  <si>
    <t>SCOPUS_ID:85196674298</t>
  </si>
  <si>
    <t>10.1016/j.ypmed.2024.108048</t>
  </si>
  <si>
    <t>Polygenic risk, childhood abuse and gene x environment interactions with depression development from middle to late adulthood: A U.S. national life-course study</t>
  </si>
  <si>
    <t>['Gender difference in gene X environment interaction', 'Gender differences in depression', 'Gender differences in mental health trajectories', 'Gene X physical abuse interaction', 'Life course study', 'Longitudinal depression', 'Polygenic depression risk']</t>
  </si>
  <si>
    <t>Objective: Utilizing national longitudinal data, this study examines how polygenic depression risk and childhood abuse interactively influence the life-course development of depressive conditions from middle to late adulthood. Method: Data from 7512 participants (4323 females and 3189 males) of European ancestry aged 51â€“90, retrieved from the U.S. Health and Retirement Study (1992â€“2020), were analyzed. Childhood physical abuse and polygenic depression score were the primary predictors. Depressive symptoms were assessed using the Center for Epidemiologic Studies-Depression (CES[sbnd]D) scale, and clinical depression risk was a binary indicator. Growth-curve linear mixed and logit mixed-effects models were conducted for analysis. Results: Increasing polygenic depression scores were associated with elevated CES-D levels and potential risks of clinical depression. Males experienced more detrimental effects of childhood abuse on depression development from ages 51 to 90 years. In contract, non-maltreated females generally exhibited higher depressive symptoms and clinical depression risk than males. A significant interactive effect was found between polygenic depression risk and childhood abuse among males. Higher depression levels and clinical risk were observed with increasing polygenic depression score among maltreated males, surpassing those of females with standardized polygenic score â‰¥0 from age 51 to 90 years. Conclusions: The interaction between childhood abuse and genetic factors significantly shaped lifelong depression trajectories in males, while the negative impact of abusive parenting remained constant regardless of polygenic depression risk among females. Individualized prevention and intervention strategies could be crucial in mitigating lifelong depression development, especially for high-genetic-risk males with a history of childhood physical abuse.</t>
  </si>
  <si>
    <t>SCOPUS_ID:0031596367</t>
  </si>
  <si>
    <t>10.1023/A:1007437200858</t>
  </si>
  <si>
    <t>Reported influenza in pregnancy and childlhood tumour</t>
  </si>
  <si>
    <t>['Childhood', 'Influenza', 'Pregnancy', 'Tumour']</t>
  </si>
  <si>
    <t>The present study was conducted to test the hypothesis that exposure to influenza in pregnancy increases the risk of tumour of certain type in childhood. Children ages 17 years or less diagnosed in Greece with brain tumours or neuroblastomas from 1982 to 1993 (n = 94) were contrasted to 210 controls selected from the same hospitals. Mothers of these children were interviewed about a variety of possible etiologic factors. The prevalence of influenza in Greece for each year during the period 1984-1992 was also compared with the number of children born during the same year who subsequently developed brain tumour or neuroblastoma. The results indicate a significant association between influenza in pregnant women and occurrence of tumour in index child (OR: 3.15, 95% CI: 1.13-8.77). These results persisted when adjustment for potential confounding factors was made. The findings should be interpreted cautiously because of lack of serologic documentation of information about infection obtained in interviews. A positive correlation (r = 0.74) of the number of tumour births by year of birth with the prevalence of influenza during the same year was also noted. This exploratory study is one of the few case-control studies of the epidemiology of childhood tumours in children, and the results suggest directions for future epidemiologic studies in this relatively uncharted field.</t>
  </si>
  <si>
    <t>SCOPUS_ID:0034468814</t>
  </si>
  <si>
    <t>10.1023/A:1007645703292</t>
  </si>
  <si>
    <t>Socioeconomic status, overweight and obesity in prepuberal children: A study in an area of Northern Italy</t>
  </si>
  <si>
    <t>['Child', 'Italy', 'Obesity', 'Social class']</t>
  </si>
  <si>
    <t>The aim of this study was to determine whether socio-economical status (SES) is associated with overweight and obesity in prepuberal children. In an area of North-Western Italy a sample of 1420 children, aged 10-11 years, had his/her height and weight recorded, (overweight and obesity were defined, respectively, as relative body weight â‰¥ 120% and â‰¥ 140%), and parents were requested to compile a questionnaire exploring some demographic and social conditions. 23% of the sample resulted overweight or obese. Prevalence rate ratios (PRR) of overweight and obesity (together) were calculated, adjusting for parents' age, parents' area of birth, and school district. PRR for mother's lowest educational level compared to the highest was 1.59 (95% CI: 1.19-2.13), while for father's education was 1.21 (0.90-1.63). PRRs for 'unemployed' or 'manual' mother compared to 'upper non manual' were respectively 1.83 (1.20-2.79) and 2.20 (1.31-3.68), while for 'unemployed' or 'manual' father were 2.63 (1.97-2.63), and 1.63 (1.27-2.09). The cultural resources of the mother, and the economical resources of the family seem to influence the prevalence of weight gain in prepuberal children. This should be taken into account when planning programs for the prevention or reduction of obesity in children.</t>
  </si>
  <si>
    <t>SCOPUS_ID:31344468345</t>
  </si>
  <si>
    <t>10.1016/j.ypmed.2005.09.012</t>
  </si>
  <si>
    <t>Can a handwashing intervention make a difference? Results from a randomized controlled trial in Jerusalem preschools</t>
  </si>
  <si>
    <t>['Communicable disease prevention', 'Community intervention trial', 'Handwashing', 'Health education', 'Health promotion', 'Pediatric communicable disease', 'Preschool illness absenteeism', 'Randomized controlled trial']</t>
  </si>
  <si>
    <t>Background. Preschools are often focal points for the spread of illness among young children. The objective of this preschool intervention trial was to determine whether a hygiene program can promote handwashing and thereby reduce illness absenteeism. Methods. This cluster randomized trial included 40 Jerusalem preschools with 1029 children for 6 baseline days and 66 study days, yielding 73,779 child days. The main outcomes were rates of handwashing and illness absenteeism. The intervention included an educational program and environmental changes. A simultaneous subtrial was run to test a home component. Results. This multi-site intervention program produced sustained behavioral and environmental changes over a 6-month period. An approximately threefold increase in handwashing with soap was observed among preschool children exposed to the intervention. Neither the preschool nor the home intervention program reduced illness absenteeism or overall absenteeism. Conclusions. This trial illuminates the potential of the preschool as a promising venue for health promotion activities leading to sustained behavioral change, yet suggests the need for enhanced approaches for reducing illness absenteeism. Â© 2005 Elsevier Inc. All rights reserved.</t>
  </si>
  <si>
    <t>SCOPUS_ID:61649117292</t>
  </si>
  <si>
    <t>10.1016/j.ypmed.2009.01.005</t>
  </si>
  <si>
    <t>Built environment and changes in blood pressure in middle aged and older adults</t>
  </si>
  <si>
    <t>['Blood pressure', 'Prospective study', 'Urban health']</t>
  </si>
  <si>
    <t>Objective: Few studies have examined interaction effects between person and environment, especially for cardiovascular disease (CVD) risk. The purpose of this study was to examine built environment characteristics and resident health behaviors as they relate to change in blood pressure, an important component of CVD. Methods: Participants (N = 1145, aged 50-75 at baseline) were recruited from 120 neighborhoods in Portland, Oregon. Using a longitudinal design, we assessed changes in participants' systolic and diastolic blood pressure from baseline to 1-year follow-up (2006-2007 to 2007-2008). Independent variables included baseline neighborhood-level measures of GIS-constructed neighborhood walkability and density of fast-food restaurants, and resident-level measures of meeting physical activity recommendations and eating fruits and vegetables. Results: There was a small but significant resident-level increase in both systolic and diastolic blood pressure (P &lt; 0.001) over the 1-year observation period. A similar trend was also observed at the neighborhood level (P &lt; 0.001). Significant differences in change in blood pressure, by neighborhood walkability, were observed, with decreases in systolic and diastolic blood pressure for those living in high walkable neighborhoods (P &lt; 0.001). Neighborhoods of low walkability but with a high density of fast-food outlets and residents making visits to fast-food restaurants were significantly associated with increases in blood pressure measures over time. The negative effect of fast-food restaurants on blood pressure was diminished among high-walkable neighborhoods, with benefits observed among residents meeting guidelines for physical activity and eating fruits and vegetables. Conclusions: Neighborhoods with high walkability may ameliorate the risk of hypertension at the community level and promotion of neighborhood walkability could play a significant role in improving population health and reducing CVD risk. Â© 2009 Elsevier Inc. All rights reserved.</t>
  </si>
  <si>
    <t>SCOPUS_ID:84884141140</t>
  </si>
  <si>
    <t>10.2105/AJPH.2013.301317</t>
  </si>
  <si>
    <t>Grassroots movement building and preemption in the campaign for residential fire sprinklers</t>
  </si>
  <si>
    <t>Home fires account for 85% of fire deaths in the United States, the majority in 1- or 2-family homes lacking fire sprinklers. Since 1978, however, a grassroots movement has successfully promoted more than 360 local ordinances mandating sprinklers in all new residential construction, including 1- and 2-family homes. The homebuilding industry has responded by seeking state preemption of local authority, a strategy previously used by other industries concerned about protecting their profits. From 2009 through 2011, 13 states adopted laws eliminating or limiting local authority over residential fire sprinklers. This study of the residential sprinkler movement adds to our understanding of grassroots public health movements and provides additional evidence that preemption can have a negative impact on public health and safety.</t>
  </si>
  <si>
    <t>SCOPUS_ID:43049183473</t>
  </si>
  <si>
    <t>10.2105/AJPH.2007.111468</t>
  </si>
  <si>
    <t>Effects of enrollment in medicaid versus the State Children's Health Insurance Program on kindergarten children's untreated dental caries</t>
  </si>
  <si>
    <t>Objectives. We compared levels of untreated dental caries in children enrolled in public insurance programs with those in nonenrolled children to determine the impact of public dental insurance and the type of plan (Medicaid vs State Children's Health Insurance Program [SCHIP]) on untreated dental caries in children. Methods. Dental health outcomes were obtained through a calibrated oral screening of kindergarten children (enrolled in the 2000-2001 school year). We obtained eligibility and claims data for children enrolled in Medicaid and SCHIP who were eligible for dental services during 1999 to 2000. We developed logistic regression models to compare children's likelihood and extent of untreated dental caries according to enrollment. Results. Children enrolled in Medicaid or SCHIP were 1.7 times (95% confidence interval [CI]=1.65, 1.77) more likely to have untreated dental caries than were nonenrolled children. SCHIP-enrolled children were significantly less likely to have untreated dental caries than were Medicaid-enrolled children (odds ratio [OR]=0.74; 95% CI=0.67, 0.82). According to a 2-part regression model, children enrolled in Medicaid or SCHIP have 17% more untreated dental caries than do nonenrolled children, whereas those in SCHIP had 16% fewer untreated dental caries than did those in Medicaid. Conclusions. Untreated tooth decay continues to be a significant problem for children with public insurance coverage. Children who participated in a separate SCHIP program had fewer untreated dental caries than did children enrolled in Medicaid.</t>
  </si>
  <si>
    <t>SCOPUS_ID:85089294116</t>
  </si>
  <si>
    <t>10.1007/s10654-020-00669-6</t>
  </si>
  <si>
    <t>A case study in model failure? COVID-19 daily deaths and ICU bed utilisation predictions in New York state</t>
  </si>
  <si>
    <t>['COVID-19', 'Hospital resource utilisation', 'Model evaluation', 'Uncertainty quantification']</t>
  </si>
  <si>
    <t>Forecasting models have been influential in shaping decision-making in the COVID-19 pandemic. However, there is concern that their predictions may have been misleading. Here, we dissect the predictions made by four models for the daily COVID-19 death counts between March 25 and June 5 in New York state, as well as the predictions of ICU bed utilisation made by the influential IHME model. We evaluated the accuracy of the point estimates and the accuracy of the uncertainty estimates of the model predictions. First, we compared the â€œground truthâ€ data sources on daily deaths against which these models were trained. Three different data sources were used by these models, and these had substantial differences in recorded daily death counts. Two additional data sources that we examined also provided different death counts per day. For accuracy of prediction, all models fared very poorly. Only 10.2% of the predictions fell within 10% of their training ground truth, irrespective of distance into the future. For accurate assessment of uncertainty, only one model matched relatively well the nominal 95% coverage, but that model did not start predictions until April 16, thus had no impact on early, major decisions. For ICU bed utilisation, the IHME model was highly inaccurate; the point estimates only started to match ground truth after the pandemic wave had started to wane. We conclude that trustworthy models require trustworthy input data to be trained upon. Moreover, models need to be subjected to prespecified real time performance tests, before their results are provided to policy makers and public health officials.</t>
  </si>
  <si>
    <t>SCOPUS_ID:85037033393</t>
  </si>
  <si>
    <t>10.1136/jech-2017-209493</t>
  </si>
  <si>
    <t>Factors across the life course predict women's change in smoking behaviour during pregnancy and in midlife: Results from the National Child Development Study</t>
  </si>
  <si>
    <t>['birth cohort study', 'epidemiology', 'life course', 'pregnancy', 'smoking cessation']</t>
  </si>
  <si>
    <t>Background Tobacco smoking before, during and after pregnancy remains one of the few preventable factors associated with poor health outcomes for mothers and their children. We investigate predictors across the life course for change in smoking behaviour during pregnancy and whether this change predicts smoking status in midlife. Methods Data were from the National Child Development Study (1958 British birth cohort). We included female cohort members who reported a first pregnancy up to age 33 years. Among 1468 women who smoked before pregnancy, we examined predictors reported in childhood (age 11 years), adolescence (age 16 years) and early adulthood (age 23 years) of change in smoking behaviour from 12 months before to during pregnancy using log-binomial regression. The association between change in smoking behaviour during pregnancy and smoking status in midlife (age 55 years) was examined while adjusting for predictors across the life course. Results Among prepregnancy smokers (39%), 26% reduced and 35% quit smoking during pregnancy. Parental smoking and lower social class during childhood, and early adulthood lower social class, depression, early smoking initiation, high smoking intensity, living with a smoker, no pregnancy planning and early motherhood were associated with lower probability of smoking reduction or cessation in pregnancy. Compared with women who smoked before and during pregnancy, women who reduced or quit were two times more likely to be non-smoker at age 55 years (95% CI 1.76 to 2.20). Conclusions Findings from this population-based birth cohort study lend support for smoking cessation strategies that target those at risk at various stages across the life course.</t>
  </si>
  <si>
    <t>SCOPUS_ID:85074266956</t>
  </si>
  <si>
    <t>10.1136/jech-2019-212283</t>
  </si>
  <si>
    <t>Retrospective analysis of the 13-year trend in acute and elective surgery for patients aged 60 years and over at Auckland City Hospital, New Zealand</t>
  </si>
  <si>
    <t>['ageing', 'elderly', 'epidemiology', 'health inequalities', 'health services']</t>
  </si>
  <si>
    <t>Background As the worldwide population has aged, the number of surgical procedures performed on older patients has increased. It is not known whether this increase has been proportional to growth in the elderly population. The aim of this study was to assess the population-adjusted incidence of acute and elective general and orthopaedic surgery in older patients at a tertiary hospital in New Zealand. Methods This was a retrospective study using routinely collected electronic data from Auckland District Health Board (DHB) and New Zealand Ministry of Health databases. Population estimates and numbers of general surgical and orthopaedic procedures from 2004 to 2016 were obtained. Annual age-specific incidence rates of surgical procedures were calculated and trends analysed using negative binomial regression. Results The incidence of elective surgery increased by 5.35% annually from 2004 to 2016. The rate of increase is lower in the MÃ„ ori population (2.14%) compared with other ethnic groups (4.22%-5.62%). The incidence of acute surgery in those aged 70 years and above decreased from 2004 to 2016. The European and other ethnic group had the highest rate of acute surgery, and higher rates of elective surgery than Pacific and Asian peoples. Conclusion The increasing number of elective general surgical and orthopaedic procedures performed on older patients in Auckland DHB is beyond what is expected for population growth alone. This has significant implication for clinicians, healthcare providers and governmental institutions. Ethnic differences are evident and warrants further attention as these may reflect disparities in access to surgery.</t>
  </si>
  <si>
    <t>SCOPUS_ID:85129124785</t>
  </si>
  <si>
    <t>10.1007/s10654-022-00868-3</t>
  </si>
  <si>
    <t>Lifestyle and metabolic factors for nonalcoholic fatty liver disease: Mendelian randomization study</t>
  </si>
  <si>
    <t>['Lifestyle', 'Mendelian randomization', 'Metabolic factor', 'Nonalcoholic fatty liver disease']</t>
  </si>
  <si>
    <t>The risk factors for nonalcoholic fatty liver disease (NAFLD) have not been clearly identified. We conducted a Mendelian randomization (MR) study to explore this. Independent genetic variants strongly associated with 5 lifestyle and 9 metabolic factors were selected as instrumental variables from corresponding genome-wide association studies (GWASs). Summary-level data for NAFLD were obtained from a GWAS meta-analysis of 8434 cases and 770,180 non-cases (discovery dataset) and another GWAS meta-analysis of 1483 cases and 17,781 non-cases (replication dataset). Univariable and multivariable MR analyses were performed. There were associations with NAFLD for lifetime smoking index (odds ratio (OR) 1.59, 95% confidence interval (CI) 1.31â€“1.93 per SD-increase), body mass index (BMI, OR 1.33, 95% CI 1.23â€“1.43 per SD-increase), waist circumference (OR 1.82; 95% CI 1.48â€“2.24 per SD-increase), type 2 diabetes (OR 1.21, 95% CI 1.15â€“1.27 per unit increase in log-transformed odds), systolic blood pressure (OR 1.17; 95% CI 1.07â€“1.26 per 10Â mmHg increase), high-density lipoprotein cholesterol (OR 0.84, 95% CI 0.77â€“0.90 per SD-increase), and triglycerides (OR 1.23, 95% CI 1.15â€“1.33 per SD-increase). The associations for type 2 diabetes, systolic blood pressure, triglycerides, but not for high-density lipoprotein cholesterol remained strong after adjusting for genetically-predicted BMI. Genetic liability to type 2 diabetes mediated 51.4% (95% CI 13.4â€“89.3%) of the BMI-effects on NAFLD risk. There were suggestive inverse associations of genetically-predicted alcohol, coffee, and caffeine consumption, and vigorous physical activity with NAFLD risk. This study identified several lifestyle and metabolic factors that may be causally implicated in NAFLD.</t>
  </si>
  <si>
    <t>SCOPUS_ID:0028296207</t>
  </si>
  <si>
    <t>10.1097/00001648-199405000-00016</t>
  </si>
  <si>
    <t>Home injuries in children: A population-based intervention trial</t>
  </si>
  <si>
    <t>['Behavior', 'Child', 'Educational status', 'Injuries', 'Intervention study', 'Social class']</t>
  </si>
  <si>
    <t>We conducted a population-based intervention trial to evaluate the effectiveness of a program to prevent home injuries in children. We recruited a population of 1,015 young parent couples. Among those couples, we measured attitudes toward prevention of home injuries to children before and after the intervention. The intervention had limited effectiveness, which was somewhat greater among white-collar families and families with a higher paternal educational level. We found an association between the occurrence of injuries and educational level of the fathers (odds ratio = 1.7 and 1.9 for 6â€“ 12 years and &lt;6 years of school completed, respectively, us &gt;13 years). Â© 1994 Epidemiology Resources Inc.</t>
  </si>
  <si>
    <t>SCOPUS_ID:74049135290</t>
  </si>
  <si>
    <t>10.1136/jech.2008.085068</t>
  </si>
  <si>
    <t>A cross-national comparative perspective on racial inequities in health: The USA versus Canada</t>
  </si>
  <si>
    <t>Background: Cross-national comparisons allow the examination of the malleability of associations between race and health. Racial inequities in chronic conditions, indicators of health status and behavioural risk factors between two similar advanced capitalist countries were compared. It was hypothesised that racial inequities will be mitigated in Canada compared with the USA. Methods: Population-based, cross-sectional data from the 2002-3 Joint Canada-USA Survey of Health (JCUSH) with 4953 adult respondents from the USA and 3455 from Canada. Models adjusted for age, sex, foreign birth, marital status, health insurance, education, income and home ownership. Results: Compared with the USA, racial inequities in health were attenuated in Canada. In the USA, racial inequities in chronic diseases and fair or poor self-rated health were largely driven by inequities found among the native born. Strikingly, in Canada, however, there were few significant racial inequities and those occurred exclusively among the foreign born. Within strata of race and foreign birth, Canadians fared better, with both white people and non-white people reporting better health than their American counterparts. Foreign-born Canadians and Americans were more similar to each other in terms of health than native-born Canadians and Americans. Only among the native born did American white people and American non-white people have higher adjusted odds of hypertension, diabetes and obesity than Canadian white people and Canadian non-white people respectively. Self-rated health was worse for non-white Americans than non-white Canadians regardless of foreign birth. Conclusion: The influence of race on health is context dependent. There is no necessary link between race and a variety of health indicators.</t>
  </si>
  <si>
    <t>SCOPUS_ID:85099060634</t>
  </si>
  <si>
    <t>10.1136/jech-2020-215319</t>
  </si>
  <si>
    <t>After the bell: Adolescents' organised leisure-time activities and well-being in the context of social and socioeconomic inequalities</t>
  </si>
  <si>
    <t>['adolescents CG', 'mental health', 'self-rated health', 'social inequalities', 'sport']</t>
  </si>
  <si>
    <t>Background Previous research has linked adolescents' participation in organised leisure-time activities (OLTAs) to better health and well-being. It remains unclear whether these associations can be observed consistently across social and socioeconomic strata and countries. Methods The present study used nine nationally representative samples of adolescents aged 11, 13 and 15 years (total n=55 429) from the 2017/2018 Health Behaviour in School-aged Children survey from Europe and Canada. Regression models with mixed effects to account for nested nature of data were applied to estimate: (1) the associations of social and socioeconomic factors with OLTA participation; (2) strengths of the associations between breadth and pattern of OLTA participation with health and well-being indicators, after adjustment for the social and socioeconomic factors. Results Rates of OLTA participation varied by age, sex and country of adolescents. Participants from lower socioeconomic classes and non-nuclear families were less likely to participate in OLTAs across each of the nine countries. Moreover, breadth of OLTA participation was associated with higher well-being independent of socioeconomic status or family structure. All of the participation patterns were associated with higher life satisfaction, but sports (either alone or in combination with a non-sport OLTA) were also associated with fewer psychological complaints and excellent self-rated health. Conclusion Adolescents' engagement in OLTAs was associated with adolescents' subjective well-being regardless of country, age, sex and variance in social and socioeconomic factors. Policies aimed at increasing adolescents' subjective well-being and OLTA participation should focus on adolescents from low socioeconomic classes and non-nuclear families.</t>
  </si>
  <si>
    <t>Latvia</t>
  </si>
  <si>
    <t xml:space="preserve">The final statement is strong but not really a policy recommendation - hard one. </t>
  </si>
  <si>
    <t>I think it is worded carefully ('could'). Is the use of conditional something we could add to our algorithm?</t>
  </si>
  <si>
    <t>I dont know how frequent that is, but we might want to remove these?</t>
  </si>
  <si>
    <t>Agreed, maybe the tense is important here - can vs could.</t>
  </si>
  <si>
    <t xml:space="preserve">Yes research recommendation, not sure how to filter those, maybe iterations of further research needed </t>
  </si>
  <si>
    <t>Hard one, they do say policy implications but without specifying.</t>
  </si>
  <si>
    <t xml:space="preserve">We recommend followed by policy </t>
  </si>
  <si>
    <t>Agreed, with the use of 'strategies'</t>
  </si>
  <si>
    <t>Agreed, not sure what it picked up here</t>
  </si>
  <si>
    <t xml:space="preserve">not sure here as it is a practical implication rather than a policy implication. It is hard with the diversity of papers we have. Maybe discuss with our co-authors. </t>
  </si>
  <si>
    <t xml:space="preserve">Agreed, with the use of 'should' followed by clear policy implications. </t>
  </si>
  <si>
    <t>Agreed, clear policy recommendation, with use of 'should'</t>
  </si>
  <si>
    <t>This one made me think of our sample selection - on this topic they will obviously not make a policy recommendation but is it still ok to make a strong causal statement?</t>
  </si>
  <si>
    <t xml:space="preserve">Carefully worded but still a strong policy rec based on correlational analyses </t>
  </si>
  <si>
    <t>They talk about implications for… Might be stronger in the paper itself</t>
  </si>
  <si>
    <t>Review article</t>
  </si>
  <si>
    <t>Calls for the development of interventions</t>
  </si>
  <si>
    <t>They call for new thresholds, which might be a concrete interventions? hard to call this one</t>
  </si>
  <si>
    <t>Unclear whether the abstract is not truncated</t>
  </si>
  <si>
    <t>I didnt not understand that they were calling for RCTs?</t>
  </si>
  <si>
    <t xml:space="preserve">Truncated abstract, I can only see the methods. </t>
  </si>
  <si>
    <t>It is vaguely worded but the last sentence calls for alternative policy focus, e.g. public educatino</t>
  </si>
  <si>
    <t>Compelling evidence' for intervention</t>
  </si>
  <si>
    <t>Strong claim on effectiveness of intervention in RCT</t>
  </si>
  <si>
    <t>Vaguely worded but calls for policy changes</t>
  </si>
  <si>
    <t>edited scripts to exclude abstracts &lt;100 words</t>
  </si>
  <si>
    <t>I don't think so for the terms approach. For the analysis in which study design is correlated with claims, we can manually screen the "made policy claim" group.</t>
  </si>
  <si>
    <t>agree - may be intrinsic limit of LLMs</t>
  </si>
  <si>
    <t>good, in which case all agree</t>
  </si>
  <si>
    <t>me neither - all we can do is a the best with our prompts</t>
  </si>
  <si>
    <t>agree - The LLM gave good reasoning for this call when I asked it (It suggests that current regulatory standards ("permissible exposure limits") may need revision—a clear call for attention from policymakers or occupational safety regulators.</t>
  </si>
  <si>
    <t>LLM stated TRUE in latest prompt</t>
  </si>
  <si>
    <t>latest filtering should remove</t>
  </si>
  <si>
    <t>OK for discrepency if marginal</t>
  </si>
  <si>
    <t>LLM prompt edited for generic "this has policy implications" abstracts. New prompt=TRUE</t>
  </si>
  <si>
    <t>I added to the LLM prompt that research recommendations don't count as policy recommendations; they might not be able to distinguish. New prompt=FALSE</t>
  </si>
  <si>
    <t>n</t>
  </si>
  <si>
    <t>Matches</t>
  </si>
  <si>
    <t>Po</t>
  </si>
  <si>
    <t>p1_True</t>
  </si>
  <si>
    <t>p1_False</t>
  </si>
  <si>
    <t>p2_True</t>
  </si>
  <si>
    <t>p2_False</t>
  </si>
  <si>
    <t>Pe</t>
  </si>
  <si>
    <t>Kappa</t>
  </si>
  <si>
    <t>LLM vs EC</t>
  </si>
  <si>
    <t>terms vs EC</t>
  </si>
  <si>
    <t>DB vs EC</t>
  </si>
  <si>
    <t>Comparitors</t>
  </si>
  <si>
    <t>sufficient for comparisons  implausible to test for all</t>
  </si>
  <si>
    <t xml:space="preserve">clever selection of papers? So based on prior eg change across time or journal </t>
  </si>
  <si>
    <t>I think it's not a policy recommendation. Studies making strong causal claims != policy claims. An interesting but different RQ I think</t>
  </si>
  <si>
    <t>n/a it's a comment which describes past policy. Shouldn't be in the list but the filtering is imperfect</t>
  </si>
  <si>
    <t>test if calling for interventions to test !=policy</t>
  </si>
  <si>
    <t>marginal given it's a qual study, but doesn't directly make a policy claim? [on 2nd reading I could see this be TRUE, but I kept my original rating]</t>
  </si>
  <si>
    <t>note, 1 abstract removed from sample as to small, thus 99</t>
  </si>
  <si>
    <t>Kappa %</t>
  </si>
  <si>
    <t>MW review</t>
  </si>
  <si>
    <t>MW notes</t>
  </si>
  <si>
    <t>Strategies to improve birth outcomes for API mothers should consider variations in risk by API subgroup and multiple race/ethnicity.</t>
  </si>
  <si>
    <t>The findings support wider implementation of yoga programs for veterans.</t>
  </si>
  <si>
    <t>should be an integral component of disaster response in resource-poor countries.</t>
  </si>
  <si>
    <t>a pattern defined by sedentary behavior with diurnal sleep showed worse HRQL and should be a priority target of preventive interventions.</t>
  </si>
  <si>
    <t>This study provides an empirically informed demonstration that investment in combined strategies that target social determinants of mental illness and provide evidence-based treatment to those affected by psychiatric disorders can produce larger reductions in the population burden from violence-related PTSD than either preventive or treatment interventions alone</t>
  </si>
  <si>
    <t>Federal bans on flavored cigarettes and restrictions on age verification, payment, and shipping for Internet tobacco sales should be extended to include LCCs.</t>
  </si>
  <si>
    <t>A policy of not making adjustments for multiple comparisons is preferable because it will lead to fewer errors of interpretation when the data under evaluation are not random numbers but actual observations on nature</t>
  </si>
  <si>
    <t>Thus, concerted effort towards building a stronger ASP evidence-base for policy refinement is required</t>
  </si>
  <si>
    <t>These results have important implications for developing specific suicide prevention strategies that help screen, assess, and treat suicidal adults at the earliest possible time</t>
  </si>
  <si>
    <t>In order to reduce the incidence of mumps infections, the Department of Defense should consider obtaining antibody titers for measles, mumps, and rubella and vaccinating all individuals susceptible to one or more of the viruses.</t>
  </si>
  <si>
    <t>High-intensity primary care and access to specialty care services could reduce ED use.</t>
  </si>
  <si>
    <t>DM risk was raised among those with previous TB disease; this finding has implications for follow-up and screening of patients with TB, who may be at high risk of developing DM or related complications</t>
  </si>
  <si>
    <t>Although confirmatory longitudinal studies are needed, findings suggest that interventions to increase bicyclists’ helmet use consider riding domain.</t>
  </si>
  <si>
    <t>Interventions to reduce the risk of violence need to be targeted to specific subgroups with different clusters of problems related to violent behavior</t>
  </si>
  <si>
    <t>The alcohol industry’s current self-regulatory framework is ineffective at preventing content violations but could be improved by the use of new rating procedures designed to better detect content code violations.</t>
  </si>
  <si>
    <t>Additional steps need to be taken to ensure that patients with SMI are offered appropriate alternatives to nursing home care and receive adequate screening before admission to nursing home treatment.</t>
  </si>
  <si>
    <t>We argue that these needs can be met with a person-centered, digital self-management core resource that supports people to better understand their needs and priorities and has links to find the resources they need to manage their health, alone or by judicious use of health services.</t>
  </si>
  <si>
    <t>This study suggests that interventions may need to address women’s weight concerns and mood to help sustain smoking abstinence after childbirth</t>
  </si>
  <si>
    <t>Cybervictimization has similar psychological and somatic consequences for boys and girls, thus suggesting that intervention and prevention efforts should focus on both gender groups</t>
  </si>
  <si>
    <t>There is a need to strengthen the evidence base underpinning the provision of appropriate skilled care and treatment at the earliest possible opportunity.</t>
  </si>
  <si>
    <t>Appropriate implementation could markedly reduce HIV incidence if linked to opioid agonist treatment.</t>
  </si>
  <si>
    <t>The tendency for risk factors to aggregate has important implications for health promotion. Information on high-risk groups will help in planning future preventive strategies</t>
  </si>
  <si>
    <t>whole abstract is about recommending and describing these tools</t>
  </si>
  <si>
    <t>Berkeley’s excise tax reduced SSB consumption in low-income neighborhoods. Evaluating SSB taxes in other cities will improve understanding of their public health benefit and their generalizability.</t>
  </si>
  <si>
    <t>Economic factors such as insurance coverage and level of social support should be considered in evaluating and addressing eating habits in low-income, ethnic minority women.</t>
  </si>
  <si>
    <t>LHD officials are eager to embrace population mental health, but resources, training and education, and systems-level changes are needed</t>
  </si>
  <si>
    <t>There is a need to step up efforts and make health systems more accountable to the needs of HCW during global public health emergencies</t>
  </si>
  <si>
    <t>v1.9_updated LLM prompt claim</t>
  </si>
  <si>
    <t>v1_llm_policy_claim</t>
  </si>
  <si>
    <t>llm_policy_claim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</si>
</sst>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Helvetica Neue"/>
      <family val="2"/>
    </font>
    <font>
      <b/>
      <sz val="10"/>
      <color rgb="FF000000"/>
      <name val="Helvetica Neue"/>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quotePrefix="1"/>
    <xf numFmtId="0" fontId="14" fillId="0" borderId="0" xfId="0" applyFont="1"/>
    <xf numFmtId="0" fontId="16" fillId="0" borderId="0" xfId="0" applyFont="1"/>
    <xf numFmtId="164" fontId="0" fillId="0" borderId="0" xfId="0" applyNumberFormat="1"/>
    <xf numFmtId="0" fontId="19"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28C6-9F83-43F4-8252-B29F463EA77B}">
  <dimension ref="A1:W801"/>
  <sheetViews>
    <sheetView tabSelected="1" topLeftCell="M1" zoomScale="94" workbookViewId="0">
      <pane ySplit="1" topLeftCell="A2" activePane="bottomLeft" state="frozen"/>
      <selection pane="bottomLeft" activeCell="P120" sqref="P120"/>
    </sheetView>
  </sheetViews>
  <sheetFormatPr baseColWidth="10" defaultColWidth="8.83203125" defaultRowHeight="15" x14ac:dyDescent="0.2"/>
  <cols>
    <col min="3" max="3" width="18.6640625" customWidth="1"/>
    <col min="4" max="4" width="0" hidden="1" customWidth="1"/>
    <col min="5" max="6" width="8.83203125" hidden="1" customWidth="1"/>
    <col min="7" max="7" width="8.83203125" customWidth="1"/>
    <col min="8" max="8" width="25.33203125" customWidth="1"/>
    <col min="9" max="9" width="13" customWidth="1"/>
    <col min="10" max="10" width="21.6640625" bestFit="1" customWidth="1"/>
    <col min="11" max="11" width="11.6640625" customWidth="1"/>
    <col min="12" max="12" width="16" customWidth="1"/>
    <col min="13" max="13" width="28.83203125" customWidth="1"/>
    <col min="14" max="14" width="8.33203125" customWidth="1"/>
    <col min="15" max="15" width="52.1640625" customWidth="1"/>
    <col min="16" max="16" width="11.83203125" customWidth="1"/>
    <col min="17" max="17" width="26.5" customWidth="1"/>
    <col min="18" max="18" width="9.6640625" customWidth="1"/>
    <col min="19" max="19" width="0.1640625" customWidth="1"/>
    <col min="20" max="20" width="11.83203125" customWidth="1"/>
  </cols>
  <sheetData>
    <row r="1" spans="1:23" x14ac:dyDescent="0.2">
      <c r="A1" t="s">
        <v>0</v>
      </c>
      <c r="B1" t="s">
        <v>1</v>
      </c>
      <c r="C1" t="s">
        <v>2</v>
      </c>
      <c r="D1" t="s">
        <v>3</v>
      </c>
      <c r="E1" t="s">
        <v>4</v>
      </c>
      <c r="F1" t="s">
        <v>5</v>
      </c>
      <c r="G1" t="s">
        <v>6</v>
      </c>
      <c r="H1" t="s">
        <v>7</v>
      </c>
      <c r="I1" t="s">
        <v>8</v>
      </c>
      <c r="J1" t="s">
        <v>9</v>
      </c>
      <c r="K1" t="s">
        <v>3790</v>
      </c>
      <c r="L1" t="s">
        <v>10</v>
      </c>
      <c r="M1" t="s">
        <v>11</v>
      </c>
      <c r="N1" t="s">
        <v>12</v>
      </c>
      <c r="O1" t="s">
        <v>13</v>
      </c>
      <c r="P1" t="s">
        <v>11</v>
      </c>
      <c r="Q1" t="s">
        <v>3789</v>
      </c>
      <c r="T1" t="s">
        <v>3760</v>
      </c>
      <c r="U1" t="s">
        <v>3761</v>
      </c>
      <c r="W1" s="6" t="s">
        <v>3791</v>
      </c>
    </row>
    <row r="2" spans="1:23" x14ac:dyDescent="0.2">
      <c r="A2" t="s">
        <v>14</v>
      </c>
      <c r="B2" t="s">
        <v>15</v>
      </c>
      <c r="C2" t="s">
        <v>16</v>
      </c>
      <c r="D2" t="s">
        <v>17</v>
      </c>
      <c r="E2">
        <v>2011</v>
      </c>
      <c r="F2" t="s">
        <v>18</v>
      </c>
      <c r="G2" t="s">
        <v>19</v>
      </c>
      <c r="H2" t="s">
        <v>20</v>
      </c>
      <c r="I2">
        <v>59</v>
      </c>
      <c r="J2" t="b">
        <v>0</v>
      </c>
      <c r="K2" t="b">
        <v>0</v>
      </c>
      <c r="L2" t="b">
        <v>0</v>
      </c>
      <c r="N2" t="b">
        <v>0</v>
      </c>
      <c r="Q2" t="b">
        <v>0</v>
      </c>
      <c r="R2" t="str">
        <f t="shared" ref="R2:R33" si="0">IF(Q2&lt;&gt;N2,"!!!","")</f>
        <v/>
      </c>
      <c r="W2" s="7" t="b">
        <v>0</v>
      </c>
    </row>
    <row r="3" spans="1:23" x14ac:dyDescent="0.2">
      <c r="A3" t="s">
        <v>21</v>
      </c>
      <c r="B3" t="s">
        <v>22</v>
      </c>
      <c r="C3" t="s">
        <v>23</v>
      </c>
      <c r="D3" t="s">
        <v>24</v>
      </c>
      <c r="E3">
        <v>1999</v>
      </c>
      <c r="F3" t="s">
        <v>25</v>
      </c>
      <c r="G3" t="s">
        <v>26</v>
      </c>
      <c r="H3" t="s">
        <v>20</v>
      </c>
      <c r="I3">
        <v>139</v>
      </c>
      <c r="J3" t="b">
        <v>0</v>
      </c>
      <c r="K3" t="b">
        <v>1</v>
      </c>
      <c r="L3" t="b">
        <v>0</v>
      </c>
      <c r="M3" t="s">
        <v>27</v>
      </c>
      <c r="N3" t="b">
        <v>0</v>
      </c>
      <c r="O3" t="s">
        <v>3703</v>
      </c>
      <c r="P3" t="s">
        <v>3730</v>
      </c>
      <c r="Q3" t="b">
        <v>0</v>
      </c>
      <c r="R3" t="str">
        <f t="shared" si="0"/>
        <v/>
      </c>
      <c r="W3" s="7" t="b">
        <v>0</v>
      </c>
    </row>
    <row r="4" spans="1:23" x14ac:dyDescent="0.2">
      <c r="A4" t="s">
        <v>28</v>
      </c>
      <c r="B4" t="s">
        <v>29</v>
      </c>
      <c r="C4" t="s">
        <v>30</v>
      </c>
      <c r="D4" t="s">
        <v>17</v>
      </c>
      <c r="E4">
        <v>1999</v>
      </c>
      <c r="F4" t="s">
        <v>31</v>
      </c>
      <c r="G4" t="s">
        <v>32</v>
      </c>
      <c r="H4" t="s">
        <v>20</v>
      </c>
      <c r="I4">
        <v>201</v>
      </c>
      <c r="J4" t="b">
        <v>0</v>
      </c>
      <c r="K4" t="b">
        <v>0</v>
      </c>
      <c r="L4" t="b">
        <v>0</v>
      </c>
      <c r="N4" t="b">
        <v>0</v>
      </c>
      <c r="Q4" t="b">
        <v>0</v>
      </c>
      <c r="R4" t="str">
        <f t="shared" si="0"/>
        <v/>
      </c>
      <c r="W4" s="7" t="b">
        <v>0</v>
      </c>
    </row>
    <row r="5" spans="1:23" x14ac:dyDescent="0.2">
      <c r="A5" t="s">
        <v>33</v>
      </c>
      <c r="B5" t="s">
        <v>34</v>
      </c>
      <c r="C5" t="s">
        <v>35</v>
      </c>
      <c r="D5" t="s">
        <v>36</v>
      </c>
      <c r="E5">
        <v>2019</v>
      </c>
      <c r="F5" t="s">
        <v>25</v>
      </c>
      <c r="G5" t="s">
        <v>37</v>
      </c>
      <c r="H5" t="s">
        <v>38</v>
      </c>
      <c r="I5">
        <v>26</v>
      </c>
      <c r="J5" t="b">
        <v>0</v>
      </c>
      <c r="K5" t="b">
        <v>1</v>
      </c>
      <c r="L5" t="b">
        <v>0</v>
      </c>
      <c r="M5" s="3" t="s">
        <v>27</v>
      </c>
      <c r="N5" t="b">
        <v>0</v>
      </c>
      <c r="O5" t="s">
        <v>3704</v>
      </c>
      <c r="P5" t="s">
        <v>3729</v>
      </c>
      <c r="Q5" t="b">
        <v>0</v>
      </c>
      <c r="R5" t="str">
        <f t="shared" si="0"/>
        <v/>
      </c>
      <c r="W5" s="7" t="b">
        <v>1</v>
      </c>
    </row>
    <row r="6" spans="1:23" x14ac:dyDescent="0.2">
      <c r="A6" t="s">
        <v>39</v>
      </c>
      <c r="B6" t="s">
        <v>40</v>
      </c>
      <c r="C6" t="s">
        <v>41</v>
      </c>
      <c r="D6" t="s">
        <v>17</v>
      </c>
      <c r="E6">
        <v>2014</v>
      </c>
      <c r="F6" t="s">
        <v>42</v>
      </c>
      <c r="G6" t="s">
        <v>43</v>
      </c>
      <c r="H6" t="s">
        <v>20</v>
      </c>
      <c r="I6">
        <v>168</v>
      </c>
      <c r="J6" t="b">
        <v>0</v>
      </c>
      <c r="K6" t="b">
        <v>0</v>
      </c>
      <c r="L6" t="b">
        <v>0</v>
      </c>
      <c r="N6" t="b">
        <v>0</v>
      </c>
      <c r="Q6" t="b">
        <v>0</v>
      </c>
      <c r="R6" t="str">
        <f t="shared" si="0"/>
        <v/>
      </c>
      <c r="W6" s="7" t="b">
        <v>0</v>
      </c>
    </row>
    <row r="7" spans="1:23" x14ac:dyDescent="0.2">
      <c r="A7" t="s">
        <v>44</v>
      </c>
      <c r="B7" t="s">
        <v>45</v>
      </c>
      <c r="C7" t="s">
        <v>46</v>
      </c>
      <c r="D7" t="s">
        <v>47</v>
      </c>
      <c r="E7">
        <v>2014</v>
      </c>
      <c r="F7" t="s">
        <v>25</v>
      </c>
      <c r="G7" t="s">
        <v>48</v>
      </c>
      <c r="H7" t="s">
        <v>20</v>
      </c>
      <c r="I7">
        <v>65</v>
      </c>
      <c r="J7" t="b">
        <v>0</v>
      </c>
      <c r="K7" t="b">
        <v>0</v>
      </c>
      <c r="L7" t="b">
        <v>0</v>
      </c>
      <c r="M7" t="s">
        <v>49</v>
      </c>
      <c r="N7" t="b">
        <v>0</v>
      </c>
      <c r="O7" t="s">
        <v>3705</v>
      </c>
      <c r="P7" t="s">
        <v>3728</v>
      </c>
      <c r="Q7" t="b">
        <v>0</v>
      </c>
      <c r="R7" t="str">
        <f t="shared" si="0"/>
        <v/>
      </c>
      <c r="W7" s="7" t="b">
        <v>0</v>
      </c>
    </row>
    <row r="8" spans="1:23" x14ac:dyDescent="0.2">
      <c r="A8" t="s">
        <v>50</v>
      </c>
      <c r="B8" t="s">
        <v>51</v>
      </c>
      <c r="C8" t="s">
        <v>52</v>
      </c>
      <c r="D8" t="s">
        <v>53</v>
      </c>
      <c r="E8">
        <v>2009</v>
      </c>
      <c r="F8" t="s">
        <v>25</v>
      </c>
      <c r="G8" t="s">
        <v>54</v>
      </c>
      <c r="H8" t="s">
        <v>20</v>
      </c>
      <c r="I8">
        <v>366</v>
      </c>
      <c r="J8" t="b">
        <v>0</v>
      </c>
      <c r="K8" t="b">
        <v>0</v>
      </c>
      <c r="L8" t="b">
        <v>0</v>
      </c>
      <c r="N8" t="b">
        <v>0</v>
      </c>
      <c r="Q8" t="b">
        <v>0</v>
      </c>
      <c r="R8" t="str">
        <f t="shared" si="0"/>
        <v/>
      </c>
      <c r="W8" s="7" t="b">
        <v>0</v>
      </c>
    </row>
    <row r="9" spans="1:23" x14ac:dyDescent="0.2">
      <c r="A9" t="s">
        <v>55</v>
      </c>
      <c r="B9" t="s">
        <v>56</v>
      </c>
      <c r="C9" t="s">
        <v>57</v>
      </c>
      <c r="D9" t="s">
        <v>58</v>
      </c>
      <c r="E9">
        <v>2020</v>
      </c>
      <c r="F9" t="s">
        <v>59</v>
      </c>
      <c r="G9" t="s">
        <v>60</v>
      </c>
      <c r="H9" t="s">
        <v>61</v>
      </c>
      <c r="I9">
        <v>5</v>
      </c>
      <c r="J9" t="b">
        <v>0</v>
      </c>
      <c r="K9" t="b">
        <v>0</v>
      </c>
      <c r="L9" t="b">
        <v>0</v>
      </c>
      <c r="N9" t="b">
        <v>0</v>
      </c>
      <c r="Q9" t="b">
        <v>0</v>
      </c>
      <c r="R9" t="str">
        <f t="shared" si="0"/>
        <v/>
      </c>
      <c r="W9" s="7" t="b">
        <v>0</v>
      </c>
    </row>
    <row r="10" spans="1:23" x14ac:dyDescent="0.2">
      <c r="A10" t="s">
        <v>62</v>
      </c>
      <c r="B10" t="s">
        <v>63</v>
      </c>
      <c r="C10" t="s">
        <v>64</v>
      </c>
      <c r="D10" t="s">
        <v>17</v>
      </c>
      <c r="E10">
        <v>2018</v>
      </c>
      <c r="F10" t="s">
        <v>65</v>
      </c>
      <c r="G10" t="s">
        <v>66</v>
      </c>
      <c r="H10" t="s">
        <v>67</v>
      </c>
      <c r="I10">
        <v>24</v>
      </c>
      <c r="J10" t="b">
        <v>0</v>
      </c>
      <c r="K10" t="b">
        <v>0</v>
      </c>
      <c r="L10" t="b">
        <v>0</v>
      </c>
      <c r="M10" t="s">
        <v>68</v>
      </c>
      <c r="N10" t="b">
        <v>0</v>
      </c>
      <c r="O10" t="s">
        <v>3706</v>
      </c>
      <c r="P10" t="s">
        <v>3731</v>
      </c>
      <c r="Q10" t="b">
        <v>0</v>
      </c>
      <c r="R10" t="str">
        <f t="shared" si="0"/>
        <v/>
      </c>
      <c r="W10" s="7" t="b">
        <v>0</v>
      </c>
    </row>
    <row r="11" spans="1:23" x14ac:dyDescent="0.2">
      <c r="A11" t="s">
        <v>69</v>
      </c>
      <c r="B11" t="s">
        <v>70</v>
      </c>
      <c r="C11" t="s">
        <v>71</v>
      </c>
      <c r="D11" t="s">
        <v>24</v>
      </c>
      <c r="E11">
        <v>2015</v>
      </c>
      <c r="F11" t="s">
        <v>25</v>
      </c>
      <c r="G11" t="s">
        <v>72</v>
      </c>
      <c r="H11" t="s">
        <v>20</v>
      </c>
      <c r="I11">
        <v>73</v>
      </c>
      <c r="J11" t="b">
        <v>0</v>
      </c>
      <c r="K11" t="b">
        <v>0</v>
      </c>
      <c r="L11" t="b">
        <v>0</v>
      </c>
      <c r="M11" t="s">
        <v>49</v>
      </c>
      <c r="N11" t="b">
        <v>0</v>
      </c>
      <c r="Q11" t="b">
        <v>0</v>
      </c>
      <c r="R11" t="str">
        <f t="shared" si="0"/>
        <v/>
      </c>
      <c r="W11" s="7" t="b">
        <v>1</v>
      </c>
    </row>
    <row r="12" spans="1:23" x14ac:dyDescent="0.2">
      <c r="A12" t="s">
        <v>73</v>
      </c>
      <c r="B12" t="s">
        <v>74</v>
      </c>
      <c r="C12" t="s">
        <v>75</v>
      </c>
      <c r="D12" t="s">
        <v>24</v>
      </c>
      <c r="E12">
        <v>2008</v>
      </c>
      <c r="F12" t="s">
        <v>25</v>
      </c>
      <c r="G12" t="s">
        <v>76</v>
      </c>
      <c r="H12" t="s">
        <v>77</v>
      </c>
      <c r="I12">
        <v>312</v>
      </c>
      <c r="J12" t="b">
        <v>0</v>
      </c>
      <c r="K12" t="b">
        <v>0</v>
      </c>
      <c r="L12" t="b">
        <v>0</v>
      </c>
      <c r="N12" t="b">
        <v>0</v>
      </c>
      <c r="Q12" t="b">
        <v>0</v>
      </c>
      <c r="R12" t="str">
        <f t="shared" si="0"/>
        <v/>
      </c>
      <c r="W12" s="7" t="b">
        <v>0</v>
      </c>
    </row>
    <row r="13" spans="1:23" x14ac:dyDescent="0.2">
      <c r="A13" t="s">
        <v>78</v>
      </c>
      <c r="B13" t="s">
        <v>79</v>
      </c>
      <c r="C13" t="s">
        <v>80</v>
      </c>
      <c r="D13" t="s">
        <v>24</v>
      </c>
      <c r="E13">
        <v>1990</v>
      </c>
      <c r="F13" t="s">
        <v>25</v>
      </c>
      <c r="G13" t="s">
        <v>81</v>
      </c>
      <c r="H13" t="s">
        <v>20</v>
      </c>
      <c r="I13">
        <v>161</v>
      </c>
      <c r="J13" t="b">
        <v>0</v>
      </c>
      <c r="K13" t="b">
        <v>0</v>
      </c>
      <c r="L13" t="b">
        <v>0</v>
      </c>
      <c r="N13" t="b">
        <v>0</v>
      </c>
      <c r="Q13" t="b">
        <v>0</v>
      </c>
      <c r="R13" t="str">
        <f t="shared" si="0"/>
        <v/>
      </c>
      <c r="W13" s="7" t="b">
        <v>0</v>
      </c>
    </row>
    <row r="14" spans="1:23" x14ac:dyDescent="0.2">
      <c r="A14" t="s">
        <v>82</v>
      </c>
      <c r="B14" t="s">
        <v>83</v>
      </c>
      <c r="C14" t="s">
        <v>84</v>
      </c>
      <c r="D14" t="s">
        <v>85</v>
      </c>
      <c r="E14">
        <v>2013</v>
      </c>
      <c r="F14" t="s">
        <v>86</v>
      </c>
      <c r="G14" t="s">
        <v>87</v>
      </c>
      <c r="H14" t="s">
        <v>88</v>
      </c>
      <c r="I14">
        <v>129</v>
      </c>
      <c r="J14" t="b">
        <v>0</v>
      </c>
      <c r="K14" t="b">
        <v>1</v>
      </c>
      <c r="L14" t="b">
        <v>0</v>
      </c>
      <c r="M14" t="s">
        <v>89</v>
      </c>
      <c r="N14" t="b">
        <v>0</v>
      </c>
      <c r="O14" t="s">
        <v>3707</v>
      </c>
      <c r="P14" t="s">
        <v>3738</v>
      </c>
      <c r="Q14" t="b">
        <v>0</v>
      </c>
      <c r="R14" t="str">
        <f t="shared" si="0"/>
        <v/>
      </c>
      <c r="W14" s="7" t="b">
        <v>0</v>
      </c>
    </row>
    <row r="15" spans="1:23" x14ac:dyDescent="0.2">
      <c r="A15" t="s">
        <v>90</v>
      </c>
      <c r="B15" t="s">
        <v>91</v>
      </c>
      <c r="C15" t="s">
        <v>92</v>
      </c>
      <c r="D15" t="s">
        <v>47</v>
      </c>
      <c r="E15">
        <v>2018</v>
      </c>
      <c r="F15" t="s">
        <v>25</v>
      </c>
      <c r="G15" t="s">
        <v>93</v>
      </c>
      <c r="H15" t="s">
        <v>20</v>
      </c>
      <c r="I15">
        <v>8</v>
      </c>
      <c r="J15" t="b">
        <v>0</v>
      </c>
      <c r="K15" t="b">
        <v>0</v>
      </c>
      <c r="L15" t="b">
        <v>0</v>
      </c>
      <c r="N15" t="b">
        <v>0</v>
      </c>
      <c r="Q15" t="b">
        <v>0</v>
      </c>
      <c r="R15" t="str">
        <f t="shared" si="0"/>
        <v/>
      </c>
      <c r="W15" s="7" t="b">
        <v>0</v>
      </c>
    </row>
    <row r="16" spans="1:23" x14ac:dyDescent="0.2">
      <c r="A16" t="s">
        <v>94</v>
      </c>
      <c r="B16" t="s">
        <v>95</v>
      </c>
      <c r="C16" t="s">
        <v>96</v>
      </c>
      <c r="D16" t="s">
        <v>97</v>
      </c>
      <c r="E16">
        <v>1997</v>
      </c>
      <c r="F16" t="s">
        <v>98</v>
      </c>
      <c r="G16" t="s">
        <v>99</v>
      </c>
      <c r="H16" t="s">
        <v>20</v>
      </c>
      <c r="I16">
        <v>9</v>
      </c>
      <c r="J16" t="b">
        <v>0</v>
      </c>
      <c r="K16" t="b">
        <v>0</v>
      </c>
      <c r="L16" t="b">
        <v>0</v>
      </c>
      <c r="N16" t="b">
        <v>0</v>
      </c>
      <c r="Q16" t="b">
        <v>0</v>
      </c>
      <c r="R16" t="str">
        <f t="shared" si="0"/>
        <v/>
      </c>
      <c r="W16" s="7" t="b">
        <v>0</v>
      </c>
    </row>
    <row r="17" spans="1:23" x14ac:dyDescent="0.2">
      <c r="A17" t="s">
        <v>100</v>
      </c>
      <c r="B17" t="s">
        <v>101</v>
      </c>
      <c r="C17" t="s">
        <v>102</v>
      </c>
      <c r="D17" t="s">
        <v>53</v>
      </c>
      <c r="E17">
        <v>1996</v>
      </c>
      <c r="F17" t="s">
        <v>103</v>
      </c>
      <c r="G17" t="s">
        <v>104</v>
      </c>
      <c r="H17" t="s">
        <v>105</v>
      </c>
      <c r="I17">
        <v>63</v>
      </c>
      <c r="J17" t="b">
        <v>0</v>
      </c>
      <c r="K17" t="b">
        <v>0</v>
      </c>
      <c r="L17" t="b">
        <v>0</v>
      </c>
      <c r="N17" t="b">
        <v>0</v>
      </c>
      <c r="Q17" t="b">
        <v>0</v>
      </c>
      <c r="R17" t="str">
        <f t="shared" si="0"/>
        <v/>
      </c>
      <c r="W17" s="7" t="b">
        <v>0</v>
      </c>
    </row>
    <row r="18" spans="1:23" x14ac:dyDescent="0.2">
      <c r="A18" t="s">
        <v>106</v>
      </c>
      <c r="B18" t="s">
        <v>107</v>
      </c>
      <c r="C18" t="s">
        <v>108</v>
      </c>
      <c r="D18" t="s">
        <v>97</v>
      </c>
      <c r="E18">
        <v>2021</v>
      </c>
      <c r="F18" t="s">
        <v>109</v>
      </c>
      <c r="G18" t="s">
        <v>110</v>
      </c>
      <c r="H18" t="s">
        <v>111</v>
      </c>
      <c r="I18">
        <v>1</v>
      </c>
      <c r="J18" t="b">
        <v>0</v>
      </c>
      <c r="K18" t="b">
        <v>0</v>
      </c>
      <c r="L18" t="b">
        <v>0</v>
      </c>
      <c r="N18" t="b">
        <v>0</v>
      </c>
      <c r="Q18" t="b">
        <v>0</v>
      </c>
      <c r="R18" t="str">
        <f t="shared" si="0"/>
        <v/>
      </c>
      <c r="W18" s="7" t="b">
        <v>0</v>
      </c>
    </row>
    <row r="19" spans="1:23" s="1" customFormat="1" x14ac:dyDescent="0.2">
      <c r="A19" s="1" t="s">
        <v>112</v>
      </c>
      <c r="B19" s="1" t="s">
        <v>113</v>
      </c>
      <c r="C19" s="1" t="s">
        <v>114</v>
      </c>
      <c r="D19" s="1" t="s">
        <v>17</v>
      </c>
      <c r="E19" s="1">
        <v>2003</v>
      </c>
      <c r="F19" s="1" t="s">
        <v>115</v>
      </c>
      <c r="G19" s="1" t="s">
        <v>116</v>
      </c>
      <c r="H19" s="1" t="s">
        <v>20</v>
      </c>
      <c r="I19" s="1">
        <v>84</v>
      </c>
      <c r="J19" s="1" t="b">
        <v>0</v>
      </c>
      <c r="K19" s="1" t="b">
        <v>0</v>
      </c>
      <c r="L19" s="1" t="b">
        <v>1</v>
      </c>
      <c r="M19" s="1" t="s">
        <v>117</v>
      </c>
      <c r="N19" s="1" t="b">
        <v>1</v>
      </c>
      <c r="O19" s="1" t="s">
        <v>3708</v>
      </c>
      <c r="P19" s="1" t="s">
        <v>3737</v>
      </c>
      <c r="Q19" t="b">
        <v>1</v>
      </c>
      <c r="R19" t="str">
        <f t="shared" si="0"/>
        <v/>
      </c>
      <c r="W19" s="7" t="b">
        <v>1</v>
      </c>
    </row>
    <row r="20" spans="1:23" x14ac:dyDescent="0.2">
      <c r="A20" t="s">
        <v>118</v>
      </c>
      <c r="B20" t="s">
        <v>119</v>
      </c>
      <c r="C20" t="s">
        <v>120</v>
      </c>
      <c r="D20" t="s">
        <v>58</v>
      </c>
      <c r="E20">
        <v>2024</v>
      </c>
      <c r="F20" t="s">
        <v>121</v>
      </c>
      <c r="G20" t="s">
        <v>122</v>
      </c>
      <c r="H20" t="s">
        <v>67</v>
      </c>
      <c r="I20">
        <v>1</v>
      </c>
      <c r="J20" t="b">
        <v>0</v>
      </c>
      <c r="K20" t="b">
        <v>1</v>
      </c>
      <c r="L20" t="b">
        <v>1</v>
      </c>
      <c r="N20" t="b">
        <v>1</v>
      </c>
      <c r="O20" t="s">
        <v>3709</v>
      </c>
      <c r="Q20" t="b">
        <v>1</v>
      </c>
      <c r="R20" t="str">
        <f t="shared" si="0"/>
        <v/>
      </c>
      <c r="W20" s="7" t="b">
        <v>1</v>
      </c>
    </row>
    <row r="21" spans="1:23" x14ac:dyDescent="0.2">
      <c r="A21" t="s">
        <v>123</v>
      </c>
      <c r="B21" t="s">
        <v>124</v>
      </c>
      <c r="C21" t="s">
        <v>125</v>
      </c>
      <c r="D21" t="s">
        <v>53</v>
      </c>
      <c r="E21">
        <v>2003</v>
      </c>
      <c r="F21" t="s">
        <v>126</v>
      </c>
      <c r="G21" t="s">
        <v>127</v>
      </c>
      <c r="H21" t="s">
        <v>128</v>
      </c>
      <c r="I21">
        <v>212</v>
      </c>
      <c r="J21" t="b">
        <v>0</v>
      </c>
      <c r="K21" t="b">
        <v>0</v>
      </c>
      <c r="L21" t="b">
        <v>0</v>
      </c>
      <c r="N21" t="b">
        <v>0</v>
      </c>
      <c r="Q21" t="b">
        <v>0</v>
      </c>
      <c r="R21" t="str">
        <f t="shared" si="0"/>
        <v/>
      </c>
      <c r="W21" s="7" t="b">
        <v>0</v>
      </c>
    </row>
    <row r="22" spans="1:23" x14ac:dyDescent="0.2">
      <c r="A22" t="s">
        <v>129</v>
      </c>
      <c r="B22" t="s">
        <v>130</v>
      </c>
      <c r="C22" t="s">
        <v>131</v>
      </c>
      <c r="D22" t="s">
        <v>17</v>
      </c>
      <c r="E22">
        <v>2020</v>
      </c>
      <c r="F22" t="s">
        <v>132</v>
      </c>
      <c r="G22" t="s">
        <v>133</v>
      </c>
      <c r="H22" t="s">
        <v>20</v>
      </c>
      <c r="I22">
        <v>5</v>
      </c>
      <c r="J22" t="b">
        <v>0</v>
      </c>
      <c r="K22" t="b">
        <v>0</v>
      </c>
      <c r="L22" t="b">
        <v>0</v>
      </c>
      <c r="N22" t="b">
        <v>0</v>
      </c>
      <c r="Q22" t="b">
        <v>0</v>
      </c>
      <c r="R22" t="str">
        <f t="shared" si="0"/>
        <v/>
      </c>
      <c r="W22" s="7" t="b">
        <v>0</v>
      </c>
    </row>
    <row r="23" spans="1:23" x14ac:dyDescent="0.2">
      <c r="A23" t="s">
        <v>134</v>
      </c>
      <c r="B23" t="s">
        <v>135</v>
      </c>
      <c r="C23" t="s">
        <v>136</v>
      </c>
      <c r="D23" t="s">
        <v>17</v>
      </c>
      <c r="E23">
        <v>2009</v>
      </c>
      <c r="F23" t="s">
        <v>137</v>
      </c>
      <c r="G23" t="s">
        <v>138</v>
      </c>
      <c r="H23" t="s">
        <v>128</v>
      </c>
      <c r="I23">
        <v>186</v>
      </c>
      <c r="J23" t="b">
        <v>0</v>
      </c>
      <c r="K23" t="b">
        <v>1</v>
      </c>
      <c r="L23" t="b">
        <v>1</v>
      </c>
      <c r="M23" t="s">
        <v>139</v>
      </c>
      <c r="N23" t="b">
        <v>1</v>
      </c>
      <c r="O23" t="s">
        <v>3710</v>
      </c>
      <c r="Q23" t="b">
        <v>1</v>
      </c>
      <c r="R23" t="str">
        <f t="shared" si="0"/>
        <v/>
      </c>
      <c r="W23" s="7" t="b">
        <v>1</v>
      </c>
    </row>
    <row r="24" spans="1:23" x14ac:dyDescent="0.2">
      <c r="A24" t="s">
        <v>140</v>
      </c>
      <c r="B24" t="s">
        <v>141</v>
      </c>
      <c r="C24" t="s">
        <v>142</v>
      </c>
      <c r="D24" t="s">
        <v>47</v>
      </c>
      <c r="E24">
        <v>1998</v>
      </c>
      <c r="F24" t="s">
        <v>143</v>
      </c>
      <c r="G24" t="s">
        <v>144</v>
      </c>
      <c r="H24" t="s">
        <v>20</v>
      </c>
      <c r="I24">
        <v>35</v>
      </c>
      <c r="J24" t="b">
        <v>0</v>
      </c>
      <c r="K24" t="b">
        <v>1</v>
      </c>
      <c r="L24" t="b">
        <v>1</v>
      </c>
      <c r="M24" t="s">
        <v>27</v>
      </c>
      <c r="N24" t="b">
        <v>1</v>
      </c>
      <c r="Q24" t="b">
        <v>1</v>
      </c>
      <c r="R24" t="str">
        <f t="shared" si="0"/>
        <v/>
      </c>
      <c r="W24" s="7" t="b">
        <v>1</v>
      </c>
    </row>
    <row r="25" spans="1:23" x14ac:dyDescent="0.2">
      <c r="A25" t="s">
        <v>145</v>
      </c>
      <c r="B25" t="s">
        <v>146</v>
      </c>
      <c r="C25" t="s">
        <v>147</v>
      </c>
      <c r="D25" t="s">
        <v>24</v>
      </c>
      <c r="E25">
        <v>2022</v>
      </c>
      <c r="F25" t="s">
        <v>25</v>
      </c>
      <c r="G25" t="s">
        <v>148</v>
      </c>
      <c r="H25" t="s">
        <v>20</v>
      </c>
      <c r="I25">
        <v>4</v>
      </c>
      <c r="J25" t="b">
        <v>0</v>
      </c>
      <c r="K25" t="b">
        <v>1</v>
      </c>
      <c r="L25" t="b">
        <v>1</v>
      </c>
      <c r="M25" t="s">
        <v>139</v>
      </c>
      <c r="N25" t="b">
        <v>1</v>
      </c>
      <c r="Q25" t="b">
        <v>1</v>
      </c>
      <c r="R25" t="str">
        <f t="shared" si="0"/>
        <v/>
      </c>
      <c r="W25" s="7" t="b">
        <v>1</v>
      </c>
    </row>
    <row r="26" spans="1:23" x14ac:dyDescent="0.2">
      <c r="A26" t="s">
        <v>149</v>
      </c>
      <c r="B26" t="s">
        <v>150</v>
      </c>
      <c r="C26" t="s">
        <v>151</v>
      </c>
      <c r="D26" t="s">
        <v>152</v>
      </c>
      <c r="E26">
        <v>1994</v>
      </c>
      <c r="F26" t="s">
        <v>25</v>
      </c>
      <c r="G26" t="s">
        <v>153</v>
      </c>
      <c r="H26" t="s">
        <v>154</v>
      </c>
      <c r="I26">
        <v>40</v>
      </c>
      <c r="J26" t="b">
        <v>0</v>
      </c>
      <c r="K26" t="b">
        <v>1</v>
      </c>
      <c r="L26" t="b">
        <v>0</v>
      </c>
      <c r="M26" t="s">
        <v>155</v>
      </c>
      <c r="N26" t="b">
        <v>0</v>
      </c>
      <c r="O26" t="s">
        <v>3711</v>
      </c>
      <c r="P26" t="s">
        <v>3732</v>
      </c>
      <c r="Q26" t="b">
        <v>0</v>
      </c>
      <c r="R26" t="str">
        <f t="shared" si="0"/>
        <v/>
      </c>
      <c r="W26" s="7" t="b">
        <v>0</v>
      </c>
    </row>
    <row r="27" spans="1:23" x14ac:dyDescent="0.2">
      <c r="A27" t="s">
        <v>156</v>
      </c>
      <c r="B27" t="s">
        <v>157</v>
      </c>
      <c r="C27" t="s">
        <v>158</v>
      </c>
      <c r="D27" t="s">
        <v>17</v>
      </c>
      <c r="E27">
        <v>1995</v>
      </c>
      <c r="F27" t="s">
        <v>159</v>
      </c>
      <c r="G27" t="s">
        <v>160</v>
      </c>
      <c r="H27" t="s">
        <v>20</v>
      </c>
      <c r="I27">
        <v>211</v>
      </c>
      <c r="J27" t="b">
        <v>0</v>
      </c>
      <c r="K27" t="b">
        <v>0</v>
      </c>
      <c r="L27" t="b">
        <v>0</v>
      </c>
      <c r="N27" t="b">
        <v>0</v>
      </c>
      <c r="Q27" t="b">
        <v>0</v>
      </c>
      <c r="R27" t="str">
        <f t="shared" si="0"/>
        <v/>
      </c>
      <c r="W27" s="7" t="b">
        <v>0</v>
      </c>
    </row>
    <row r="28" spans="1:23" x14ac:dyDescent="0.2">
      <c r="A28" t="s">
        <v>161</v>
      </c>
      <c r="B28" t="s">
        <v>162</v>
      </c>
      <c r="C28" t="s">
        <v>163</v>
      </c>
      <c r="D28" t="s">
        <v>85</v>
      </c>
      <c r="E28">
        <v>2021</v>
      </c>
      <c r="F28" t="s">
        <v>164</v>
      </c>
      <c r="G28" t="s">
        <v>165</v>
      </c>
      <c r="H28" t="s">
        <v>154</v>
      </c>
      <c r="I28">
        <v>8</v>
      </c>
      <c r="J28" t="b">
        <v>0</v>
      </c>
      <c r="K28" t="b">
        <v>0</v>
      </c>
      <c r="L28" t="b">
        <v>0</v>
      </c>
      <c r="N28" t="b">
        <v>0</v>
      </c>
      <c r="Q28" t="b">
        <v>0</v>
      </c>
      <c r="R28" t="str">
        <f t="shared" si="0"/>
        <v/>
      </c>
      <c r="W28" s="7" t="b">
        <v>0</v>
      </c>
    </row>
    <row r="29" spans="1:23" x14ac:dyDescent="0.2">
      <c r="A29" t="s">
        <v>166</v>
      </c>
      <c r="B29" t="s">
        <v>167</v>
      </c>
      <c r="C29" t="s">
        <v>168</v>
      </c>
      <c r="D29" t="s">
        <v>24</v>
      </c>
      <c r="E29">
        <v>1995</v>
      </c>
      <c r="F29" t="s">
        <v>25</v>
      </c>
      <c r="G29" t="s">
        <v>169</v>
      </c>
      <c r="H29" t="s">
        <v>20</v>
      </c>
      <c r="I29">
        <v>20</v>
      </c>
      <c r="J29" t="b">
        <v>0</v>
      </c>
      <c r="K29" t="b">
        <v>0</v>
      </c>
      <c r="L29" t="b">
        <v>0</v>
      </c>
      <c r="N29" t="b">
        <v>0</v>
      </c>
      <c r="Q29" t="b">
        <v>0</v>
      </c>
      <c r="R29" t="str">
        <f t="shared" si="0"/>
        <v/>
      </c>
      <c r="W29" s="7" t="b">
        <v>0</v>
      </c>
    </row>
    <row r="30" spans="1:23" x14ac:dyDescent="0.2">
      <c r="A30" t="s">
        <v>170</v>
      </c>
      <c r="B30" t="s">
        <v>171</v>
      </c>
      <c r="C30" t="s">
        <v>172</v>
      </c>
      <c r="D30" t="s">
        <v>24</v>
      </c>
      <c r="E30">
        <v>2011</v>
      </c>
      <c r="F30" t="s">
        <v>25</v>
      </c>
      <c r="G30" t="s">
        <v>173</v>
      </c>
      <c r="H30" t="s">
        <v>20</v>
      </c>
      <c r="I30">
        <v>22</v>
      </c>
      <c r="J30" t="b">
        <v>0</v>
      </c>
      <c r="K30" t="b">
        <v>1</v>
      </c>
      <c r="L30" t="b">
        <v>0</v>
      </c>
      <c r="M30" t="s">
        <v>155</v>
      </c>
      <c r="N30" t="b">
        <v>0</v>
      </c>
      <c r="O30" t="s">
        <v>3711</v>
      </c>
      <c r="Q30" t="b">
        <v>1</v>
      </c>
      <c r="R30" t="str">
        <f t="shared" si="0"/>
        <v>!!!</v>
      </c>
      <c r="W30" s="7" t="b">
        <v>1</v>
      </c>
    </row>
    <row r="31" spans="1:23" x14ac:dyDescent="0.2">
      <c r="A31" t="s">
        <v>174</v>
      </c>
      <c r="B31" t="s">
        <v>175</v>
      </c>
      <c r="C31" t="s">
        <v>176</v>
      </c>
      <c r="D31" t="s">
        <v>17</v>
      </c>
      <c r="E31">
        <v>1992</v>
      </c>
      <c r="F31" t="s">
        <v>177</v>
      </c>
      <c r="G31" t="s">
        <v>178</v>
      </c>
      <c r="H31" t="s">
        <v>20</v>
      </c>
      <c r="I31">
        <v>207</v>
      </c>
      <c r="J31" t="b">
        <v>0</v>
      </c>
      <c r="K31" t="b">
        <v>1</v>
      </c>
      <c r="L31" t="b">
        <v>0</v>
      </c>
      <c r="M31" t="s">
        <v>155</v>
      </c>
      <c r="N31" t="b">
        <v>0</v>
      </c>
      <c r="O31" t="s">
        <v>3711</v>
      </c>
      <c r="Q31" t="b">
        <v>1</v>
      </c>
      <c r="R31" t="str">
        <f t="shared" si="0"/>
        <v>!!!</v>
      </c>
      <c r="W31" s="7" t="b">
        <v>1</v>
      </c>
    </row>
    <row r="32" spans="1:23" x14ac:dyDescent="0.2">
      <c r="A32" t="s">
        <v>179</v>
      </c>
      <c r="B32" t="s">
        <v>180</v>
      </c>
      <c r="C32" t="s">
        <v>181</v>
      </c>
      <c r="D32" t="s">
        <v>17</v>
      </c>
      <c r="E32">
        <v>2003</v>
      </c>
      <c r="F32" t="s">
        <v>182</v>
      </c>
      <c r="G32" t="s">
        <v>183</v>
      </c>
      <c r="H32" t="s">
        <v>184</v>
      </c>
      <c r="I32">
        <v>101</v>
      </c>
      <c r="J32" t="b">
        <v>0</v>
      </c>
      <c r="K32" t="b">
        <v>0</v>
      </c>
      <c r="L32" t="b">
        <v>0</v>
      </c>
      <c r="N32" t="b">
        <v>0</v>
      </c>
      <c r="Q32" t="b">
        <v>0</v>
      </c>
      <c r="R32" t="str">
        <f t="shared" si="0"/>
        <v/>
      </c>
      <c r="W32" s="7" t="b">
        <v>0</v>
      </c>
    </row>
    <row r="33" spans="1:23" x14ac:dyDescent="0.2">
      <c r="A33" t="s">
        <v>185</v>
      </c>
      <c r="B33" t="s">
        <v>186</v>
      </c>
      <c r="C33" t="s">
        <v>187</v>
      </c>
      <c r="D33" t="s">
        <v>85</v>
      </c>
      <c r="E33">
        <v>2007</v>
      </c>
      <c r="F33" t="s">
        <v>188</v>
      </c>
      <c r="G33" t="s">
        <v>189</v>
      </c>
      <c r="H33" t="s">
        <v>190</v>
      </c>
      <c r="I33">
        <v>190</v>
      </c>
      <c r="J33" t="b">
        <v>0</v>
      </c>
      <c r="K33" t="b">
        <v>0</v>
      </c>
      <c r="L33" t="b">
        <v>0</v>
      </c>
      <c r="N33" t="b">
        <v>0</v>
      </c>
      <c r="Q33" t="b">
        <v>0</v>
      </c>
      <c r="R33" t="str">
        <f t="shared" si="0"/>
        <v/>
      </c>
      <c r="W33" s="7" t="b">
        <v>0</v>
      </c>
    </row>
    <row r="34" spans="1:23" x14ac:dyDescent="0.2">
      <c r="A34" t="s">
        <v>191</v>
      </c>
      <c r="B34" t="s">
        <v>192</v>
      </c>
      <c r="C34" t="s">
        <v>193</v>
      </c>
      <c r="D34" t="s">
        <v>152</v>
      </c>
      <c r="E34">
        <v>2006</v>
      </c>
      <c r="F34" t="s">
        <v>25</v>
      </c>
      <c r="G34" t="s">
        <v>194</v>
      </c>
      <c r="H34" t="s">
        <v>154</v>
      </c>
      <c r="I34">
        <v>163</v>
      </c>
      <c r="J34" t="b">
        <v>0</v>
      </c>
      <c r="K34" t="b">
        <v>0</v>
      </c>
      <c r="L34" t="b">
        <v>0</v>
      </c>
      <c r="N34" t="b">
        <v>0</v>
      </c>
      <c r="Q34" t="b">
        <v>0</v>
      </c>
      <c r="R34" t="str">
        <f t="shared" ref="R34:R65" si="1">IF(Q34&lt;&gt;N34,"!!!","")</f>
        <v/>
      </c>
      <c r="W34" s="7" t="b">
        <v>0</v>
      </c>
    </row>
    <row r="35" spans="1:23" s="1" customFormat="1" x14ac:dyDescent="0.2">
      <c r="A35" s="1" t="s">
        <v>195</v>
      </c>
      <c r="B35" s="1" t="s">
        <v>196</v>
      </c>
      <c r="C35" s="1" t="s">
        <v>197</v>
      </c>
      <c r="D35" s="1" t="s">
        <v>198</v>
      </c>
      <c r="E35" s="1">
        <v>1999</v>
      </c>
      <c r="F35" s="1" t="s">
        <v>199</v>
      </c>
      <c r="G35" s="1" t="s">
        <v>200</v>
      </c>
      <c r="H35" s="1" t="s">
        <v>20</v>
      </c>
      <c r="I35" s="1">
        <v>16</v>
      </c>
      <c r="J35" s="1" t="b">
        <v>0</v>
      </c>
      <c r="K35" s="1" t="b">
        <v>1</v>
      </c>
      <c r="L35" s="1" t="b">
        <v>1</v>
      </c>
      <c r="M35" s="1" t="s">
        <v>201</v>
      </c>
      <c r="N35" s="1" t="b">
        <v>0</v>
      </c>
      <c r="O35" s="1" t="s">
        <v>3712</v>
      </c>
      <c r="Q35" t="b">
        <v>1</v>
      </c>
      <c r="R35" t="str">
        <f t="shared" si="1"/>
        <v>!!!</v>
      </c>
      <c r="W35" s="7" t="b">
        <v>1</v>
      </c>
    </row>
    <row r="36" spans="1:23" x14ac:dyDescent="0.2">
      <c r="A36" t="s">
        <v>202</v>
      </c>
      <c r="B36" t="s">
        <v>203</v>
      </c>
      <c r="C36" t="s">
        <v>204</v>
      </c>
      <c r="D36" t="s">
        <v>17</v>
      </c>
      <c r="E36">
        <v>2000</v>
      </c>
      <c r="F36" t="s">
        <v>205</v>
      </c>
      <c r="G36" t="s">
        <v>206</v>
      </c>
      <c r="H36" t="s">
        <v>20</v>
      </c>
      <c r="I36">
        <v>196</v>
      </c>
      <c r="J36" t="b">
        <v>0</v>
      </c>
      <c r="K36" t="b">
        <v>0</v>
      </c>
      <c r="L36" t="b">
        <v>0</v>
      </c>
      <c r="N36" t="b">
        <v>0</v>
      </c>
      <c r="Q36" t="b">
        <v>0</v>
      </c>
      <c r="R36" t="str">
        <f t="shared" si="1"/>
        <v/>
      </c>
      <c r="W36" s="7" t="b">
        <v>0</v>
      </c>
    </row>
    <row r="37" spans="1:23" x14ac:dyDescent="0.2">
      <c r="A37" t="s">
        <v>207</v>
      </c>
      <c r="B37" t="s">
        <v>208</v>
      </c>
      <c r="C37" t="s">
        <v>209</v>
      </c>
      <c r="D37" t="s">
        <v>97</v>
      </c>
      <c r="E37">
        <v>2013</v>
      </c>
      <c r="F37" t="s">
        <v>210</v>
      </c>
      <c r="G37" t="s">
        <v>211</v>
      </c>
      <c r="H37" t="s">
        <v>111</v>
      </c>
      <c r="I37">
        <v>89</v>
      </c>
      <c r="J37" t="b">
        <v>0</v>
      </c>
      <c r="K37" t="b">
        <v>0</v>
      </c>
      <c r="L37" t="b">
        <v>0</v>
      </c>
      <c r="N37" t="b">
        <v>0</v>
      </c>
      <c r="Q37" t="b">
        <v>0</v>
      </c>
      <c r="R37" t="str">
        <f t="shared" si="1"/>
        <v/>
      </c>
      <c r="W37" s="7" t="b">
        <v>0</v>
      </c>
    </row>
    <row r="38" spans="1:23" x14ac:dyDescent="0.2">
      <c r="A38" t="s">
        <v>212</v>
      </c>
      <c r="B38" t="s">
        <v>213</v>
      </c>
      <c r="C38" t="s">
        <v>214</v>
      </c>
      <c r="D38" t="s">
        <v>47</v>
      </c>
      <c r="E38">
        <v>2006</v>
      </c>
      <c r="F38" t="s">
        <v>25</v>
      </c>
      <c r="G38" t="s">
        <v>215</v>
      </c>
      <c r="H38" t="s">
        <v>20</v>
      </c>
      <c r="I38">
        <v>47</v>
      </c>
      <c r="J38" t="b">
        <v>0</v>
      </c>
      <c r="K38" t="b">
        <v>0</v>
      </c>
      <c r="L38" t="b">
        <v>0</v>
      </c>
      <c r="N38" t="b">
        <v>0</v>
      </c>
      <c r="Q38" t="b">
        <v>0</v>
      </c>
      <c r="R38" t="str">
        <f t="shared" si="1"/>
        <v/>
      </c>
      <c r="W38" s="7" t="b">
        <v>0</v>
      </c>
    </row>
    <row r="39" spans="1:23" x14ac:dyDescent="0.2">
      <c r="A39" t="s">
        <v>216</v>
      </c>
      <c r="B39" t="s">
        <v>217</v>
      </c>
      <c r="C39" t="s">
        <v>218</v>
      </c>
      <c r="D39" t="s">
        <v>17</v>
      </c>
      <c r="E39">
        <v>2010</v>
      </c>
      <c r="F39" t="s">
        <v>219</v>
      </c>
      <c r="G39" t="s">
        <v>220</v>
      </c>
      <c r="H39" t="s">
        <v>20</v>
      </c>
      <c r="I39">
        <v>187</v>
      </c>
      <c r="J39" t="b">
        <v>0</v>
      </c>
      <c r="K39" t="b">
        <v>0</v>
      </c>
      <c r="L39" t="b">
        <v>0</v>
      </c>
      <c r="N39" t="b">
        <v>0</v>
      </c>
      <c r="Q39" t="b">
        <v>0</v>
      </c>
      <c r="R39" t="str">
        <f t="shared" si="1"/>
        <v/>
      </c>
      <c r="W39" s="7" t="b">
        <v>0</v>
      </c>
    </row>
    <row r="40" spans="1:23" x14ac:dyDescent="0.2">
      <c r="A40" t="s">
        <v>221</v>
      </c>
      <c r="B40" t="s">
        <v>222</v>
      </c>
      <c r="C40" t="s">
        <v>223</v>
      </c>
      <c r="D40" t="s">
        <v>97</v>
      </c>
      <c r="E40">
        <v>2022</v>
      </c>
      <c r="F40" t="s">
        <v>224</v>
      </c>
      <c r="G40" t="s">
        <v>225</v>
      </c>
      <c r="H40" t="s">
        <v>20</v>
      </c>
      <c r="I40">
        <v>5</v>
      </c>
      <c r="J40" t="b">
        <v>0</v>
      </c>
      <c r="K40" t="b">
        <v>1</v>
      </c>
      <c r="L40" t="b">
        <v>1</v>
      </c>
      <c r="M40" t="s">
        <v>139</v>
      </c>
      <c r="N40" t="b">
        <v>1</v>
      </c>
      <c r="O40" t="s">
        <v>3713</v>
      </c>
      <c r="Q40" t="b">
        <v>1</v>
      </c>
      <c r="R40" t="str">
        <f t="shared" si="1"/>
        <v/>
      </c>
      <c r="W40" s="7" t="b">
        <v>1</v>
      </c>
    </row>
    <row r="41" spans="1:23" x14ac:dyDescent="0.2">
      <c r="A41" t="s">
        <v>226</v>
      </c>
      <c r="B41" t="s">
        <v>227</v>
      </c>
      <c r="C41" t="s">
        <v>228</v>
      </c>
      <c r="D41" t="s">
        <v>24</v>
      </c>
      <c r="E41">
        <v>2015</v>
      </c>
      <c r="F41" t="s">
        <v>25</v>
      </c>
      <c r="G41" t="s">
        <v>229</v>
      </c>
      <c r="H41" t="s">
        <v>20</v>
      </c>
      <c r="I41">
        <v>3</v>
      </c>
      <c r="J41" t="b">
        <v>0</v>
      </c>
      <c r="K41" t="b">
        <v>0</v>
      </c>
      <c r="L41" t="b">
        <v>0</v>
      </c>
      <c r="N41" t="b">
        <v>0</v>
      </c>
      <c r="Q41" t="b">
        <v>0</v>
      </c>
      <c r="R41" t="str">
        <f t="shared" si="1"/>
        <v/>
      </c>
      <c r="W41" s="7" t="b">
        <v>0</v>
      </c>
    </row>
    <row r="42" spans="1:23" x14ac:dyDescent="0.2">
      <c r="A42" t="s">
        <v>230</v>
      </c>
      <c r="B42" t="s">
        <v>231</v>
      </c>
      <c r="C42" t="s">
        <v>232</v>
      </c>
      <c r="D42" t="s">
        <v>17</v>
      </c>
      <c r="E42">
        <v>2022</v>
      </c>
      <c r="F42" t="s">
        <v>233</v>
      </c>
      <c r="G42" t="s">
        <v>234</v>
      </c>
      <c r="H42" t="s">
        <v>20</v>
      </c>
      <c r="I42">
        <v>1</v>
      </c>
      <c r="J42" t="b">
        <v>0</v>
      </c>
      <c r="K42" t="b">
        <v>0</v>
      </c>
      <c r="L42" t="b">
        <v>0</v>
      </c>
      <c r="N42" t="b">
        <v>0</v>
      </c>
      <c r="Q42" t="b">
        <v>0</v>
      </c>
      <c r="R42" t="str">
        <f t="shared" si="1"/>
        <v/>
      </c>
      <c r="W42" s="7" t="b">
        <v>0</v>
      </c>
    </row>
    <row r="43" spans="1:23" x14ac:dyDescent="0.2">
      <c r="A43" t="s">
        <v>235</v>
      </c>
      <c r="B43" t="s">
        <v>236</v>
      </c>
      <c r="C43" t="s">
        <v>237</v>
      </c>
      <c r="D43" t="s">
        <v>24</v>
      </c>
      <c r="E43">
        <v>1994</v>
      </c>
      <c r="F43" t="s">
        <v>25</v>
      </c>
      <c r="G43" t="s">
        <v>238</v>
      </c>
      <c r="H43" t="s">
        <v>20</v>
      </c>
      <c r="I43">
        <v>95</v>
      </c>
      <c r="J43" t="b">
        <v>0</v>
      </c>
      <c r="K43" t="b">
        <v>0</v>
      </c>
      <c r="L43" t="b">
        <v>0</v>
      </c>
      <c r="N43" t="b">
        <v>0</v>
      </c>
      <c r="Q43" t="b">
        <v>0</v>
      </c>
      <c r="R43" t="str">
        <f t="shared" si="1"/>
        <v/>
      </c>
      <c r="W43" s="7" t="b">
        <v>0</v>
      </c>
    </row>
    <row r="44" spans="1:23" x14ac:dyDescent="0.2">
      <c r="A44" t="s">
        <v>239</v>
      </c>
      <c r="B44" t="s">
        <v>240</v>
      </c>
      <c r="C44" t="s">
        <v>241</v>
      </c>
      <c r="D44" t="s">
        <v>85</v>
      </c>
      <c r="E44">
        <v>2011</v>
      </c>
      <c r="F44" t="s">
        <v>242</v>
      </c>
      <c r="G44" t="s">
        <v>243</v>
      </c>
      <c r="H44" t="s">
        <v>20</v>
      </c>
      <c r="I44">
        <v>20</v>
      </c>
      <c r="J44" t="b">
        <v>0</v>
      </c>
      <c r="K44" t="b">
        <v>0</v>
      </c>
      <c r="L44" t="b">
        <v>0</v>
      </c>
      <c r="N44" t="b">
        <v>0</v>
      </c>
      <c r="Q44" t="b">
        <v>0</v>
      </c>
      <c r="R44" t="str">
        <f t="shared" si="1"/>
        <v/>
      </c>
      <c r="W44" s="7" t="b">
        <v>0</v>
      </c>
    </row>
    <row r="45" spans="1:23" x14ac:dyDescent="0.2">
      <c r="A45" t="s">
        <v>244</v>
      </c>
      <c r="B45" t="s">
        <v>245</v>
      </c>
      <c r="C45" t="s">
        <v>246</v>
      </c>
      <c r="D45" t="s">
        <v>58</v>
      </c>
      <c r="E45">
        <v>2003</v>
      </c>
      <c r="F45" t="s">
        <v>247</v>
      </c>
      <c r="G45" t="s">
        <v>248</v>
      </c>
      <c r="H45" t="s">
        <v>77</v>
      </c>
      <c r="I45">
        <v>17</v>
      </c>
      <c r="J45" t="b">
        <v>0</v>
      </c>
      <c r="K45" t="b">
        <v>0</v>
      </c>
      <c r="L45" t="b">
        <v>0</v>
      </c>
      <c r="N45" t="b">
        <v>0</v>
      </c>
      <c r="Q45" t="b">
        <v>0</v>
      </c>
      <c r="R45" t="str">
        <f t="shared" si="1"/>
        <v/>
      </c>
      <c r="W45" s="7" t="b">
        <v>0</v>
      </c>
    </row>
    <row r="46" spans="1:23" x14ac:dyDescent="0.2">
      <c r="A46" t="s">
        <v>249</v>
      </c>
      <c r="B46" t="s">
        <v>250</v>
      </c>
      <c r="C46" t="s">
        <v>251</v>
      </c>
      <c r="D46" t="s">
        <v>58</v>
      </c>
      <c r="E46">
        <v>2004</v>
      </c>
      <c r="F46" t="s">
        <v>252</v>
      </c>
      <c r="G46" t="s">
        <v>253</v>
      </c>
      <c r="H46" t="s">
        <v>254</v>
      </c>
      <c r="I46">
        <v>80</v>
      </c>
      <c r="J46" t="b">
        <v>0</v>
      </c>
      <c r="K46" t="b">
        <v>0</v>
      </c>
      <c r="L46" t="b">
        <v>0</v>
      </c>
      <c r="N46" t="b">
        <v>0</v>
      </c>
      <c r="Q46" t="b">
        <v>0</v>
      </c>
      <c r="R46" t="str">
        <f t="shared" si="1"/>
        <v/>
      </c>
      <c r="W46" s="7" t="b">
        <v>0</v>
      </c>
    </row>
    <row r="47" spans="1:23" x14ac:dyDescent="0.2">
      <c r="A47" t="s">
        <v>255</v>
      </c>
      <c r="C47" t="s">
        <v>256</v>
      </c>
      <c r="D47" t="s">
        <v>85</v>
      </c>
      <c r="E47">
        <v>1997</v>
      </c>
      <c r="F47" t="s">
        <v>257</v>
      </c>
      <c r="G47" t="s">
        <v>258</v>
      </c>
      <c r="H47" t="s">
        <v>254</v>
      </c>
      <c r="I47">
        <v>362</v>
      </c>
      <c r="J47" t="b">
        <v>0</v>
      </c>
      <c r="K47" t="b">
        <v>0</v>
      </c>
      <c r="L47" t="b">
        <v>0</v>
      </c>
      <c r="N47" t="b">
        <v>0</v>
      </c>
      <c r="Q47" t="b">
        <v>0</v>
      </c>
      <c r="R47" t="str">
        <f t="shared" si="1"/>
        <v/>
      </c>
      <c r="W47" s="7" t="b">
        <v>0</v>
      </c>
    </row>
    <row r="48" spans="1:23" x14ac:dyDescent="0.2">
      <c r="A48" t="s">
        <v>259</v>
      </c>
      <c r="B48" t="s">
        <v>260</v>
      </c>
      <c r="C48" t="s">
        <v>261</v>
      </c>
      <c r="D48" t="s">
        <v>97</v>
      </c>
      <c r="E48">
        <v>2017</v>
      </c>
      <c r="F48" t="s">
        <v>262</v>
      </c>
      <c r="G48" t="s">
        <v>263</v>
      </c>
      <c r="H48" t="s">
        <v>111</v>
      </c>
      <c r="I48">
        <v>27</v>
      </c>
      <c r="J48" t="b">
        <v>0</v>
      </c>
      <c r="K48" t="b">
        <v>0</v>
      </c>
      <c r="L48" t="b">
        <v>0</v>
      </c>
      <c r="N48" t="b">
        <v>0</v>
      </c>
      <c r="Q48" t="b">
        <v>0</v>
      </c>
      <c r="R48" t="str">
        <f t="shared" si="1"/>
        <v/>
      </c>
      <c r="W48" s="7" t="b">
        <v>0</v>
      </c>
    </row>
    <row r="49" spans="1:23" x14ac:dyDescent="0.2">
      <c r="A49" t="s">
        <v>264</v>
      </c>
      <c r="B49" t="s">
        <v>265</v>
      </c>
      <c r="C49" t="s">
        <v>266</v>
      </c>
      <c r="D49" t="s">
        <v>97</v>
      </c>
      <c r="E49">
        <v>1996</v>
      </c>
      <c r="F49" t="s">
        <v>267</v>
      </c>
      <c r="G49" t="s">
        <v>268</v>
      </c>
      <c r="H49" t="s">
        <v>20</v>
      </c>
      <c r="I49">
        <v>20</v>
      </c>
      <c r="J49" t="b">
        <v>0</v>
      </c>
      <c r="K49" t="b">
        <v>1</v>
      </c>
      <c r="L49" t="b">
        <v>1</v>
      </c>
      <c r="M49" t="s">
        <v>139</v>
      </c>
      <c r="N49" t="b">
        <v>1</v>
      </c>
      <c r="O49" t="s">
        <v>3714</v>
      </c>
      <c r="Q49" t="b">
        <v>1</v>
      </c>
      <c r="R49" t="str">
        <f t="shared" si="1"/>
        <v/>
      </c>
      <c r="W49" s="7" t="b">
        <v>1</v>
      </c>
    </row>
    <row r="50" spans="1:23" x14ac:dyDescent="0.2">
      <c r="A50" t="s">
        <v>269</v>
      </c>
      <c r="B50" t="s">
        <v>270</v>
      </c>
      <c r="C50" t="s">
        <v>271</v>
      </c>
      <c r="D50" t="s">
        <v>53</v>
      </c>
      <c r="E50">
        <v>2018</v>
      </c>
      <c r="F50" t="s">
        <v>272</v>
      </c>
      <c r="G50" t="s">
        <v>273</v>
      </c>
      <c r="H50" t="s">
        <v>274</v>
      </c>
      <c r="I50">
        <v>28</v>
      </c>
      <c r="J50" t="b">
        <v>0</v>
      </c>
      <c r="K50" t="b">
        <v>0</v>
      </c>
      <c r="L50" t="b">
        <v>0</v>
      </c>
      <c r="N50" t="b">
        <v>0</v>
      </c>
      <c r="Q50" t="b">
        <v>0</v>
      </c>
      <c r="R50" t="str">
        <f t="shared" si="1"/>
        <v/>
      </c>
      <c r="W50" s="7" t="b">
        <v>0</v>
      </c>
    </row>
    <row r="51" spans="1:23" x14ac:dyDescent="0.2">
      <c r="A51" t="s">
        <v>275</v>
      </c>
      <c r="B51" t="s">
        <v>276</v>
      </c>
      <c r="C51" t="s">
        <v>277</v>
      </c>
      <c r="D51" t="s">
        <v>47</v>
      </c>
      <c r="E51">
        <v>2020</v>
      </c>
      <c r="F51" t="s">
        <v>25</v>
      </c>
      <c r="G51" t="s">
        <v>278</v>
      </c>
      <c r="H51" t="s">
        <v>20</v>
      </c>
      <c r="I51">
        <v>8</v>
      </c>
      <c r="J51" t="b">
        <v>0</v>
      </c>
      <c r="K51" t="b">
        <v>0</v>
      </c>
      <c r="L51" t="b">
        <v>0</v>
      </c>
      <c r="N51" t="b">
        <v>0</v>
      </c>
      <c r="Q51" t="b">
        <v>0</v>
      </c>
      <c r="R51" t="str">
        <f t="shared" si="1"/>
        <v/>
      </c>
      <c r="W51" s="7" t="b">
        <v>0</v>
      </c>
    </row>
    <row r="52" spans="1:23" x14ac:dyDescent="0.2">
      <c r="A52" t="s">
        <v>279</v>
      </c>
      <c r="B52" t="s">
        <v>280</v>
      </c>
      <c r="C52" t="s">
        <v>281</v>
      </c>
      <c r="D52" t="s">
        <v>97</v>
      </c>
      <c r="E52">
        <v>2000</v>
      </c>
      <c r="F52" t="s">
        <v>282</v>
      </c>
      <c r="G52" t="s">
        <v>283</v>
      </c>
      <c r="H52" t="s">
        <v>254</v>
      </c>
      <c r="I52">
        <v>16</v>
      </c>
      <c r="J52" t="b">
        <v>0</v>
      </c>
      <c r="K52" t="b">
        <v>0</v>
      </c>
      <c r="L52" t="b">
        <v>0</v>
      </c>
      <c r="N52" t="b">
        <v>0</v>
      </c>
      <c r="Q52" t="b">
        <v>0</v>
      </c>
      <c r="R52" t="str">
        <f t="shared" si="1"/>
        <v/>
      </c>
      <c r="W52" s="7" t="b">
        <v>0</v>
      </c>
    </row>
    <row r="53" spans="1:23" x14ac:dyDescent="0.2">
      <c r="A53" t="s">
        <v>284</v>
      </c>
      <c r="B53" t="s">
        <v>285</v>
      </c>
      <c r="C53" t="s">
        <v>286</v>
      </c>
      <c r="D53" t="s">
        <v>97</v>
      </c>
      <c r="E53">
        <v>2016</v>
      </c>
      <c r="F53" t="s">
        <v>287</v>
      </c>
      <c r="G53" t="s">
        <v>288</v>
      </c>
      <c r="H53" t="s">
        <v>20</v>
      </c>
      <c r="I53">
        <v>72</v>
      </c>
      <c r="J53" t="b">
        <v>0</v>
      </c>
      <c r="K53" t="b">
        <v>0</v>
      </c>
      <c r="L53" t="b">
        <v>0</v>
      </c>
      <c r="N53" t="b">
        <v>0</v>
      </c>
      <c r="Q53" t="b">
        <v>0</v>
      </c>
      <c r="R53" t="str">
        <f t="shared" si="1"/>
        <v/>
      </c>
      <c r="W53" s="7" t="b">
        <v>0</v>
      </c>
    </row>
    <row r="54" spans="1:23" x14ac:dyDescent="0.2">
      <c r="A54" t="s">
        <v>289</v>
      </c>
      <c r="B54" t="s">
        <v>290</v>
      </c>
      <c r="C54" t="s">
        <v>291</v>
      </c>
      <c r="D54" t="s">
        <v>198</v>
      </c>
      <c r="E54">
        <v>2013</v>
      </c>
      <c r="F54" t="s">
        <v>25</v>
      </c>
      <c r="G54" t="s">
        <v>292</v>
      </c>
      <c r="H54" t="s">
        <v>293</v>
      </c>
      <c r="I54">
        <v>13</v>
      </c>
      <c r="J54" t="b">
        <v>0</v>
      </c>
      <c r="K54" t="b">
        <v>0</v>
      </c>
      <c r="L54" t="b">
        <v>0</v>
      </c>
      <c r="N54" t="b">
        <v>0</v>
      </c>
      <c r="Q54" t="b">
        <v>0</v>
      </c>
      <c r="R54" t="str">
        <f t="shared" si="1"/>
        <v/>
      </c>
      <c r="W54" s="7" t="b">
        <v>0</v>
      </c>
    </row>
    <row r="55" spans="1:23" x14ac:dyDescent="0.2">
      <c r="A55" t="s">
        <v>294</v>
      </c>
      <c r="B55" t="s">
        <v>295</v>
      </c>
      <c r="C55" t="s">
        <v>296</v>
      </c>
      <c r="D55" t="s">
        <v>17</v>
      </c>
      <c r="E55">
        <v>2009</v>
      </c>
      <c r="F55" t="s">
        <v>297</v>
      </c>
      <c r="G55" t="s">
        <v>298</v>
      </c>
      <c r="H55" t="s">
        <v>128</v>
      </c>
      <c r="I55">
        <v>27</v>
      </c>
      <c r="J55" t="b">
        <v>0</v>
      </c>
      <c r="K55" t="b">
        <v>0</v>
      </c>
      <c r="L55" t="b">
        <v>0</v>
      </c>
      <c r="N55" t="b">
        <v>0</v>
      </c>
      <c r="Q55" t="b">
        <v>0</v>
      </c>
      <c r="R55" t="str">
        <f t="shared" si="1"/>
        <v/>
      </c>
      <c r="W55" s="7" t="b">
        <v>0</v>
      </c>
    </row>
    <row r="56" spans="1:23" s="1" customFormat="1" x14ac:dyDescent="0.2">
      <c r="A56" s="1" t="s">
        <v>299</v>
      </c>
      <c r="B56" s="1" t="s">
        <v>300</v>
      </c>
      <c r="C56" s="1" t="s">
        <v>301</v>
      </c>
      <c r="D56" s="1" t="s">
        <v>17</v>
      </c>
      <c r="E56" s="1">
        <v>2013</v>
      </c>
      <c r="F56" s="1" t="s">
        <v>302</v>
      </c>
      <c r="G56" s="1" t="s">
        <v>303</v>
      </c>
      <c r="H56" s="1" t="s">
        <v>20</v>
      </c>
      <c r="I56" s="1">
        <v>71</v>
      </c>
      <c r="J56" s="1" t="b">
        <v>0</v>
      </c>
      <c r="K56" s="1" t="b">
        <v>0</v>
      </c>
      <c r="L56" s="1" t="b">
        <v>0</v>
      </c>
      <c r="M56" s="1" t="s">
        <v>3754</v>
      </c>
      <c r="N56" s="1" t="b">
        <v>0</v>
      </c>
      <c r="O56" s="1" t="s">
        <v>3715</v>
      </c>
      <c r="Q56" t="b">
        <v>0</v>
      </c>
      <c r="R56" t="str">
        <f t="shared" si="1"/>
        <v/>
      </c>
      <c r="W56" s="7" t="b">
        <v>0</v>
      </c>
    </row>
    <row r="57" spans="1:23" x14ac:dyDescent="0.2">
      <c r="A57" t="s">
        <v>304</v>
      </c>
      <c r="B57" t="s">
        <v>305</v>
      </c>
      <c r="C57" t="s">
        <v>306</v>
      </c>
      <c r="D57" t="s">
        <v>24</v>
      </c>
      <c r="E57">
        <v>2012</v>
      </c>
      <c r="F57" t="s">
        <v>25</v>
      </c>
      <c r="G57" t="s">
        <v>307</v>
      </c>
      <c r="H57" t="s">
        <v>20</v>
      </c>
      <c r="I57">
        <v>61</v>
      </c>
      <c r="J57" t="b">
        <v>0</v>
      </c>
      <c r="K57" t="b">
        <v>1</v>
      </c>
      <c r="L57" t="b">
        <v>1</v>
      </c>
      <c r="M57" t="s">
        <v>27</v>
      </c>
      <c r="N57" t="b">
        <v>1</v>
      </c>
      <c r="O57" t="s">
        <v>3716</v>
      </c>
      <c r="Q57" t="b">
        <v>1</v>
      </c>
      <c r="R57" t="str">
        <f t="shared" si="1"/>
        <v/>
      </c>
      <c r="W57" s="7" t="b">
        <v>1</v>
      </c>
    </row>
    <row r="58" spans="1:23" x14ac:dyDescent="0.2">
      <c r="A58" t="s">
        <v>308</v>
      </c>
      <c r="B58" t="s">
        <v>309</v>
      </c>
      <c r="C58" t="s">
        <v>310</v>
      </c>
      <c r="D58" t="s">
        <v>198</v>
      </c>
      <c r="E58">
        <v>2020</v>
      </c>
      <c r="F58" t="s">
        <v>25</v>
      </c>
      <c r="G58" t="s">
        <v>311</v>
      </c>
      <c r="H58" t="s">
        <v>312</v>
      </c>
      <c r="I58">
        <v>6</v>
      </c>
      <c r="J58" t="b">
        <v>0</v>
      </c>
      <c r="K58" t="b">
        <v>0</v>
      </c>
      <c r="L58" t="b">
        <v>0</v>
      </c>
      <c r="M58" t="s">
        <v>3755</v>
      </c>
      <c r="N58" t="b">
        <v>0</v>
      </c>
      <c r="Q58" t="b">
        <v>1</v>
      </c>
      <c r="R58" t="str">
        <f t="shared" si="1"/>
        <v>!!!</v>
      </c>
      <c r="W58" s="7" t="b">
        <v>1</v>
      </c>
    </row>
    <row r="59" spans="1:23" x14ac:dyDescent="0.2">
      <c r="A59" t="s">
        <v>313</v>
      </c>
      <c r="B59" t="s">
        <v>314</v>
      </c>
      <c r="C59" t="s">
        <v>315</v>
      </c>
      <c r="D59" t="s">
        <v>17</v>
      </c>
      <c r="E59">
        <v>1999</v>
      </c>
      <c r="F59" t="s">
        <v>316</v>
      </c>
      <c r="G59" t="s">
        <v>317</v>
      </c>
      <c r="H59" t="s">
        <v>254</v>
      </c>
      <c r="I59">
        <v>72</v>
      </c>
      <c r="J59" t="b">
        <v>0</v>
      </c>
      <c r="K59" t="b">
        <v>0</v>
      </c>
      <c r="L59" t="b">
        <v>0</v>
      </c>
      <c r="N59" t="b">
        <v>0</v>
      </c>
      <c r="Q59" t="b">
        <v>0</v>
      </c>
      <c r="R59" t="str">
        <f t="shared" si="1"/>
        <v/>
      </c>
      <c r="W59" s="7" t="b">
        <v>0</v>
      </c>
    </row>
    <row r="60" spans="1:23" x14ac:dyDescent="0.2">
      <c r="A60" t="s">
        <v>318</v>
      </c>
      <c r="B60" t="s">
        <v>319</v>
      </c>
      <c r="C60" t="s">
        <v>320</v>
      </c>
      <c r="D60" t="s">
        <v>152</v>
      </c>
      <c r="E60">
        <v>1999</v>
      </c>
      <c r="F60" t="s">
        <v>25</v>
      </c>
      <c r="G60" t="s">
        <v>321</v>
      </c>
      <c r="H60" t="s">
        <v>322</v>
      </c>
      <c r="I60">
        <v>111</v>
      </c>
      <c r="J60" t="b">
        <v>0</v>
      </c>
      <c r="K60" t="b">
        <v>0</v>
      </c>
      <c r="L60" t="b">
        <v>0</v>
      </c>
      <c r="N60" t="b">
        <v>0</v>
      </c>
      <c r="Q60" t="b">
        <v>0</v>
      </c>
      <c r="R60" t="str">
        <f t="shared" si="1"/>
        <v/>
      </c>
      <c r="W60" s="7" t="b">
        <v>0</v>
      </c>
    </row>
    <row r="61" spans="1:23" x14ac:dyDescent="0.2">
      <c r="A61" t="s">
        <v>323</v>
      </c>
      <c r="B61" t="s">
        <v>324</v>
      </c>
      <c r="C61" t="s">
        <v>325</v>
      </c>
      <c r="D61" t="s">
        <v>97</v>
      </c>
      <c r="E61">
        <v>2011</v>
      </c>
      <c r="F61" t="s">
        <v>326</v>
      </c>
      <c r="G61" t="s">
        <v>327</v>
      </c>
      <c r="H61" t="s">
        <v>128</v>
      </c>
      <c r="I61">
        <v>52</v>
      </c>
      <c r="J61" t="b">
        <v>0</v>
      </c>
      <c r="K61" t="b">
        <v>0</v>
      </c>
      <c r="L61" t="b">
        <v>0</v>
      </c>
      <c r="N61" t="b">
        <v>0</v>
      </c>
      <c r="Q61" t="b">
        <v>0</v>
      </c>
      <c r="R61" t="str">
        <f t="shared" si="1"/>
        <v/>
      </c>
      <c r="W61" s="7" t="b">
        <v>0</v>
      </c>
    </row>
    <row r="62" spans="1:23" x14ac:dyDescent="0.2">
      <c r="A62" t="s">
        <v>328</v>
      </c>
      <c r="B62" t="s">
        <v>329</v>
      </c>
      <c r="C62" t="s">
        <v>330</v>
      </c>
      <c r="D62" t="s">
        <v>152</v>
      </c>
      <c r="E62">
        <v>2006</v>
      </c>
      <c r="F62" t="s">
        <v>25</v>
      </c>
      <c r="G62" t="s">
        <v>331</v>
      </c>
      <c r="H62" t="s">
        <v>154</v>
      </c>
      <c r="I62">
        <v>123</v>
      </c>
      <c r="J62" t="b">
        <v>0</v>
      </c>
      <c r="K62" t="b">
        <v>1</v>
      </c>
      <c r="L62" t="b">
        <v>1</v>
      </c>
      <c r="M62" t="s">
        <v>332</v>
      </c>
      <c r="N62" t="b">
        <v>1</v>
      </c>
      <c r="O62" t="s">
        <v>3717</v>
      </c>
      <c r="Q62" t="b">
        <v>1</v>
      </c>
      <c r="R62" t="str">
        <f t="shared" si="1"/>
        <v/>
      </c>
      <c r="W62" s="7" t="b">
        <v>1</v>
      </c>
    </row>
    <row r="63" spans="1:23" s="1" customFormat="1" x14ac:dyDescent="0.2">
      <c r="A63" s="1" t="s">
        <v>333</v>
      </c>
      <c r="B63" s="1" t="s">
        <v>334</v>
      </c>
      <c r="C63" s="1" t="s">
        <v>335</v>
      </c>
      <c r="D63" s="1" t="s">
        <v>24</v>
      </c>
      <c r="E63" s="1">
        <v>2012</v>
      </c>
      <c r="F63" s="1" t="s">
        <v>25</v>
      </c>
      <c r="G63" s="1" t="s">
        <v>336</v>
      </c>
      <c r="H63" s="1" t="s">
        <v>20</v>
      </c>
      <c r="I63" s="1">
        <v>25</v>
      </c>
      <c r="Q63"/>
      <c r="R63" t="str">
        <f>IF(Q63&lt;&gt;S63,"!!!","")</f>
        <v>!!!</v>
      </c>
      <c r="S63" s="1" t="s">
        <v>3718</v>
      </c>
      <c r="W63" s="7" t="b">
        <v>1</v>
      </c>
    </row>
    <row r="64" spans="1:23" x14ac:dyDescent="0.2">
      <c r="A64" t="s">
        <v>337</v>
      </c>
      <c r="B64" t="s">
        <v>338</v>
      </c>
      <c r="C64" t="s">
        <v>339</v>
      </c>
      <c r="D64" t="s">
        <v>152</v>
      </c>
      <c r="E64">
        <v>2004</v>
      </c>
      <c r="F64" t="s">
        <v>25</v>
      </c>
      <c r="G64" t="s">
        <v>340</v>
      </c>
      <c r="H64" t="s">
        <v>77</v>
      </c>
      <c r="I64">
        <v>8</v>
      </c>
      <c r="J64" t="b">
        <v>0</v>
      </c>
      <c r="K64" t="b">
        <v>0</v>
      </c>
      <c r="L64" t="b">
        <v>0</v>
      </c>
      <c r="N64" t="b">
        <v>0</v>
      </c>
      <c r="Q64" t="b">
        <v>0</v>
      </c>
      <c r="R64" t="str">
        <f t="shared" si="1"/>
        <v/>
      </c>
      <c r="W64" s="7" t="b">
        <v>0</v>
      </c>
    </row>
    <row r="65" spans="1:23" x14ac:dyDescent="0.2">
      <c r="A65" t="s">
        <v>341</v>
      </c>
      <c r="B65" t="s">
        <v>342</v>
      </c>
      <c r="C65" t="s">
        <v>343</v>
      </c>
      <c r="D65" t="s">
        <v>53</v>
      </c>
      <c r="E65">
        <v>2018</v>
      </c>
      <c r="F65" t="s">
        <v>25</v>
      </c>
      <c r="G65" t="s">
        <v>344</v>
      </c>
      <c r="H65" t="s">
        <v>67</v>
      </c>
      <c r="I65">
        <v>9</v>
      </c>
      <c r="J65" t="b">
        <v>0</v>
      </c>
      <c r="K65" t="b">
        <v>0</v>
      </c>
      <c r="L65" t="b">
        <v>0</v>
      </c>
      <c r="N65" t="b">
        <v>0</v>
      </c>
      <c r="Q65" t="b">
        <v>0</v>
      </c>
      <c r="R65" t="str">
        <f t="shared" si="1"/>
        <v/>
      </c>
      <c r="W65" s="7" t="b">
        <v>0</v>
      </c>
    </row>
    <row r="66" spans="1:23" x14ac:dyDescent="0.2">
      <c r="A66" t="s">
        <v>345</v>
      </c>
      <c r="B66" t="s">
        <v>346</v>
      </c>
      <c r="C66" t="s">
        <v>347</v>
      </c>
      <c r="D66" t="s">
        <v>47</v>
      </c>
      <c r="E66">
        <v>2010</v>
      </c>
      <c r="F66" t="s">
        <v>25</v>
      </c>
      <c r="G66" t="s">
        <v>348</v>
      </c>
      <c r="H66" t="s">
        <v>154</v>
      </c>
      <c r="I66">
        <v>192</v>
      </c>
      <c r="J66" t="b">
        <v>0</v>
      </c>
      <c r="K66" t="b">
        <v>1</v>
      </c>
      <c r="L66" t="b">
        <v>0</v>
      </c>
      <c r="M66" t="b">
        <v>0</v>
      </c>
      <c r="N66" s="3" t="b">
        <v>0</v>
      </c>
      <c r="O66" t="s">
        <v>3719</v>
      </c>
      <c r="Q66" t="b">
        <v>1</v>
      </c>
      <c r="R66" t="str">
        <f t="shared" ref="R66:R73" si="2">IF(Q66&lt;&gt;N66,"!!!","")</f>
        <v>!!!</v>
      </c>
      <c r="S66" t="s">
        <v>3756</v>
      </c>
      <c r="W66" s="7" t="b">
        <v>1</v>
      </c>
    </row>
    <row r="67" spans="1:23" x14ac:dyDescent="0.2">
      <c r="A67" t="s">
        <v>349</v>
      </c>
      <c r="B67" t="s">
        <v>350</v>
      </c>
      <c r="C67" t="s">
        <v>351</v>
      </c>
      <c r="D67" t="s">
        <v>53</v>
      </c>
      <c r="E67">
        <v>2014</v>
      </c>
      <c r="F67" t="s">
        <v>25</v>
      </c>
      <c r="G67" t="s">
        <v>352</v>
      </c>
      <c r="H67" t="s">
        <v>20</v>
      </c>
      <c r="I67">
        <v>30</v>
      </c>
      <c r="J67" t="b">
        <v>0</v>
      </c>
      <c r="K67" t="b">
        <v>1</v>
      </c>
      <c r="L67" t="b">
        <v>0</v>
      </c>
      <c r="M67" t="s">
        <v>27</v>
      </c>
      <c r="N67" s="3" t="b">
        <v>0</v>
      </c>
      <c r="O67" t="s">
        <v>3720</v>
      </c>
      <c r="P67" t="s">
        <v>3733</v>
      </c>
      <c r="Q67" t="b">
        <v>1</v>
      </c>
      <c r="R67" t="str">
        <f t="shared" si="2"/>
        <v>!!!</v>
      </c>
      <c r="W67" s="7" t="b">
        <v>1</v>
      </c>
    </row>
    <row r="68" spans="1:23" x14ac:dyDescent="0.2">
      <c r="A68" t="s">
        <v>353</v>
      </c>
      <c r="B68" t="s">
        <v>354</v>
      </c>
      <c r="C68" t="s">
        <v>355</v>
      </c>
      <c r="D68" t="s">
        <v>58</v>
      </c>
      <c r="E68">
        <v>2005</v>
      </c>
      <c r="F68" t="s">
        <v>356</v>
      </c>
      <c r="G68" t="s">
        <v>357</v>
      </c>
      <c r="H68" t="s">
        <v>77</v>
      </c>
      <c r="I68">
        <v>65</v>
      </c>
      <c r="J68" t="b">
        <v>0</v>
      </c>
      <c r="K68" t="b">
        <v>0</v>
      </c>
      <c r="L68" t="b">
        <v>0</v>
      </c>
      <c r="N68" t="b">
        <v>0</v>
      </c>
      <c r="Q68" t="b">
        <v>0</v>
      </c>
      <c r="R68" t="str">
        <f t="shared" si="2"/>
        <v/>
      </c>
      <c r="W68" s="7" t="b">
        <v>0</v>
      </c>
    </row>
    <row r="69" spans="1:23" x14ac:dyDescent="0.2">
      <c r="A69" t="s">
        <v>358</v>
      </c>
      <c r="B69" t="s">
        <v>359</v>
      </c>
      <c r="C69" t="s">
        <v>360</v>
      </c>
      <c r="D69" t="s">
        <v>47</v>
      </c>
      <c r="E69">
        <v>1997</v>
      </c>
      <c r="F69" t="s">
        <v>25</v>
      </c>
      <c r="G69" t="s">
        <v>361</v>
      </c>
      <c r="H69" t="s">
        <v>20</v>
      </c>
      <c r="I69">
        <v>20</v>
      </c>
      <c r="J69" t="b">
        <v>0</v>
      </c>
      <c r="K69" t="b">
        <v>1</v>
      </c>
      <c r="L69" t="b">
        <v>1</v>
      </c>
      <c r="M69" t="s">
        <v>139</v>
      </c>
      <c r="N69" t="b">
        <v>1</v>
      </c>
      <c r="Q69" t="b">
        <v>1</v>
      </c>
      <c r="R69" t="str">
        <f t="shared" si="2"/>
        <v/>
      </c>
      <c r="W69" s="7" t="b">
        <v>1</v>
      </c>
    </row>
    <row r="70" spans="1:23" x14ac:dyDescent="0.2">
      <c r="A70" t="s">
        <v>362</v>
      </c>
      <c r="B70" t="s">
        <v>363</v>
      </c>
      <c r="C70" t="s">
        <v>364</v>
      </c>
      <c r="D70" t="s">
        <v>85</v>
      </c>
      <c r="E70">
        <v>1996</v>
      </c>
      <c r="F70" t="s">
        <v>365</v>
      </c>
      <c r="G70" t="s">
        <v>366</v>
      </c>
      <c r="H70" t="s">
        <v>367</v>
      </c>
      <c r="I70">
        <v>46</v>
      </c>
      <c r="J70" t="b">
        <v>0</v>
      </c>
      <c r="K70" t="b">
        <v>0</v>
      </c>
      <c r="L70" t="b">
        <v>0</v>
      </c>
      <c r="N70" t="b">
        <v>0</v>
      </c>
      <c r="Q70" t="b">
        <v>0</v>
      </c>
      <c r="R70" t="str">
        <f t="shared" si="2"/>
        <v/>
      </c>
      <c r="W70" s="7" t="b">
        <v>0</v>
      </c>
    </row>
    <row r="71" spans="1:23" x14ac:dyDescent="0.2">
      <c r="A71" t="s">
        <v>368</v>
      </c>
      <c r="B71" t="s">
        <v>369</v>
      </c>
      <c r="C71" t="s">
        <v>370</v>
      </c>
      <c r="D71" t="s">
        <v>24</v>
      </c>
      <c r="E71">
        <v>2014</v>
      </c>
      <c r="F71" t="s">
        <v>25</v>
      </c>
      <c r="G71" t="s">
        <v>371</v>
      </c>
      <c r="H71" t="s">
        <v>154</v>
      </c>
      <c r="I71">
        <v>18</v>
      </c>
      <c r="J71" t="b">
        <v>0</v>
      </c>
      <c r="K71" t="b">
        <v>1</v>
      </c>
      <c r="L71" t="b">
        <v>1</v>
      </c>
      <c r="M71" t="s">
        <v>139</v>
      </c>
      <c r="N71" t="b">
        <v>1</v>
      </c>
      <c r="Q71" t="b">
        <v>1</v>
      </c>
      <c r="R71" t="str">
        <f t="shared" si="2"/>
        <v/>
      </c>
      <c r="W71" s="7" t="b">
        <v>1</v>
      </c>
    </row>
    <row r="72" spans="1:23" x14ac:dyDescent="0.2">
      <c r="A72" t="s">
        <v>372</v>
      </c>
      <c r="B72" t="s">
        <v>373</v>
      </c>
      <c r="C72" t="s">
        <v>374</v>
      </c>
      <c r="D72" t="s">
        <v>152</v>
      </c>
      <c r="E72">
        <v>1999</v>
      </c>
      <c r="F72" t="s">
        <v>25</v>
      </c>
      <c r="G72" t="s">
        <v>375</v>
      </c>
      <c r="H72" t="s">
        <v>77</v>
      </c>
      <c r="I72">
        <v>49</v>
      </c>
      <c r="J72" t="b">
        <v>0</v>
      </c>
      <c r="K72" t="b">
        <v>0</v>
      </c>
      <c r="L72" t="b">
        <v>0</v>
      </c>
      <c r="N72" t="b">
        <v>0</v>
      </c>
      <c r="Q72" t="b">
        <v>0</v>
      </c>
      <c r="R72" t="str">
        <f t="shared" si="2"/>
        <v/>
      </c>
      <c r="W72" s="7" t="b">
        <v>0</v>
      </c>
    </row>
    <row r="73" spans="1:23" x14ac:dyDescent="0.2">
      <c r="A73" t="s">
        <v>376</v>
      </c>
      <c r="B73" t="s">
        <v>377</v>
      </c>
      <c r="C73" t="s">
        <v>378</v>
      </c>
      <c r="D73" t="s">
        <v>47</v>
      </c>
      <c r="E73">
        <v>2017</v>
      </c>
      <c r="F73" t="s">
        <v>25</v>
      </c>
      <c r="G73" t="s">
        <v>379</v>
      </c>
      <c r="H73" t="s">
        <v>154</v>
      </c>
      <c r="I73">
        <v>52</v>
      </c>
      <c r="J73" t="b">
        <v>0</v>
      </c>
      <c r="K73" t="b">
        <v>0</v>
      </c>
      <c r="L73" t="b">
        <v>0</v>
      </c>
      <c r="N73" t="b">
        <v>0</v>
      </c>
      <c r="Q73" t="b">
        <v>0</v>
      </c>
      <c r="R73" t="str">
        <f t="shared" si="2"/>
        <v/>
      </c>
      <c r="W73" s="7" t="b">
        <v>0</v>
      </c>
    </row>
    <row r="74" spans="1:23" x14ac:dyDescent="0.2">
      <c r="A74" t="s">
        <v>380</v>
      </c>
      <c r="B74" t="s">
        <v>381</v>
      </c>
      <c r="C74" t="s">
        <v>382</v>
      </c>
      <c r="D74" t="s">
        <v>24</v>
      </c>
      <c r="E74">
        <v>1998</v>
      </c>
      <c r="F74" t="s">
        <v>25</v>
      </c>
      <c r="G74" t="s">
        <v>383</v>
      </c>
      <c r="H74" t="s">
        <v>20</v>
      </c>
      <c r="I74">
        <v>3</v>
      </c>
      <c r="J74" t="b">
        <v>0</v>
      </c>
      <c r="K74" t="b">
        <v>1</v>
      </c>
      <c r="L74" t="b">
        <v>1</v>
      </c>
      <c r="M74" t="s">
        <v>139</v>
      </c>
      <c r="N74" t="b">
        <v>1</v>
      </c>
      <c r="Q74" t="b">
        <v>1</v>
      </c>
      <c r="W74" s="7" t="b">
        <v>1</v>
      </c>
    </row>
    <row r="75" spans="1:23" x14ac:dyDescent="0.2">
      <c r="A75" t="s">
        <v>384</v>
      </c>
      <c r="B75" t="s">
        <v>385</v>
      </c>
      <c r="C75" t="s">
        <v>386</v>
      </c>
      <c r="D75" t="s">
        <v>58</v>
      </c>
      <c r="E75">
        <v>1999</v>
      </c>
      <c r="F75" t="s">
        <v>387</v>
      </c>
      <c r="G75" t="s">
        <v>388</v>
      </c>
      <c r="H75" t="s">
        <v>389</v>
      </c>
      <c r="I75">
        <v>8</v>
      </c>
      <c r="J75" t="b">
        <v>0</v>
      </c>
      <c r="K75" t="b">
        <v>0</v>
      </c>
      <c r="L75" t="b">
        <v>0</v>
      </c>
      <c r="N75" t="b">
        <v>0</v>
      </c>
      <c r="O75" t="s">
        <v>3721</v>
      </c>
      <c r="Q75" t="b">
        <v>0</v>
      </c>
      <c r="W75" s="7" t="b">
        <v>0</v>
      </c>
    </row>
    <row r="76" spans="1:23" x14ac:dyDescent="0.2">
      <c r="A76" t="s">
        <v>390</v>
      </c>
      <c r="B76" t="s">
        <v>391</v>
      </c>
      <c r="C76" t="s">
        <v>392</v>
      </c>
      <c r="D76" t="s">
        <v>24</v>
      </c>
      <c r="E76">
        <v>1997</v>
      </c>
      <c r="F76" t="s">
        <v>25</v>
      </c>
      <c r="G76" t="s">
        <v>393</v>
      </c>
      <c r="H76" t="s">
        <v>20</v>
      </c>
      <c r="I76">
        <v>199</v>
      </c>
      <c r="J76" t="b">
        <v>0</v>
      </c>
      <c r="K76" t="b">
        <v>0</v>
      </c>
      <c r="L76" t="b">
        <v>0</v>
      </c>
      <c r="N76" t="b">
        <v>0</v>
      </c>
      <c r="Q76" t="b">
        <v>0</v>
      </c>
      <c r="W76" s="7" t="b">
        <v>0</v>
      </c>
    </row>
    <row r="77" spans="1:23" x14ac:dyDescent="0.2">
      <c r="A77" t="s">
        <v>394</v>
      </c>
      <c r="B77" t="s">
        <v>395</v>
      </c>
      <c r="C77" t="s">
        <v>396</v>
      </c>
      <c r="D77" t="s">
        <v>17</v>
      </c>
      <c r="E77">
        <v>2011</v>
      </c>
      <c r="F77" t="s">
        <v>397</v>
      </c>
      <c r="G77" t="s">
        <v>398</v>
      </c>
      <c r="H77" t="s">
        <v>20</v>
      </c>
      <c r="I77">
        <v>167</v>
      </c>
      <c r="J77" t="b">
        <v>0</v>
      </c>
      <c r="K77" t="b">
        <v>0</v>
      </c>
      <c r="L77" t="b">
        <v>0</v>
      </c>
      <c r="N77" t="b">
        <v>0</v>
      </c>
      <c r="Q77" t="b">
        <v>0</v>
      </c>
      <c r="W77" s="7" t="b">
        <v>0</v>
      </c>
    </row>
    <row r="78" spans="1:23" s="1" customFormat="1" x14ac:dyDescent="0.2">
      <c r="A78" s="1" t="s">
        <v>399</v>
      </c>
      <c r="B78" s="1" t="s">
        <v>400</v>
      </c>
      <c r="C78" s="1" t="s">
        <v>401</v>
      </c>
      <c r="D78" s="1" t="s">
        <v>47</v>
      </c>
      <c r="E78" s="1">
        <v>2013</v>
      </c>
      <c r="F78" s="1" t="s">
        <v>25</v>
      </c>
      <c r="G78" s="1" t="s">
        <v>402</v>
      </c>
      <c r="H78" s="1" t="s">
        <v>20</v>
      </c>
      <c r="I78" s="1">
        <v>72</v>
      </c>
      <c r="J78" s="1" t="b">
        <v>0</v>
      </c>
      <c r="K78" s="1" t="b">
        <v>1</v>
      </c>
      <c r="L78" s="1" t="b">
        <v>0</v>
      </c>
      <c r="M78" s="1" t="s">
        <v>27</v>
      </c>
      <c r="N78" s="1" t="b">
        <v>1</v>
      </c>
      <c r="O78" s="1" t="s">
        <v>3722</v>
      </c>
      <c r="P78" s="1" t="s">
        <v>3734</v>
      </c>
      <c r="Q78" t="b">
        <v>1</v>
      </c>
      <c r="R78"/>
      <c r="W78" s="7" t="b">
        <v>1</v>
      </c>
    </row>
    <row r="79" spans="1:23" x14ac:dyDescent="0.2">
      <c r="A79" t="s">
        <v>403</v>
      </c>
      <c r="B79" t="s">
        <v>404</v>
      </c>
      <c r="C79" t="s">
        <v>405</v>
      </c>
      <c r="D79" t="s">
        <v>17</v>
      </c>
      <c r="E79">
        <v>2011</v>
      </c>
      <c r="F79" t="s">
        <v>406</v>
      </c>
      <c r="G79" t="s">
        <v>407</v>
      </c>
      <c r="H79" t="s">
        <v>61</v>
      </c>
      <c r="I79">
        <v>19</v>
      </c>
      <c r="J79" t="b">
        <v>0</v>
      </c>
      <c r="K79" t="b">
        <v>0</v>
      </c>
      <c r="L79" t="b">
        <v>0</v>
      </c>
      <c r="N79" t="b">
        <v>0</v>
      </c>
      <c r="Q79" t="b">
        <v>0</v>
      </c>
      <c r="W79" s="7" t="b">
        <v>0</v>
      </c>
    </row>
    <row r="80" spans="1:23" s="1" customFormat="1" x14ac:dyDescent="0.2">
      <c r="A80" s="1" t="s">
        <v>408</v>
      </c>
      <c r="B80" s="1" t="s">
        <v>409</v>
      </c>
      <c r="C80" s="1" t="s">
        <v>410</v>
      </c>
      <c r="D80" s="1" t="s">
        <v>24</v>
      </c>
      <c r="E80" s="1">
        <v>2014</v>
      </c>
      <c r="F80" s="1" t="s">
        <v>25</v>
      </c>
      <c r="G80" s="1" t="s">
        <v>411</v>
      </c>
      <c r="H80" s="1" t="s">
        <v>20</v>
      </c>
      <c r="I80" s="1">
        <v>12</v>
      </c>
      <c r="L80"/>
      <c r="O80" s="1" t="s">
        <v>3723</v>
      </c>
      <c r="P80" s="1" t="s">
        <v>3735</v>
      </c>
      <c r="Q80"/>
      <c r="R80"/>
      <c r="W80" s="7" t="b">
        <v>0</v>
      </c>
    </row>
    <row r="81" spans="1:23" x14ac:dyDescent="0.2">
      <c r="A81" t="s">
        <v>412</v>
      </c>
      <c r="B81" t="s">
        <v>413</v>
      </c>
      <c r="C81" t="s">
        <v>414</v>
      </c>
      <c r="D81" t="s">
        <v>152</v>
      </c>
      <c r="E81">
        <v>1994</v>
      </c>
      <c r="F81" t="s">
        <v>25</v>
      </c>
      <c r="G81" t="s">
        <v>415</v>
      </c>
      <c r="H81" t="s">
        <v>154</v>
      </c>
      <c r="I81">
        <v>27</v>
      </c>
      <c r="J81" t="b">
        <v>0</v>
      </c>
      <c r="K81" t="b">
        <v>0</v>
      </c>
      <c r="L81" t="b">
        <v>0</v>
      </c>
      <c r="N81" t="b">
        <v>0</v>
      </c>
      <c r="Q81" t="b">
        <v>0</v>
      </c>
      <c r="W81" s="7" t="b">
        <v>0</v>
      </c>
    </row>
    <row r="82" spans="1:23" x14ac:dyDescent="0.2">
      <c r="A82" t="s">
        <v>416</v>
      </c>
      <c r="B82" t="s">
        <v>417</v>
      </c>
      <c r="C82" t="s">
        <v>418</v>
      </c>
      <c r="D82" t="s">
        <v>24</v>
      </c>
      <c r="E82">
        <v>1992</v>
      </c>
      <c r="F82" t="s">
        <v>25</v>
      </c>
      <c r="G82" t="s">
        <v>419</v>
      </c>
      <c r="H82" t="s">
        <v>20</v>
      </c>
      <c r="I82">
        <v>97</v>
      </c>
      <c r="J82" t="b">
        <v>0</v>
      </c>
      <c r="K82" t="b">
        <v>0</v>
      </c>
      <c r="L82" t="b">
        <v>0</v>
      </c>
      <c r="N82" t="b">
        <v>0</v>
      </c>
      <c r="Q82" t="b">
        <v>0</v>
      </c>
      <c r="W82" s="7" t="b">
        <v>0</v>
      </c>
    </row>
    <row r="83" spans="1:23" x14ac:dyDescent="0.2">
      <c r="A83" t="s">
        <v>420</v>
      </c>
      <c r="B83" t="s">
        <v>421</v>
      </c>
      <c r="C83" t="s">
        <v>422</v>
      </c>
      <c r="D83" t="s">
        <v>24</v>
      </c>
      <c r="E83">
        <v>1996</v>
      </c>
      <c r="F83" t="s">
        <v>25</v>
      </c>
      <c r="G83" t="s">
        <v>423</v>
      </c>
      <c r="H83" t="s">
        <v>20</v>
      </c>
      <c r="I83">
        <v>300</v>
      </c>
      <c r="J83" t="b">
        <v>0</v>
      </c>
      <c r="K83" t="b">
        <v>0</v>
      </c>
      <c r="L83" t="b">
        <v>0</v>
      </c>
      <c r="N83" t="b">
        <v>0</v>
      </c>
      <c r="Q83" t="b">
        <v>0</v>
      </c>
      <c r="W83" s="7" t="b">
        <v>0</v>
      </c>
    </row>
    <row r="84" spans="1:23" x14ac:dyDescent="0.2">
      <c r="A84" t="s">
        <v>424</v>
      </c>
      <c r="B84" t="s">
        <v>425</v>
      </c>
      <c r="C84" t="s">
        <v>426</v>
      </c>
      <c r="D84" t="s">
        <v>17</v>
      </c>
      <c r="E84">
        <v>2018</v>
      </c>
      <c r="F84" t="s">
        <v>427</v>
      </c>
      <c r="G84" t="s">
        <v>428</v>
      </c>
      <c r="H84" t="s">
        <v>389</v>
      </c>
      <c r="I84">
        <v>5</v>
      </c>
      <c r="J84" t="b">
        <v>0</v>
      </c>
      <c r="K84" t="b">
        <v>0</v>
      </c>
      <c r="L84" t="b">
        <v>0</v>
      </c>
      <c r="N84" t="b">
        <v>0</v>
      </c>
      <c r="Q84" t="b">
        <v>0</v>
      </c>
      <c r="W84" s="7" t="b">
        <v>0</v>
      </c>
    </row>
    <row r="85" spans="1:23" x14ac:dyDescent="0.2">
      <c r="A85" t="s">
        <v>429</v>
      </c>
      <c r="B85" t="s">
        <v>430</v>
      </c>
      <c r="C85" t="s">
        <v>431</v>
      </c>
      <c r="D85" t="s">
        <v>17</v>
      </c>
      <c r="E85">
        <v>2012</v>
      </c>
      <c r="F85" t="s">
        <v>432</v>
      </c>
      <c r="G85" t="s">
        <v>433</v>
      </c>
      <c r="H85" t="s">
        <v>20</v>
      </c>
      <c r="I85">
        <v>51</v>
      </c>
      <c r="J85" t="b">
        <v>0</v>
      </c>
      <c r="K85" t="b">
        <v>0</v>
      </c>
      <c r="L85" t="b">
        <v>0</v>
      </c>
      <c r="N85" t="b">
        <v>0</v>
      </c>
      <c r="Q85" t="b">
        <v>0</v>
      </c>
      <c r="W85" s="7" t="b">
        <v>0</v>
      </c>
    </row>
    <row r="86" spans="1:23" s="1" customFormat="1" x14ac:dyDescent="0.2">
      <c r="A86" s="1" t="s">
        <v>434</v>
      </c>
      <c r="B86" s="1" t="s">
        <v>435</v>
      </c>
      <c r="C86" s="1" t="s">
        <v>436</v>
      </c>
      <c r="D86" s="1" t="s">
        <v>58</v>
      </c>
      <c r="E86" s="1">
        <v>2000</v>
      </c>
      <c r="F86" s="1" t="s">
        <v>437</v>
      </c>
      <c r="G86" s="1" t="s">
        <v>438</v>
      </c>
      <c r="H86" s="1" t="s">
        <v>439</v>
      </c>
      <c r="I86" s="1">
        <v>39</v>
      </c>
      <c r="J86" s="1" t="b">
        <v>0</v>
      </c>
      <c r="K86" s="1" t="b">
        <v>1</v>
      </c>
      <c r="L86" s="1" t="b">
        <v>0</v>
      </c>
      <c r="M86" s="1" t="s">
        <v>3757</v>
      </c>
      <c r="N86" s="1" t="b">
        <v>1</v>
      </c>
      <c r="O86" s="1" t="s">
        <v>3724</v>
      </c>
      <c r="P86" s="1" t="s">
        <v>3736</v>
      </c>
      <c r="Q86" t="b">
        <v>1</v>
      </c>
      <c r="R86"/>
      <c r="W86" s="7" t="b">
        <v>1</v>
      </c>
    </row>
    <row r="87" spans="1:23" x14ac:dyDescent="0.2">
      <c r="A87" t="s">
        <v>440</v>
      </c>
      <c r="B87" t="s">
        <v>441</v>
      </c>
      <c r="C87" t="s">
        <v>442</v>
      </c>
      <c r="D87" t="s">
        <v>17</v>
      </c>
      <c r="E87">
        <v>2011</v>
      </c>
      <c r="F87" t="s">
        <v>443</v>
      </c>
      <c r="G87" t="s">
        <v>444</v>
      </c>
      <c r="H87" t="s">
        <v>20</v>
      </c>
      <c r="I87">
        <v>40</v>
      </c>
      <c r="J87" t="b">
        <v>0</v>
      </c>
      <c r="K87" t="b">
        <v>0</v>
      </c>
      <c r="L87" t="b">
        <v>0</v>
      </c>
      <c r="N87" t="b">
        <v>0</v>
      </c>
      <c r="Q87" t="b">
        <v>0</v>
      </c>
      <c r="W87" s="7" t="b">
        <v>0</v>
      </c>
    </row>
    <row r="88" spans="1:23" x14ac:dyDescent="0.2">
      <c r="A88" t="s">
        <v>445</v>
      </c>
      <c r="B88" t="s">
        <v>446</v>
      </c>
      <c r="C88" t="s">
        <v>447</v>
      </c>
      <c r="D88" t="s">
        <v>152</v>
      </c>
      <c r="E88">
        <v>2018</v>
      </c>
      <c r="F88" t="s">
        <v>448</v>
      </c>
      <c r="G88" t="s">
        <v>449</v>
      </c>
      <c r="H88" t="s">
        <v>20</v>
      </c>
      <c r="I88">
        <v>19</v>
      </c>
      <c r="J88" t="b">
        <v>0</v>
      </c>
      <c r="K88" t="b">
        <v>0</v>
      </c>
      <c r="L88" t="b">
        <v>0</v>
      </c>
      <c r="N88" t="b">
        <v>1</v>
      </c>
      <c r="O88" s="2" t="s">
        <v>3725</v>
      </c>
      <c r="Q88" t="b">
        <v>0</v>
      </c>
      <c r="W88" s="7" t="b">
        <v>0</v>
      </c>
    </row>
    <row r="89" spans="1:23" x14ac:dyDescent="0.2">
      <c r="A89" t="s">
        <v>450</v>
      </c>
      <c r="B89" t="s">
        <v>451</v>
      </c>
      <c r="C89" t="s">
        <v>452</v>
      </c>
      <c r="D89" t="s">
        <v>198</v>
      </c>
      <c r="E89">
        <v>2015</v>
      </c>
      <c r="F89" t="s">
        <v>25</v>
      </c>
      <c r="G89" t="s">
        <v>453</v>
      </c>
      <c r="H89" t="s">
        <v>322</v>
      </c>
      <c r="I89">
        <v>7</v>
      </c>
      <c r="J89" t="b">
        <v>0</v>
      </c>
      <c r="K89" t="b">
        <v>0</v>
      </c>
      <c r="L89" t="b">
        <v>0</v>
      </c>
      <c r="N89" t="b">
        <v>0</v>
      </c>
      <c r="Q89" t="b">
        <v>0</v>
      </c>
      <c r="W89" s="7" t="b">
        <v>0</v>
      </c>
    </row>
    <row r="90" spans="1:23" x14ac:dyDescent="0.2">
      <c r="A90" t="s">
        <v>454</v>
      </c>
      <c r="B90" t="s">
        <v>455</v>
      </c>
      <c r="C90" t="s">
        <v>456</v>
      </c>
      <c r="D90" t="s">
        <v>85</v>
      </c>
      <c r="E90">
        <v>1994</v>
      </c>
      <c r="F90" t="s">
        <v>25</v>
      </c>
      <c r="G90" t="s">
        <v>457</v>
      </c>
      <c r="H90" t="s">
        <v>20</v>
      </c>
      <c r="I90">
        <v>9</v>
      </c>
      <c r="J90" t="b">
        <v>0</v>
      </c>
      <c r="K90" t="b">
        <v>0</v>
      </c>
      <c r="L90" t="b">
        <v>0</v>
      </c>
      <c r="N90" t="b">
        <v>0</v>
      </c>
      <c r="Q90" t="b">
        <v>0</v>
      </c>
      <c r="R90" t="str">
        <f>IF(Q90&lt;&gt;N90,"!!!","")</f>
        <v/>
      </c>
      <c r="W90" s="7" t="b">
        <v>0</v>
      </c>
    </row>
    <row r="91" spans="1:23" x14ac:dyDescent="0.2">
      <c r="A91" t="s">
        <v>458</v>
      </c>
      <c r="B91" t="s">
        <v>459</v>
      </c>
      <c r="C91" t="s">
        <v>460</v>
      </c>
      <c r="D91" t="s">
        <v>58</v>
      </c>
      <c r="E91">
        <v>2006</v>
      </c>
      <c r="F91" t="s">
        <v>461</v>
      </c>
      <c r="G91" t="s">
        <v>462</v>
      </c>
      <c r="H91" t="s">
        <v>463</v>
      </c>
      <c r="I91">
        <v>48</v>
      </c>
      <c r="J91" t="b">
        <v>0</v>
      </c>
      <c r="K91" t="b">
        <v>0</v>
      </c>
      <c r="L91" t="b">
        <v>0</v>
      </c>
      <c r="N91" t="b">
        <v>0</v>
      </c>
      <c r="Q91" t="b">
        <v>0</v>
      </c>
      <c r="R91" t="str">
        <f>IF(Q91&lt;&gt;N91,"!!!","")</f>
        <v/>
      </c>
      <c r="W91" s="7" t="b">
        <v>0</v>
      </c>
    </row>
    <row r="92" spans="1:23" x14ac:dyDescent="0.2">
      <c r="A92" t="s">
        <v>464</v>
      </c>
      <c r="B92" t="s">
        <v>465</v>
      </c>
      <c r="C92" t="s">
        <v>466</v>
      </c>
      <c r="D92" t="s">
        <v>24</v>
      </c>
      <c r="E92">
        <v>1991</v>
      </c>
      <c r="F92" t="s">
        <v>25</v>
      </c>
      <c r="G92" t="s">
        <v>467</v>
      </c>
      <c r="H92" t="s">
        <v>20</v>
      </c>
      <c r="I92">
        <v>39</v>
      </c>
      <c r="J92" t="b">
        <v>0</v>
      </c>
      <c r="K92" t="b">
        <v>0</v>
      </c>
      <c r="L92" t="b">
        <v>0</v>
      </c>
      <c r="N92" t="b">
        <v>0</v>
      </c>
      <c r="Q92" t="b">
        <v>0</v>
      </c>
      <c r="R92" t="str">
        <f>IF(Q92&lt;&gt;N92,"!!!","")</f>
        <v/>
      </c>
      <c r="W92" s="7" t="b">
        <v>0</v>
      </c>
    </row>
    <row r="93" spans="1:23" x14ac:dyDescent="0.2">
      <c r="A93" t="s">
        <v>468</v>
      </c>
      <c r="B93" t="s">
        <v>469</v>
      </c>
      <c r="C93" t="s">
        <v>470</v>
      </c>
      <c r="D93" t="s">
        <v>152</v>
      </c>
      <c r="E93">
        <v>2024</v>
      </c>
      <c r="F93" t="s">
        <v>25</v>
      </c>
      <c r="G93" t="s">
        <v>471</v>
      </c>
      <c r="H93" t="s">
        <v>128</v>
      </c>
      <c r="I93">
        <v>0</v>
      </c>
      <c r="J93" t="b">
        <v>0</v>
      </c>
      <c r="K93" t="b">
        <v>0</v>
      </c>
      <c r="L93" t="b">
        <v>0</v>
      </c>
      <c r="N93" t="b">
        <v>0</v>
      </c>
      <c r="Q93" t="b">
        <v>0</v>
      </c>
      <c r="W93" s="7" t="b">
        <v>0</v>
      </c>
    </row>
    <row r="94" spans="1:23" x14ac:dyDescent="0.2">
      <c r="A94" t="s">
        <v>472</v>
      </c>
      <c r="B94" t="s">
        <v>473</v>
      </c>
      <c r="C94" t="s">
        <v>474</v>
      </c>
      <c r="D94" t="s">
        <v>152</v>
      </c>
      <c r="E94">
        <v>2022</v>
      </c>
      <c r="F94" t="s">
        <v>475</v>
      </c>
      <c r="G94" t="s">
        <v>476</v>
      </c>
      <c r="H94" t="s">
        <v>61</v>
      </c>
      <c r="I94">
        <v>2</v>
      </c>
      <c r="J94" t="b">
        <v>0</v>
      </c>
      <c r="K94" t="b">
        <v>0</v>
      </c>
      <c r="L94" t="b">
        <v>0</v>
      </c>
      <c r="N94" t="b">
        <v>1</v>
      </c>
      <c r="O94" t="s">
        <v>3726</v>
      </c>
      <c r="Q94" t="b">
        <v>0</v>
      </c>
      <c r="W94" s="7" t="b">
        <v>0</v>
      </c>
    </row>
    <row r="95" spans="1:23" x14ac:dyDescent="0.2">
      <c r="A95" t="s">
        <v>477</v>
      </c>
      <c r="B95" t="s">
        <v>478</v>
      </c>
      <c r="C95" t="s">
        <v>479</v>
      </c>
      <c r="D95" t="s">
        <v>198</v>
      </c>
      <c r="E95">
        <v>2012</v>
      </c>
      <c r="F95" t="s">
        <v>25</v>
      </c>
      <c r="G95" t="s">
        <v>480</v>
      </c>
      <c r="H95" t="s">
        <v>481</v>
      </c>
      <c r="I95">
        <v>20</v>
      </c>
      <c r="J95" t="b">
        <v>0</v>
      </c>
      <c r="K95" t="b">
        <v>0</v>
      </c>
      <c r="L95" t="b">
        <v>0</v>
      </c>
      <c r="N95" t="b">
        <v>0</v>
      </c>
      <c r="Q95" t="b">
        <v>0</v>
      </c>
      <c r="W95" s="7" t="b">
        <v>0</v>
      </c>
    </row>
    <row r="96" spans="1:23" x14ac:dyDescent="0.2">
      <c r="A96" t="s">
        <v>482</v>
      </c>
      <c r="B96" t="s">
        <v>483</v>
      </c>
      <c r="C96" t="s">
        <v>484</v>
      </c>
      <c r="D96" t="s">
        <v>97</v>
      </c>
      <c r="E96">
        <v>2004</v>
      </c>
      <c r="F96" t="s">
        <v>485</v>
      </c>
      <c r="G96" t="s">
        <v>486</v>
      </c>
      <c r="H96" t="s">
        <v>67</v>
      </c>
      <c r="I96">
        <v>82</v>
      </c>
      <c r="J96" t="b">
        <v>0</v>
      </c>
      <c r="K96" t="b">
        <v>1</v>
      </c>
      <c r="L96" t="b">
        <v>1</v>
      </c>
      <c r="M96" t="s">
        <v>139</v>
      </c>
      <c r="N96" t="b">
        <v>1</v>
      </c>
      <c r="Q96" t="b">
        <v>1</v>
      </c>
      <c r="W96" s="7" t="b">
        <v>1</v>
      </c>
    </row>
    <row r="97" spans="1:23" x14ac:dyDescent="0.2">
      <c r="A97" t="s">
        <v>487</v>
      </c>
      <c r="B97" t="s">
        <v>488</v>
      </c>
      <c r="C97" t="s">
        <v>489</v>
      </c>
      <c r="D97" t="s">
        <v>97</v>
      </c>
      <c r="E97">
        <v>2023</v>
      </c>
      <c r="F97" t="s">
        <v>490</v>
      </c>
      <c r="G97" t="s">
        <v>491</v>
      </c>
      <c r="H97" t="s">
        <v>20</v>
      </c>
      <c r="I97">
        <v>2</v>
      </c>
      <c r="J97" t="b">
        <v>0</v>
      </c>
      <c r="K97" t="b">
        <v>1</v>
      </c>
      <c r="L97" t="b">
        <v>1</v>
      </c>
      <c r="M97" t="s">
        <v>492</v>
      </c>
      <c r="N97" t="b">
        <v>1</v>
      </c>
      <c r="O97" t="s">
        <v>3727</v>
      </c>
      <c r="Q97" t="b">
        <v>1</v>
      </c>
      <c r="W97" s="7" t="b">
        <v>1</v>
      </c>
    </row>
    <row r="98" spans="1:23" x14ac:dyDescent="0.2">
      <c r="A98" t="s">
        <v>493</v>
      </c>
      <c r="B98" t="s">
        <v>494</v>
      </c>
      <c r="C98" t="s">
        <v>495</v>
      </c>
      <c r="D98" t="s">
        <v>24</v>
      </c>
      <c r="E98">
        <v>2001</v>
      </c>
      <c r="F98" t="s">
        <v>25</v>
      </c>
      <c r="G98" t="s">
        <v>496</v>
      </c>
      <c r="H98" t="s">
        <v>20</v>
      </c>
      <c r="I98">
        <v>90</v>
      </c>
      <c r="J98" t="b">
        <v>0</v>
      </c>
      <c r="K98" t="b">
        <v>1</v>
      </c>
      <c r="L98" t="b">
        <v>1</v>
      </c>
      <c r="M98" t="s">
        <v>139</v>
      </c>
      <c r="N98" t="b">
        <v>1</v>
      </c>
      <c r="Q98" t="b">
        <v>1</v>
      </c>
      <c r="W98" s="7" t="b">
        <v>1</v>
      </c>
    </row>
    <row r="99" spans="1:23" x14ac:dyDescent="0.2">
      <c r="A99" t="s">
        <v>497</v>
      </c>
      <c r="B99" t="s">
        <v>498</v>
      </c>
      <c r="C99" t="s">
        <v>499</v>
      </c>
      <c r="D99" t="s">
        <v>17</v>
      </c>
      <c r="E99">
        <v>2007</v>
      </c>
      <c r="F99" t="s">
        <v>500</v>
      </c>
      <c r="G99" t="s">
        <v>501</v>
      </c>
      <c r="H99" t="s">
        <v>20</v>
      </c>
      <c r="I99">
        <v>81</v>
      </c>
      <c r="J99" t="b">
        <v>0</v>
      </c>
      <c r="K99" t="b">
        <v>0</v>
      </c>
      <c r="L99" t="b">
        <v>0</v>
      </c>
      <c r="N99" t="b">
        <v>0</v>
      </c>
      <c r="Q99" t="b">
        <v>0</v>
      </c>
      <c r="W99" s="7" t="b">
        <v>0</v>
      </c>
    </row>
    <row r="100" spans="1:23" x14ac:dyDescent="0.2">
      <c r="A100" t="s">
        <v>502</v>
      </c>
      <c r="B100" t="s">
        <v>503</v>
      </c>
      <c r="C100" t="s">
        <v>504</v>
      </c>
      <c r="D100" t="s">
        <v>85</v>
      </c>
      <c r="E100">
        <v>2002</v>
      </c>
      <c r="F100" t="s">
        <v>505</v>
      </c>
      <c r="G100" t="s">
        <v>506</v>
      </c>
      <c r="H100" t="s">
        <v>20</v>
      </c>
      <c r="I100">
        <v>48</v>
      </c>
      <c r="J100" t="b">
        <v>0</v>
      </c>
      <c r="K100" t="b">
        <v>0</v>
      </c>
      <c r="L100" t="b">
        <v>0</v>
      </c>
      <c r="N100" t="b">
        <v>0</v>
      </c>
      <c r="Q100" t="b">
        <v>0</v>
      </c>
      <c r="W100" s="7" t="b">
        <v>0</v>
      </c>
    </row>
    <row r="101" spans="1:23" x14ac:dyDescent="0.2">
      <c r="A101" t="s">
        <v>507</v>
      </c>
      <c r="B101" t="s">
        <v>508</v>
      </c>
      <c r="C101" t="s">
        <v>509</v>
      </c>
      <c r="D101" t="s">
        <v>198</v>
      </c>
      <c r="E101">
        <v>2023</v>
      </c>
      <c r="F101" t="s">
        <v>25</v>
      </c>
      <c r="G101" t="s">
        <v>510</v>
      </c>
      <c r="H101" t="s">
        <v>20</v>
      </c>
      <c r="I101">
        <v>0</v>
      </c>
      <c r="J101" t="b">
        <v>0</v>
      </c>
      <c r="K101" t="b">
        <v>1</v>
      </c>
      <c r="L101" t="b">
        <v>1</v>
      </c>
      <c r="M101" t="s">
        <v>511</v>
      </c>
      <c r="N101" t="b">
        <v>1</v>
      </c>
      <c r="Q101" t="b">
        <v>1</v>
      </c>
      <c r="W101" s="7" t="b">
        <v>1</v>
      </c>
    </row>
    <row r="102" spans="1:23" x14ac:dyDescent="0.2">
      <c r="A102" t="s">
        <v>512</v>
      </c>
      <c r="B102" t="s">
        <v>513</v>
      </c>
      <c r="C102" t="s">
        <v>514</v>
      </c>
      <c r="D102" t="s">
        <v>17</v>
      </c>
      <c r="E102">
        <v>2018</v>
      </c>
      <c r="F102" t="s">
        <v>515</v>
      </c>
      <c r="G102" t="s">
        <v>516</v>
      </c>
      <c r="H102" t="s">
        <v>20</v>
      </c>
      <c r="I102">
        <v>39</v>
      </c>
      <c r="J102" t="b">
        <v>0</v>
      </c>
      <c r="K102" t="b">
        <v>0</v>
      </c>
      <c r="T102" t="b">
        <v>0</v>
      </c>
      <c r="W102" s="7" t="b">
        <v>0</v>
      </c>
    </row>
    <row r="103" spans="1:23" x14ac:dyDescent="0.2">
      <c r="A103" t="s">
        <v>517</v>
      </c>
      <c r="B103" t="s">
        <v>518</v>
      </c>
      <c r="C103" t="s">
        <v>519</v>
      </c>
      <c r="D103" t="s">
        <v>17</v>
      </c>
      <c r="E103">
        <v>2019</v>
      </c>
      <c r="F103" t="s">
        <v>520</v>
      </c>
      <c r="G103" t="s">
        <v>521</v>
      </c>
      <c r="H103" t="s">
        <v>20</v>
      </c>
      <c r="I103">
        <v>20</v>
      </c>
      <c r="J103" t="b">
        <v>0</v>
      </c>
      <c r="K103" t="b">
        <v>0</v>
      </c>
      <c r="T103" t="b">
        <v>0</v>
      </c>
      <c r="W103" s="7" t="b">
        <v>0</v>
      </c>
    </row>
    <row r="104" spans="1:23" x14ac:dyDescent="0.2">
      <c r="A104" t="s">
        <v>522</v>
      </c>
      <c r="B104" t="s">
        <v>523</v>
      </c>
      <c r="C104" t="s">
        <v>524</v>
      </c>
      <c r="D104" t="s">
        <v>24</v>
      </c>
      <c r="E104">
        <v>2010</v>
      </c>
      <c r="F104" t="s">
        <v>25</v>
      </c>
      <c r="G104" t="s">
        <v>525</v>
      </c>
      <c r="H104" t="s">
        <v>20</v>
      </c>
      <c r="I104">
        <v>43</v>
      </c>
      <c r="J104" t="b">
        <v>0</v>
      </c>
      <c r="K104" t="b">
        <v>1</v>
      </c>
      <c r="T104" t="b">
        <v>1</v>
      </c>
      <c r="U104" t="s">
        <v>3762</v>
      </c>
      <c r="W104" s="7" t="b">
        <v>1</v>
      </c>
    </row>
    <row r="105" spans="1:23" x14ac:dyDescent="0.2">
      <c r="A105" t="s">
        <v>526</v>
      </c>
      <c r="B105" t="s">
        <v>527</v>
      </c>
      <c r="C105" t="s">
        <v>528</v>
      </c>
      <c r="D105" t="s">
        <v>47</v>
      </c>
      <c r="E105">
        <v>2013</v>
      </c>
      <c r="F105" t="s">
        <v>25</v>
      </c>
      <c r="G105" t="s">
        <v>529</v>
      </c>
      <c r="H105" t="s">
        <v>20</v>
      </c>
      <c r="I105">
        <v>12</v>
      </c>
      <c r="J105" t="b">
        <v>0</v>
      </c>
      <c r="K105" t="b">
        <v>0</v>
      </c>
      <c r="T105" t="b">
        <v>0</v>
      </c>
      <c r="W105" s="7" t="b">
        <v>0</v>
      </c>
    </row>
    <row r="106" spans="1:23" x14ac:dyDescent="0.2">
      <c r="A106" t="s">
        <v>530</v>
      </c>
      <c r="B106" t="s">
        <v>531</v>
      </c>
      <c r="C106" t="s">
        <v>532</v>
      </c>
      <c r="D106" t="s">
        <v>152</v>
      </c>
      <c r="E106">
        <v>2024</v>
      </c>
      <c r="F106" t="s">
        <v>25</v>
      </c>
      <c r="G106" t="s">
        <v>533</v>
      </c>
      <c r="H106" t="s">
        <v>154</v>
      </c>
      <c r="I106">
        <v>1</v>
      </c>
      <c r="J106" t="b">
        <v>0</v>
      </c>
      <c r="K106" t="b">
        <v>0</v>
      </c>
      <c r="T106" t="b">
        <v>0</v>
      </c>
      <c r="W106" s="7" t="b">
        <v>0</v>
      </c>
    </row>
    <row r="107" spans="1:23" x14ac:dyDescent="0.2">
      <c r="A107" t="s">
        <v>534</v>
      </c>
      <c r="B107" t="s">
        <v>535</v>
      </c>
      <c r="C107" t="s">
        <v>536</v>
      </c>
      <c r="D107" t="s">
        <v>24</v>
      </c>
      <c r="E107">
        <v>2010</v>
      </c>
      <c r="F107" t="s">
        <v>25</v>
      </c>
      <c r="G107" t="s">
        <v>537</v>
      </c>
      <c r="H107" t="s">
        <v>20</v>
      </c>
      <c r="I107">
        <v>36</v>
      </c>
      <c r="J107" t="b">
        <v>0</v>
      </c>
      <c r="K107" t="b">
        <v>0</v>
      </c>
      <c r="T107" t="b">
        <v>0</v>
      </c>
      <c r="W107" s="7" t="b">
        <v>0</v>
      </c>
    </row>
    <row r="108" spans="1:23" x14ac:dyDescent="0.2">
      <c r="A108" t="s">
        <v>538</v>
      </c>
      <c r="B108" t="s">
        <v>539</v>
      </c>
      <c r="C108" t="s">
        <v>540</v>
      </c>
      <c r="D108" t="s">
        <v>17</v>
      </c>
      <c r="E108">
        <v>2004</v>
      </c>
      <c r="F108" t="s">
        <v>541</v>
      </c>
      <c r="G108" t="s">
        <v>542</v>
      </c>
      <c r="H108" t="s">
        <v>61</v>
      </c>
      <c r="I108">
        <v>77</v>
      </c>
      <c r="J108" t="b">
        <v>0</v>
      </c>
      <c r="K108" t="b">
        <v>0</v>
      </c>
      <c r="T108" t="b">
        <v>0</v>
      </c>
      <c r="W108" s="7" t="b">
        <v>0</v>
      </c>
    </row>
    <row r="109" spans="1:23" x14ac:dyDescent="0.2">
      <c r="A109" t="s">
        <v>543</v>
      </c>
      <c r="B109" t="s">
        <v>544</v>
      </c>
      <c r="C109" t="s">
        <v>545</v>
      </c>
      <c r="D109" t="s">
        <v>24</v>
      </c>
      <c r="E109">
        <v>1991</v>
      </c>
      <c r="F109" t="s">
        <v>25</v>
      </c>
      <c r="G109" t="s">
        <v>546</v>
      </c>
      <c r="H109" t="s">
        <v>20</v>
      </c>
      <c r="I109">
        <v>37</v>
      </c>
      <c r="J109" t="b">
        <v>0</v>
      </c>
      <c r="K109" t="b">
        <v>0</v>
      </c>
      <c r="T109" t="b">
        <v>0</v>
      </c>
      <c r="W109" s="7" t="b">
        <v>0</v>
      </c>
    </row>
    <row r="110" spans="1:23" x14ac:dyDescent="0.2">
      <c r="A110" t="s">
        <v>547</v>
      </c>
      <c r="B110" t="s">
        <v>548</v>
      </c>
      <c r="C110" t="s">
        <v>549</v>
      </c>
      <c r="D110" t="s">
        <v>97</v>
      </c>
      <c r="E110">
        <v>2009</v>
      </c>
      <c r="F110" t="s">
        <v>550</v>
      </c>
      <c r="G110" t="s">
        <v>551</v>
      </c>
      <c r="H110" t="s">
        <v>552</v>
      </c>
      <c r="I110">
        <v>13</v>
      </c>
      <c r="J110" t="b">
        <v>0</v>
      </c>
      <c r="K110" t="b">
        <v>0</v>
      </c>
      <c r="T110" t="b">
        <v>0</v>
      </c>
      <c r="W110" s="7" t="b">
        <v>0</v>
      </c>
    </row>
    <row r="111" spans="1:23" x14ac:dyDescent="0.2">
      <c r="A111" t="s">
        <v>553</v>
      </c>
      <c r="B111" t="s">
        <v>554</v>
      </c>
      <c r="C111" t="s">
        <v>555</v>
      </c>
      <c r="D111" t="s">
        <v>53</v>
      </c>
      <c r="E111">
        <v>1995</v>
      </c>
      <c r="F111" t="s">
        <v>556</v>
      </c>
      <c r="G111" t="s">
        <v>557</v>
      </c>
      <c r="H111" t="s">
        <v>20</v>
      </c>
      <c r="I111">
        <v>952</v>
      </c>
      <c r="J111" t="b">
        <v>0</v>
      </c>
      <c r="K111" t="b">
        <v>0</v>
      </c>
      <c r="T111" t="b">
        <v>0</v>
      </c>
      <c r="W111" s="7" t="b">
        <v>0</v>
      </c>
    </row>
    <row r="112" spans="1:23" x14ac:dyDescent="0.2">
      <c r="A112" t="s">
        <v>558</v>
      </c>
      <c r="B112" t="s">
        <v>559</v>
      </c>
      <c r="C112" t="s">
        <v>560</v>
      </c>
      <c r="D112" t="s">
        <v>198</v>
      </c>
      <c r="E112">
        <v>2012</v>
      </c>
      <c r="F112" t="s">
        <v>25</v>
      </c>
      <c r="G112" t="s">
        <v>561</v>
      </c>
      <c r="H112" t="s">
        <v>254</v>
      </c>
      <c r="I112">
        <v>22</v>
      </c>
      <c r="J112" t="b">
        <v>0</v>
      </c>
      <c r="K112" t="b">
        <v>0</v>
      </c>
      <c r="T112" t="b">
        <v>0</v>
      </c>
      <c r="W112" s="7" t="b">
        <v>0</v>
      </c>
    </row>
    <row r="113" spans="1:23" x14ac:dyDescent="0.2">
      <c r="A113" t="s">
        <v>562</v>
      </c>
      <c r="B113" t="s">
        <v>563</v>
      </c>
      <c r="C113" t="s">
        <v>564</v>
      </c>
      <c r="D113" t="s">
        <v>47</v>
      </c>
      <c r="E113">
        <v>2017</v>
      </c>
      <c r="F113" t="s">
        <v>25</v>
      </c>
      <c r="G113" t="s">
        <v>565</v>
      </c>
      <c r="H113" t="s">
        <v>20</v>
      </c>
      <c r="I113">
        <v>65</v>
      </c>
      <c r="J113" t="b">
        <v>0</v>
      </c>
      <c r="K113" t="b">
        <v>1</v>
      </c>
      <c r="T113" t="b">
        <v>1</v>
      </c>
      <c r="U113" t="s">
        <v>3763</v>
      </c>
      <c r="W113" s="7" t="b">
        <v>1</v>
      </c>
    </row>
    <row r="114" spans="1:23" x14ac:dyDescent="0.2">
      <c r="A114" t="s">
        <v>566</v>
      </c>
      <c r="B114" t="s">
        <v>567</v>
      </c>
      <c r="C114" t="s">
        <v>568</v>
      </c>
      <c r="D114" t="s">
        <v>53</v>
      </c>
      <c r="E114">
        <v>2015</v>
      </c>
      <c r="F114" t="s">
        <v>25</v>
      </c>
      <c r="G114" t="s">
        <v>569</v>
      </c>
      <c r="H114" t="s">
        <v>20</v>
      </c>
      <c r="I114">
        <v>20</v>
      </c>
      <c r="J114" t="b">
        <v>0</v>
      </c>
      <c r="K114" t="b">
        <v>1</v>
      </c>
      <c r="T114" t="b">
        <v>1</v>
      </c>
      <c r="U114" t="s">
        <v>3766</v>
      </c>
      <c r="W114" s="7" t="b">
        <v>1</v>
      </c>
    </row>
    <row r="115" spans="1:23" x14ac:dyDescent="0.2">
      <c r="A115" t="s">
        <v>570</v>
      </c>
      <c r="B115" t="s">
        <v>571</v>
      </c>
      <c r="C115" t="s">
        <v>572</v>
      </c>
      <c r="D115" t="s">
        <v>85</v>
      </c>
      <c r="E115">
        <v>1993</v>
      </c>
      <c r="F115" t="s">
        <v>25</v>
      </c>
      <c r="G115" t="s">
        <v>573</v>
      </c>
      <c r="H115" t="s">
        <v>154</v>
      </c>
      <c r="I115">
        <v>54</v>
      </c>
      <c r="J115" t="b">
        <v>0</v>
      </c>
      <c r="K115" t="b">
        <v>0</v>
      </c>
      <c r="T115" t="b">
        <v>0</v>
      </c>
      <c r="W115" s="7" t="b">
        <v>0</v>
      </c>
    </row>
    <row r="116" spans="1:23" x14ac:dyDescent="0.2">
      <c r="A116" t="s">
        <v>574</v>
      </c>
      <c r="B116" t="s">
        <v>575</v>
      </c>
      <c r="C116" t="s">
        <v>576</v>
      </c>
      <c r="D116" t="s">
        <v>58</v>
      </c>
      <c r="E116">
        <v>1996</v>
      </c>
      <c r="F116" t="s">
        <v>577</v>
      </c>
      <c r="G116" t="s">
        <v>578</v>
      </c>
      <c r="H116" t="s">
        <v>579</v>
      </c>
      <c r="I116">
        <v>7</v>
      </c>
      <c r="J116" t="b">
        <v>0</v>
      </c>
      <c r="K116" t="b">
        <v>0</v>
      </c>
      <c r="T116" t="b">
        <v>0</v>
      </c>
      <c r="W116" s="7" t="b">
        <v>0</v>
      </c>
    </row>
    <row r="117" spans="1:23" x14ac:dyDescent="0.2">
      <c r="A117" t="s">
        <v>580</v>
      </c>
      <c r="B117" t="s">
        <v>581</v>
      </c>
      <c r="C117" t="s">
        <v>582</v>
      </c>
      <c r="D117" t="s">
        <v>97</v>
      </c>
      <c r="E117">
        <v>2014</v>
      </c>
      <c r="F117" t="s">
        <v>583</v>
      </c>
      <c r="G117" t="s">
        <v>584</v>
      </c>
      <c r="H117" t="s">
        <v>585</v>
      </c>
      <c r="I117">
        <v>47</v>
      </c>
      <c r="J117" t="b">
        <v>0</v>
      </c>
      <c r="K117" t="b">
        <v>1</v>
      </c>
      <c r="T117" t="b">
        <v>1</v>
      </c>
      <c r="U117" t="s">
        <v>3765</v>
      </c>
      <c r="W117" s="7" t="b">
        <v>1</v>
      </c>
    </row>
    <row r="118" spans="1:23" x14ac:dyDescent="0.2">
      <c r="A118" t="s">
        <v>586</v>
      </c>
      <c r="B118" t="s">
        <v>587</v>
      </c>
      <c r="C118" t="s">
        <v>588</v>
      </c>
      <c r="D118" t="s">
        <v>97</v>
      </c>
      <c r="E118">
        <v>2021</v>
      </c>
      <c r="F118" t="s">
        <v>589</v>
      </c>
      <c r="G118" t="s">
        <v>590</v>
      </c>
      <c r="H118" t="s">
        <v>77</v>
      </c>
      <c r="I118">
        <v>4</v>
      </c>
      <c r="J118" t="b">
        <v>0</v>
      </c>
      <c r="K118" t="b">
        <v>0</v>
      </c>
      <c r="T118" t="b">
        <v>0</v>
      </c>
      <c r="W118" s="7" t="b">
        <v>0</v>
      </c>
    </row>
    <row r="119" spans="1:23" x14ac:dyDescent="0.2">
      <c r="A119" t="s">
        <v>591</v>
      </c>
      <c r="B119" t="s">
        <v>592</v>
      </c>
      <c r="C119" t="s">
        <v>593</v>
      </c>
      <c r="D119" t="s">
        <v>17</v>
      </c>
      <c r="E119">
        <v>2015</v>
      </c>
      <c r="F119" t="s">
        <v>594</v>
      </c>
      <c r="G119" t="s">
        <v>595</v>
      </c>
      <c r="H119" t="s">
        <v>128</v>
      </c>
      <c r="I119">
        <v>8</v>
      </c>
      <c r="J119" t="b">
        <v>0</v>
      </c>
      <c r="K119" t="b">
        <v>0</v>
      </c>
      <c r="T119" t="b">
        <v>0</v>
      </c>
      <c r="W119" s="7" t="b">
        <v>0</v>
      </c>
    </row>
    <row r="120" spans="1:23" x14ac:dyDescent="0.2">
      <c r="A120" t="s">
        <v>596</v>
      </c>
      <c r="B120" t="s">
        <v>597</v>
      </c>
      <c r="C120" t="s">
        <v>598</v>
      </c>
      <c r="D120" t="s">
        <v>24</v>
      </c>
      <c r="E120">
        <v>2009</v>
      </c>
      <c r="F120" t="s">
        <v>25</v>
      </c>
      <c r="G120" t="s">
        <v>599</v>
      </c>
      <c r="H120" t="s">
        <v>20</v>
      </c>
      <c r="I120">
        <v>41</v>
      </c>
      <c r="J120" t="b">
        <v>0</v>
      </c>
      <c r="K120" t="b">
        <v>1</v>
      </c>
      <c r="O120" s="2"/>
      <c r="T120" t="b">
        <v>1</v>
      </c>
      <c r="U120" t="s">
        <v>3764</v>
      </c>
      <c r="W120" s="7" t="b">
        <v>1</v>
      </c>
    </row>
    <row r="121" spans="1:23" x14ac:dyDescent="0.2">
      <c r="A121" t="s">
        <v>600</v>
      </c>
      <c r="B121" t="s">
        <v>601</v>
      </c>
      <c r="C121" t="s">
        <v>602</v>
      </c>
      <c r="D121" t="s">
        <v>24</v>
      </c>
      <c r="E121">
        <v>1998</v>
      </c>
      <c r="F121" t="s">
        <v>25</v>
      </c>
      <c r="G121" t="s">
        <v>603</v>
      </c>
      <c r="H121" t="s">
        <v>20</v>
      </c>
      <c r="I121">
        <v>157</v>
      </c>
      <c r="J121" t="b">
        <v>0</v>
      </c>
      <c r="K121" t="b">
        <v>1</v>
      </c>
      <c r="T121" t="b">
        <v>0</v>
      </c>
      <c r="W121" s="7" t="b">
        <v>0</v>
      </c>
    </row>
    <row r="122" spans="1:23" x14ac:dyDescent="0.2">
      <c r="A122" t="s">
        <v>604</v>
      </c>
      <c r="B122" t="s">
        <v>605</v>
      </c>
      <c r="C122" t="s">
        <v>606</v>
      </c>
      <c r="D122" t="s">
        <v>97</v>
      </c>
      <c r="E122">
        <v>2018</v>
      </c>
      <c r="F122" t="s">
        <v>607</v>
      </c>
      <c r="G122" t="s">
        <v>608</v>
      </c>
      <c r="H122" t="s">
        <v>128</v>
      </c>
      <c r="I122">
        <v>32</v>
      </c>
      <c r="J122" t="b">
        <v>0</v>
      </c>
      <c r="K122" t="b">
        <v>0</v>
      </c>
      <c r="T122" t="b">
        <v>0</v>
      </c>
      <c r="W122" s="7" t="b">
        <v>0</v>
      </c>
    </row>
    <row r="123" spans="1:23" x14ac:dyDescent="0.2">
      <c r="A123" t="s">
        <v>609</v>
      </c>
      <c r="B123" t="s">
        <v>610</v>
      </c>
      <c r="C123" t="s">
        <v>611</v>
      </c>
      <c r="D123" t="s">
        <v>17</v>
      </c>
      <c r="E123">
        <v>2016</v>
      </c>
      <c r="F123" t="s">
        <v>612</v>
      </c>
      <c r="G123" t="s">
        <v>613</v>
      </c>
      <c r="H123" t="s">
        <v>20</v>
      </c>
      <c r="I123">
        <v>22</v>
      </c>
      <c r="J123" t="b">
        <v>0</v>
      </c>
      <c r="K123" t="b">
        <v>0</v>
      </c>
      <c r="T123" t="b">
        <v>0</v>
      </c>
      <c r="W123" s="7" t="b">
        <v>0</v>
      </c>
    </row>
    <row r="124" spans="1:23" x14ac:dyDescent="0.2">
      <c r="A124" t="s">
        <v>614</v>
      </c>
      <c r="B124" t="s">
        <v>615</v>
      </c>
      <c r="C124" t="s">
        <v>616</v>
      </c>
      <c r="D124" t="s">
        <v>47</v>
      </c>
      <c r="E124">
        <v>2023</v>
      </c>
      <c r="F124" t="s">
        <v>25</v>
      </c>
      <c r="G124" t="s">
        <v>617</v>
      </c>
      <c r="H124" t="s">
        <v>20</v>
      </c>
      <c r="I124">
        <v>1</v>
      </c>
      <c r="J124" t="b">
        <v>0</v>
      </c>
      <c r="K124" t="b">
        <v>0</v>
      </c>
      <c r="T124" t="b">
        <v>0</v>
      </c>
      <c r="W124" s="7" t="b">
        <v>0</v>
      </c>
    </row>
    <row r="125" spans="1:23" x14ac:dyDescent="0.2">
      <c r="A125" t="s">
        <v>618</v>
      </c>
      <c r="B125" t="s">
        <v>619</v>
      </c>
      <c r="C125" t="s">
        <v>620</v>
      </c>
      <c r="D125" t="s">
        <v>97</v>
      </c>
      <c r="E125">
        <v>2024</v>
      </c>
      <c r="F125" t="s">
        <v>621</v>
      </c>
      <c r="G125" t="s">
        <v>622</v>
      </c>
      <c r="H125" t="s">
        <v>389</v>
      </c>
      <c r="I125">
        <v>0</v>
      </c>
      <c r="J125" t="b">
        <v>0</v>
      </c>
      <c r="K125" t="b">
        <v>0</v>
      </c>
      <c r="T125" t="b">
        <v>0</v>
      </c>
      <c r="W125" s="7" t="b">
        <v>0</v>
      </c>
    </row>
    <row r="126" spans="1:23" x14ac:dyDescent="0.2">
      <c r="A126" t="s">
        <v>623</v>
      </c>
      <c r="B126" t="s">
        <v>624</v>
      </c>
      <c r="C126" t="s">
        <v>625</v>
      </c>
      <c r="D126" t="s">
        <v>97</v>
      </c>
      <c r="E126">
        <v>2018</v>
      </c>
      <c r="F126" t="s">
        <v>626</v>
      </c>
      <c r="G126" t="s">
        <v>627</v>
      </c>
      <c r="H126" t="s">
        <v>20</v>
      </c>
      <c r="I126">
        <v>11</v>
      </c>
      <c r="J126" t="b">
        <v>0</v>
      </c>
      <c r="K126" t="b">
        <v>1</v>
      </c>
      <c r="T126" t="b">
        <v>1</v>
      </c>
      <c r="U126" t="s">
        <v>3767</v>
      </c>
      <c r="W126" s="7" t="b">
        <v>1</v>
      </c>
    </row>
    <row r="127" spans="1:23" x14ac:dyDescent="0.2">
      <c r="A127" t="s">
        <v>628</v>
      </c>
      <c r="B127" t="s">
        <v>629</v>
      </c>
      <c r="C127" t="s">
        <v>630</v>
      </c>
      <c r="D127" t="s">
        <v>17</v>
      </c>
      <c r="E127">
        <v>1994</v>
      </c>
      <c r="F127" t="s">
        <v>631</v>
      </c>
      <c r="G127" t="s">
        <v>632</v>
      </c>
      <c r="H127" t="s">
        <v>20</v>
      </c>
      <c r="I127">
        <v>153</v>
      </c>
      <c r="J127" t="b">
        <v>0</v>
      </c>
      <c r="K127" t="b">
        <v>0</v>
      </c>
      <c r="T127" t="b">
        <v>0</v>
      </c>
      <c r="W127" s="7" t="b">
        <v>0</v>
      </c>
    </row>
    <row r="128" spans="1:23" x14ac:dyDescent="0.2">
      <c r="A128" t="s">
        <v>633</v>
      </c>
      <c r="B128" t="s">
        <v>634</v>
      </c>
      <c r="C128" t="s">
        <v>635</v>
      </c>
      <c r="D128" t="s">
        <v>47</v>
      </c>
      <c r="E128">
        <v>2023</v>
      </c>
      <c r="F128" t="s">
        <v>25</v>
      </c>
      <c r="G128" t="s">
        <v>636</v>
      </c>
      <c r="H128" t="s">
        <v>20</v>
      </c>
      <c r="I128">
        <v>1</v>
      </c>
      <c r="J128" t="b">
        <v>0</v>
      </c>
      <c r="K128" t="b">
        <v>0</v>
      </c>
      <c r="T128" t="b">
        <v>0</v>
      </c>
      <c r="W128" s="7" t="b">
        <v>0</v>
      </c>
    </row>
    <row r="129" spans="1:23" x14ac:dyDescent="0.2">
      <c r="A129" t="s">
        <v>637</v>
      </c>
      <c r="B129" t="s">
        <v>638</v>
      </c>
      <c r="C129" t="s">
        <v>639</v>
      </c>
      <c r="D129" t="s">
        <v>97</v>
      </c>
      <c r="E129">
        <v>2012</v>
      </c>
      <c r="F129" t="s">
        <v>640</v>
      </c>
      <c r="G129" t="s">
        <v>641</v>
      </c>
      <c r="H129" t="s">
        <v>20</v>
      </c>
      <c r="I129">
        <v>108</v>
      </c>
      <c r="J129" t="b">
        <v>0</v>
      </c>
      <c r="K129" t="b">
        <v>0</v>
      </c>
      <c r="T129" t="b">
        <v>0</v>
      </c>
      <c r="W129" s="7" t="b">
        <v>0</v>
      </c>
    </row>
    <row r="130" spans="1:23" x14ac:dyDescent="0.2">
      <c r="A130" t="s">
        <v>642</v>
      </c>
      <c r="B130" t="s">
        <v>643</v>
      </c>
      <c r="C130" t="s">
        <v>644</v>
      </c>
      <c r="D130" t="s">
        <v>58</v>
      </c>
      <c r="E130">
        <v>1997</v>
      </c>
      <c r="F130" t="s">
        <v>645</v>
      </c>
      <c r="G130" t="s">
        <v>646</v>
      </c>
      <c r="H130" t="s">
        <v>647</v>
      </c>
      <c r="I130">
        <v>43</v>
      </c>
      <c r="J130" t="b">
        <v>0</v>
      </c>
      <c r="K130" t="b">
        <v>0</v>
      </c>
      <c r="T130" t="b">
        <v>0</v>
      </c>
      <c r="W130" s="7" t="b">
        <v>0</v>
      </c>
    </row>
    <row r="131" spans="1:23" s="1" customFormat="1" x14ac:dyDescent="0.2">
      <c r="A131" s="1" t="s">
        <v>648</v>
      </c>
      <c r="B131" s="1" t="s">
        <v>649</v>
      </c>
      <c r="C131" s="1" t="s">
        <v>650</v>
      </c>
      <c r="D131" s="1" t="s">
        <v>47</v>
      </c>
      <c r="E131" s="1">
        <v>1993</v>
      </c>
      <c r="F131" s="1" t="s">
        <v>25</v>
      </c>
      <c r="G131" s="1" t="s">
        <v>651</v>
      </c>
      <c r="H131" s="1" t="s">
        <v>20</v>
      </c>
      <c r="I131" s="1">
        <v>8</v>
      </c>
      <c r="J131" s="1" t="b">
        <v>0</v>
      </c>
      <c r="K131" s="1" t="b">
        <v>1</v>
      </c>
      <c r="Q131"/>
      <c r="R131"/>
      <c r="T131" t="b">
        <v>0</v>
      </c>
      <c r="W131" s="7" t="b">
        <v>0</v>
      </c>
    </row>
    <row r="132" spans="1:23" s="1" customFormat="1" x14ac:dyDescent="0.2">
      <c r="A132" s="1" t="s">
        <v>652</v>
      </c>
      <c r="B132" s="1" t="s">
        <v>653</v>
      </c>
      <c r="C132" s="1" t="s">
        <v>654</v>
      </c>
      <c r="D132" s="1" t="s">
        <v>53</v>
      </c>
      <c r="E132" s="1">
        <v>1990</v>
      </c>
      <c r="F132" s="1" t="s">
        <v>655</v>
      </c>
      <c r="G132" s="1" t="s">
        <v>656</v>
      </c>
      <c r="H132" s="1" t="s">
        <v>657</v>
      </c>
      <c r="I132" s="1">
        <v>4631</v>
      </c>
      <c r="J132" s="1" t="b">
        <v>0</v>
      </c>
      <c r="K132" s="1" t="b">
        <v>1</v>
      </c>
      <c r="Q132"/>
      <c r="R132"/>
      <c r="T132" s="1" t="b">
        <v>1</v>
      </c>
      <c r="U132" s="1" t="s">
        <v>3768</v>
      </c>
      <c r="W132" s="7" t="b">
        <v>1</v>
      </c>
    </row>
    <row r="133" spans="1:23" x14ac:dyDescent="0.2">
      <c r="A133" t="s">
        <v>658</v>
      </c>
      <c r="B133" t="s">
        <v>659</v>
      </c>
      <c r="C133" t="s">
        <v>660</v>
      </c>
      <c r="D133" t="s">
        <v>97</v>
      </c>
      <c r="E133">
        <v>2010</v>
      </c>
      <c r="F133" t="s">
        <v>661</v>
      </c>
      <c r="G133" t="s">
        <v>662</v>
      </c>
      <c r="H133" t="s">
        <v>20</v>
      </c>
      <c r="I133">
        <v>52</v>
      </c>
      <c r="J133" t="b">
        <v>0</v>
      </c>
      <c r="K133" t="b">
        <v>1</v>
      </c>
      <c r="T133" t="b">
        <v>1</v>
      </c>
      <c r="U133" t="s">
        <v>3769</v>
      </c>
      <c r="W133" s="7" t="b">
        <v>1</v>
      </c>
    </row>
    <row r="134" spans="1:23" x14ac:dyDescent="0.2">
      <c r="A134" t="s">
        <v>663</v>
      </c>
      <c r="B134" t="s">
        <v>664</v>
      </c>
      <c r="C134" t="s">
        <v>665</v>
      </c>
      <c r="D134" t="s">
        <v>152</v>
      </c>
      <c r="E134">
        <v>2023</v>
      </c>
      <c r="F134" t="s">
        <v>666</v>
      </c>
      <c r="G134" t="s">
        <v>667</v>
      </c>
      <c r="H134" t="s">
        <v>111</v>
      </c>
      <c r="I134">
        <v>3</v>
      </c>
      <c r="J134" t="b">
        <v>0</v>
      </c>
      <c r="K134" t="b">
        <v>0</v>
      </c>
      <c r="T134" t="b">
        <v>0</v>
      </c>
      <c r="W134" s="7" t="b">
        <v>0</v>
      </c>
    </row>
    <row r="135" spans="1:23" x14ac:dyDescent="0.2">
      <c r="A135" t="s">
        <v>668</v>
      </c>
      <c r="B135" t="s">
        <v>669</v>
      </c>
      <c r="C135" t="s">
        <v>670</v>
      </c>
      <c r="D135" t="s">
        <v>24</v>
      </c>
      <c r="E135">
        <v>2014</v>
      </c>
      <c r="F135" t="s">
        <v>25</v>
      </c>
      <c r="G135" t="s">
        <v>671</v>
      </c>
      <c r="H135" t="s">
        <v>20</v>
      </c>
      <c r="I135">
        <v>50</v>
      </c>
      <c r="J135" t="b">
        <v>0</v>
      </c>
      <c r="K135" t="b">
        <v>1</v>
      </c>
      <c r="T135" t="b">
        <v>1</v>
      </c>
      <c r="U135" t="s">
        <v>3770</v>
      </c>
      <c r="W135" s="7" t="b">
        <v>1</v>
      </c>
    </row>
    <row r="136" spans="1:23" s="1" customFormat="1" x14ac:dyDescent="0.2">
      <c r="A136" s="1" t="s">
        <v>672</v>
      </c>
      <c r="B136" s="1" t="s">
        <v>673</v>
      </c>
      <c r="C136" s="1" t="s">
        <v>674</v>
      </c>
      <c r="D136" s="1" t="s">
        <v>47</v>
      </c>
      <c r="E136" s="1">
        <v>2015</v>
      </c>
      <c r="F136" s="1" t="s">
        <v>25</v>
      </c>
      <c r="G136" s="1" t="s">
        <v>675</v>
      </c>
      <c r="H136" s="1" t="s">
        <v>20</v>
      </c>
      <c r="I136" s="1">
        <v>9</v>
      </c>
      <c r="J136" s="1" t="b">
        <v>0</v>
      </c>
      <c r="K136" s="1" t="b">
        <v>1</v>
      </c>
      <c r="Q136"/>
      <c r="R136"/>
      <c r="T136" s="1" t="b">
        <v>1</v>
      </c>
      <c r="U136" s="1" t="s">
        <v>3771</v>
      </c>
      <c r="W136" s="7" t="b">
        <v>1</v>
      </c>
    </row>
    <row r="137" spans="1:23" x14ac:dyDescent="0.2">
      <c r="A137" t="s">
        <v>676</v>
      </c>
      <c r="B137" t="s">
        <v>677</v>
      </c>
      <c r="C137" t="s">
        <v>678</v>
      </c>
      <c r="D137" t="s">
        <v>152</v>
      </c>
      <c r="E137">
        <v>1998</v>
      </c>
      <c r="F137" t="s">
        <v>25</v>
      </c>
      <c r="G137" t="s">
        <v>679</v>
      </c>
      <c r="H137" t="s">
        <v>680</v>
      </c>
      <c r="I137">
        <v>15</v>
      </c>
      <c r="J137" t="b">
        <v>0</v>
      </c>
      <c r="K137" t="b">
        <v>0</v>
      </c>
      <c r="T137" t="b">
        <v>0</v>
      </c>
      <c r="W137" s="7" t="b">
        <v>0</v>
      </c>
    </row>
    <row r="138" spans="1:23" x14ac:dyDescent="0.2">
      <c r="A138" t="s">
        <v>681</v>
      </c>
      <c r="B138" t="s">
        <v>682</v>
      </c>
      <c r="C138" t="s">
        <v>683</v>
      </c>
      <c r="D138" t="s">
        <v>24</v>
      </c>
      <c r="E138">
        <v>2000</v>
      </c>
      <c r="F138" t="s">
        <v>25</v>
      </c>
      <c r="G138" t="s">
        <v>684</v>
      </c>
      <c r="H138" t="s">
        <v>20</v>
      </c>
      <c r="I138">
        <v>45</v>
      </c>
      <c r="J138" t="b">
        <v>0</v>
      </c>
      <c r="K138" t="b">
        <v>0</v>
      </c>
      <c r="T138" t="b">
        <v>0</v>
      </c>
      <c r="W138" s="7" t="b">
        <v>0</v>
      </c>
    </row>
    <row r="139" spans="1:23" x14ac:dyDescent="0.2">
      <c r="A139" t="s">
        <v>685</v>
      </c>
      <c r="B139" t="s">
        <v>686</v>
      </c>
      <c r="C139" t="s">
        <v>687</v>
      </c>
      <c r="D139" t="s">
        <v>198</v>
      </c>
      <c r="E139">
        <v>2007</v>
      </c>
      <c r="F139" t="s">
        <v>688</v>
      </c>
      <c r="G139" t="s">
        <v>689</v>
      </c>
      <c r="H139" t="s">
        <v>61</v>
      </c>
      <c r="I139">
        <v>56</v>
      </c>
      <c r="J139" t="b">
        <v>0</v>
      </c>
      <c r="K139" t="b">
        <v>0</v>
      </c>
      <c r="T139" t="b">
        <v>0</v>
      </c>
      <c r="W139" s="7" t="b">
        <v>0</v>
      </c>
    </row>
    <row r="140" spans="1:23" x14ac:dyDescent="0.2">
      <c r="A140" t="s">
        <v>690</v>
      </c>
      <c r="B140" t="s">
        <v>691</v>
      </c>
      <c r="C140" t="s">
        <v>692</v>
      </c>
      <c r="D140" t="s">
        <v>24</v>
      </c>
      <c r="E140">
        <v>2013</v>
      </c>
      <c r="F140" t="s">
        <v>25</v>
      </c>
      <c r="G140" t="s">
        <v>693</v>
      </c>
      <c r="H140" t="s">
        <v>20</v>
      </c>
      <c r="I140">
        <v>45</v>
      </c>
      <c r="J140" t="b">
        <v>0</v>
      </c>
      <c r="K140" t="b">
        <v>1</v>
      </c>
      <c r="T140" t="b">
        <v>1</v>
      </c>
      <c r="U140" t="s">
        <v>3772</v>
      </c>
      <c r="W140" s="7" t="b">
        <v>1</v>
      </c>
    </row>
    <row r="141" spans="1:23" x14ac:dyDescent="0.2">
      <c r="A141" t="s">
        <v>694</v>
      </c>
      <c r="B141" t="s">
        <v>695</v>
      </c>
      <c r="C141" t="s">
        <v>696</v>
      </c>
      <c r="D141" t="s">
        <v>17</v>
      </c>
      <c r="E141">
        <v>2020</v>
      </c>
      <c r="F141" t="s">
        <v>697</v>
      </c>
      <c r="G141" t="s">
        <v>698</v>
      </c>
      <c r="H141" t="s">
        <v>61</v>
      </c>
      <c r="I141">
        <v>20</v>
      </c>
      <c r="J141" t="b">
        <v>0</v>
      </c>
      <c r="K141" t="b">
        <v>0</v>
      </c>
      <c r="T141" t="b">
        <v>0</v>
      </c>
      <c r="W141" s="7" t="b">
        <v>0</v>
      </c>
    </row>
    <row r="142" spans="1:23" x14ac:dyDescent="0.2">
      <c r="A142" t="s">
        <v>699</v>
      </c>
      <c r="B142" t="s">
        <v>700</v>
      </c>
      <c r="C142" t="s">
        <v>701</v>
      </c>
      <c r="D142" t="s">
        <v>47</v>
      </c>
      <c r="E142">
        <v>2016</v>
      </c>
      <c r="F142" t="s">
        <v>25</v>
      </c>
      <c r="G142" t="s">
        <v>702</v>
      </c>
      <c r="H142" t="s">
        <v>20</v>
      </c>
      <c r="I142">
        <v>33</v>
      </c>
      <c r="J142" t="b">
        <v>0</v>
      </c>
      <c r="K142" t="b">
        <v>0</v>
      </c>
      <c r="T142" t="b">
        <v>0</v>
      </c>
      <c r="W142" s="7" t="b">
        <v>0</v>
      </c>
    </row>
    <row r="143" spans="1:23" x14ac:dyDescent="0.2">
      <c r="A143" t="s">
        <v>703</v>
      </c>
      <c r="B143" t="s">
        <v>704</v>
      </c>
      <c r="C143" t="s">
        <v>705</v>
      </c>
      <c r="D143" t="s">
        <v>53</v>
      </c>
      <c r="E143">
        <v>1997</v>
      </c>
      <c r="F143" t="s">
        <v>706</v>
      </c>
      <c r="G143" t="s">
        <v>707</v>
      </c>
      <c r="H143" t="s">
        <v>20</v>
      </c>
      <c r="I143">
        <v>16</v>
      </c>
      <c r="J143" t="b">
        <v>0</v>
      </c>
      <c r="K143" t="b">
        <v>0</v>
      </c>
      <c r="T143" t="b">
        <v>0</v>
      </c>
      <c r="W143" s="7" t="b">
        <v>0</v>
      </c>
    </row>
    <row r="144" spans="1:23" x14ac:dyDescent="0.2">
      <c r="A144" t="s">
        <v>708</v>
      </c>
      <c r="B144" t="s">
        <v>709</v>
      </c>
      <c r="C144" t="s">
        <v>710</v>
      </c>
      <c r="D144" t="s">
        <v>17</v>
      </c>
      <c r="E144">
        <v>1997</v>
      </c>
      <c r="F144" t="s">
        <v>711</v>
      </c>
      <c r="G144" t="s">
        <v>712</v>
      </c>
      <c r="H144" t="s">
        <v>254</v>
      </c>
      <c r="I144">
        <v>22</v>
      </c>
      <c r="J144" t="b">
        <v>0</v>
      </c>
      <c r="K144" t="b">
        <v>0</v>
      </c>
      <c r="T144" t="b">
        <v>0</v>
      </c>
      <c r="W144" s="7" t="b">
        <v>0</v>
      </c>
    </row>
    <row r="145" spans="1:23" x14ac:dyDescent="0.2">
      <c r="A145" t="s">
        <v>713</v>
      </c>
      <c r="B145" t="s">
        <v>714</v>
      </c>
      <c r="C145" t="s">
        <v>715</v>
      </c>
      <c r="D145" t="s">
        <v>24</v>
      </c>
      <c r="E145">
        <v>2010</v>
      </c>
      <c r="F145" t="s">
        <v>25</v>
      </c>
      <c r="G145" t="s">
        <v>716</v>
      </c>
      <c r="H145" t="s">
        <v>20</v>
      </c>
      <c r="I145">
        <v>8</v>
      </c>
      <c r="J145" t="b">
        <v>0</v>
      </c>
      <c r="K145" t="b">
        <v>0</v>
      </c>
      <c r="R145" t="str">
        <f t="shared" ref="R131:R194" si="3">IF(Q145&lt;&gt;N145,"!!!","")</f>
        <v/>
      </c>
      <c r="T145" t="b">
        <v>0</v>
      </c>
      <c r="W145" s="7" t="b">
        <v>0</v>
      </c>
    </row>
    <row r="146" spans="1:23" x14ac:dyDescent="0.2">
      <c r="A146" t="s">
        <v>717</v>
      </c>
      <c r="B146" t="s">
        <v>718</v>
      </c>
      <c r="C146" t="s">
        <v>719</v>
      </c>
      <c r="D146" t="s">
        <v>17</v>
      </c>
      <c r="E146">
        <v>1999</v>
      </c>
      <c r="F146" t="s">
        <v>720</v>
      </c>
      <c r="G146" t="s">
        <v>721</v>
      </c>
      <c r="H146" t="s">
        <v>128</v>
      </c>
      <c r="I146">
        <v>227</v>
      </c>
      <c r="J146" t="b">
        <v>0</v>
      </c>
      <c r="K146" t="b">
        <v>0</v>
      </c>
      <c r="R146" t="str">
        <f t="shared" si="3"/>
        <v/>
      </c>
      <c r="T146" t="b">
        <v>0</v>
      </c>
      <c r="W146" s="7" t="b">
        <v>0</v>
      </c>
    </row>
    <row r="147" spans="1:23" x14ac:dyDescent="0.2">
      <c r="A147" t="s">
        <v>722</v>
      </c>
      <c r="B147" t="s">
        <v>723</v>
      </c>
      <c r="C147" t="s">
        <v>724</v>
      </c>
      <c r="D147" t="s">
        <v>97</v>
      </c>
      <c r="E147">
        <v>2013</v>
      </c>
      <c r="F147" t="s">
        <v>725</v>
      </c>
      <c r="G147" t="s">
        <v>726</v>
      </c>
      <c r="H147" t="s">
        <v>190</v>
      </c>
      <c r="I147">
        <v>51</v>
      </c>
      <c r="J147" t="b">
        <v>0</v>
      </c>
      <c r="K147" t="b">
        <v>0</v>
      </c>
      <c r="R147" t="str">
        <f t="shared" si="3"/>
        <v/>
      </c>
      <c r="T147" t="b">
        <v>0</v>
      </c>
      <c r="W147" s="7" t="b">
        <v>0</v>
      </c>
    </row>
    <row r="148" spans="1:23" x14ac:dyDescent="0.2">
      <c r="A148" t="s">
        <v>727</v>
      </c>
      <c r="B148" t="s">
        <v>728</v>
      </c>
      <c r="C148" t="s">
        <v>729</v>
      </c>
      <c r="D148" t="s">
        <v>17</v>
      </c>
      <c r="E148">
        <v>1998</v>
      </c>
      <c r="F148" t="s">
        <v>730</v>
      </c>
      <c r="G148" t="s">
        <v>731</v>
      </c>
      <c r="H148" t="s">
        <v>20</v>
      </c>
      <c r="I148">
        <v>7</v>
      </c>
      <c r="J148" t="b">
        <v>0</v>
      </c>
      <c r="K148" t="b">
        <v>0</v>
      </c>
      <c r="R148" t="str">
        <f t="shared" si="3"/>
        <v/>
      </c>
      <c r="S148" t="b">
        <v>0</v>
      </c>
      <c r="T148" t="b">
        <v>0</v>
      </c>
      <c r="W148" s="7" t="b">
        <v>1</v>
      </c>
    </row>
    <row r="149" spans="1:23" x14ac:dyDescent="0.2">
      <c r="A149" t="s">
        <v>732</v>
      </c>
      <c r="B149" t="s">
        <v>733</v>
      </c>
      <c r="C149" t="s">
        <v>734</v>
      </c>
      <c r="D149" t="s">
        <v>97</v>
      </c>
      <c r="E149">
        <v>1999</v>
      </c>
      <c r="F149" t="s">
        <v>735</v>
      </c>
      <c r="G149" t="s">
        <v>736</v>
      </c>
      <c r="H149" t="s">
        <v>254</v>
      </c>
      <c r="I149">
        <v>81</v>
      </c>
      <c r="J149" t="b">
        <v>0</v>
      </c>
      <c r="K149" t="b">
        <v>0</v>
      </c>
      <c r="R149" t="str">
        <f t="shared" si="3"/>
        <v/>
      </c>
      <c r="T149" t="b">
        <v>0</v>
      </c>
      <c r="W149" s="7" t="b">
        <v>0</v>
      </c>
    </row>
    <row r="150" spans="1:23" x14ac:dyDescent="0.2">
      <c r="A150" t="s">
        <v>737</v>
      </c>
      <c r="B150" t="s">
        <v>738</v>
      </c>
      <c r="C150" t="s">
        <v>739</v>
      </c>
      <c r="D150" t="s">
        <v>97</v>
      </c>
      <c r="E150">
        <v>2015</v>
      </c>
      <c r="F150" t="s">
        <v>740</v>
      </c>
      <c r="G150" t="s">
        <v>741</v>
      </c>
      <c r="H150" t="s">
        <v>742</v>
      </c>
      <c r="I150">
        <v>39</v>
      </c>
      <c r="J150" t="b">
        <v>0</v>
      </c>
      <c r="K150" t="b">
        <v>0</v>
      </c>
      <c r="R150" t="str">
        <f t="shared" si="3"/>
        <v/>
      </c>
      <c r="T150" t="b">
        <v>0</v>
      </c>
      <c r="W150" s="7" t="b">
        <v>0</v>
      </c>
    </row>
    <row r="151" spans="1:23" x14ac:dyDescent="0.2">
      <c r="A151" t="s">
        <v>743</v>
      </c>
      <c r="B151" t="s">
        <v>744</v>
      </c>
      <c r="C151" t="s">
        <v>745</v>
      </c>
      <c r="D151" t="s">
        <v>36</v>
      </c>
      <c r="E151">
        <v>2018</v>
      </c>
      <c r="F151" t="s">
        <v>25</v>
      </c>
      <c r="G151" t="s">
        <v>746</v>
      </c>
      <c r="H151" t="s">
        <v>154</v>
      </c>
      <c r="I151">
        <v>40</v>
      </c>
      <c r="J151" t="b">
        <v>0</v>
      </c>
      <c r="K151" t="b">
        <v>0</v>
      </c>
      <c r="R151" t="str">
        <f t="shared" si="3"/>
        <v/>
      </c>
      <c r="T151" t="b">
        <v>0</v>
      </c>
      <c r="W151" s="7" t="b">
        <v>0</v>
      </c>
    </row>
    <row r="152" spans="1:23" x14ac:dyDescent="0.2">
      <c r="A152" t="s">
        <v>747</v>
      </c>
      <c r="B152" t="s">
        <v>748</v>
      </c>
      <c r="C152" t="s">
        <v>749</v>
      </c>
      <c r="D152" t="s">
        <v>47</v>
      </c>
      <c r="E152">
        <v>1999</v>
      </c>
      <c r="F152" t="s">
        <v>25</v>
      </c>
      <c r="G152" t="s">
        <v>750</v>
      </c>
      <c r="H152" t="s">
        <v>20</v>
      </c>
      <c r="I152">
        <v>47</v>
      </c>
      <c r="J152" t="b">
        <v>0</v>
      </c>
      <c r="K152" t="b">
        <v>0</v>
      </c>
      <c r="R152" t="str">
        <f t="shared" si="3"/>
        <v/>
      </c>
      <c r="T152" t="b">
        <v>0</v>
      </c>
      <c r="W152" s="7" t="b">
        <v>0</v>
      </c>
    </row>
    <row r="153" spans="1:23" x14ac:dyDescent="0.2">
      <c r="A153" t="s">
        <v>751</v>
      </c>
      <c r="B153" t="s">
        <v>752</v>
      </c>
      <c r="C153" t="s">
        <v>753</v>
      </c>
      <c r="D153" t="s">
        <v>152</v>
      </c>
      <c r="E153">
        <v>2019</v>
      </c>
      <c r="F153" t="s">
        <v>754</v>
      </c>
      <c r="G153" t="s">
        <v>755</v>
      </c>
      <c r="H153" t="s">
        <v>154</v>
      </c>
      <c r="I153">
        <v>20</v>
      </c>
      <c r="J153" t="b">
        <v>0</v>
      </c>
      <c r="K153" t="b">
        <v>1</v>
      </c>
      <c r="R153" t="str">
        <f t="shared" si="3"/>
        <v/>
      </c>
      <c r="T153" t="b">
        <v>1</v>
      </c>
      <c r="U153" t="s">
        <v>3773</v>
      </c>
      <c r="W153" s="7" t="b">
        <v>0</v>
      </c>
    </row>
    <row r="154" spans="1:23" x14ac:dyDescent="0.2">
      <c r="A154" t="s">
        <v>756</v>
      </c>
      <c r="B154" t="s">
        <v>757</v>
      </c>
      <c r="C154" t="s">
        <v>758</v>
      </c>
      <c r="D154" t="s">
        <v>47</v>
      </c>
      <c r="E154">
        <v>2016</v>
      </c>
      <c r="F154" t="s">
        <v>25</v>
      </c>
      <c r="G154" t="s">
        <v>759</v>
      </c>
      <c r="H154" t="s">
        <v>38</v>
      </c>
      <c r="I154">
        <v>9</v>
      </c>
      <c r="J154" t="b">
        <v>0</v>
      </c>
      <c r="K154" t="b">
        <v>1</v>
      </c>
      <c r="R154" t="str">
        <f t="shared" si="3"/>
        <v/>
      </c>
      <c r="T154" t="b">
        <v>1</v>
      </c>
      <c r="U154" t="s">
        <v>3774</v>
      </c>
      <c r="W154" s="7" t="b">
        <v>1</v>
      </c>
    </row>
    <row r="155" spans="1:23" x14ac:dyDescent="0.2">
      <c r="A155" t="s">
        <v>760</v>
      </c>
      <c r="B155" t="s">
        <v>761</v>
      </c>
      <c r="C155" t="s">
        <v>762</v>
      </c>
      <c r="D155" t="s">
        <v>97</v>
      </c>
      <c r="E155">
        <v>2004</v>
      </c>
      <c r="F155" t="s">
        <v>763</v>
      </c>
      <c r="G155" t="s">
        <v>764</v>
      </c>
      <c r="H155" t="s">
        <v>742</v>
      </c>
      <c r="I155">
        <v>32</v>
      </c>
      <c r="J155" t="b">
        <v>0</v>
      </c>
      <c r="K155" t="b">
        <v>0</v>
      </c>
      <c r="R155" t="str">
        <f t="shared" si="3"/>
        <v/>
      </c>
      <c r="T155" t="b">
        <v>0</v>
      </c>
      <c r="W155" s="7" t="b">
        <v>0</v>
      </c>
    </row>
    <row r="156" spans="1:23" x14ac:dyDescent="0.2">
      <c r="A156" t="s">
        <v>765</v>
      </c>
      <c r="B156" t="s">
        <v>766</v>
      </c>
      <c r="C156" t="s">
        <v>767</v>
      </c>
      <c r="D156" t="s">
        <v>53</v>
      </c>
      <c r="E156">
        <v>2022</v>
      </c>
      <c r="F156" t="s">
        <v>768</v>
      </c>
      <c r="G156" t="s">
        <v>769</v>
      </c>
      <c r="H156" t="s">
        <v>128</v>
      </c>
      <c r="I156">
        <v>14</v>
      </c>
      <c r="J156" t="b">
        <v>0</v>
      </c>
      <c r="K156" t="b">
        <v>0</v>
      </c>
      <c r="R156" t="str">
        <f t="shared" si="3"/>
        <v/>
      </c>
      <c r="T156" t="b">
        <v>0</v>
      </c>
      <c r="W156" s="7" t="b">
        <v>0</v>
      </c>
    </row>
    <row r="157" spans="1:23" x14ac:dyDescent="0.2">
      <c r="A157" t="s">
        <v>770</v>
      </c>
      <c r="B157" t="s">
        <v>771</v>
      </c>
      <c r="C157" t="s">
        <v>772</v>
      </c>
      <c r="D157" t="s">
        <v>85</v>
      </c>
      <c r="E157">
        <v>2003</v>
      </c>
      <c r="F157" t="s">
        <v>25</v>
      </c>
      <c r="G157" t="s">
        <v>773</v>
      </c>
      <c r="H157" t="s">
        <v>20</v>
      </c>
      <c r="I157">
        <v>9</v>
      </c>
      <c r="J157" t="b">
        <v>0</v>
      </c>
      <c r="K157" t="b">
        <v>0</v>
      </c>
      <c r="R157" t="str">
        <f t="shared" si="3"/>
        <v/>
      </c>
      <c r="T157" t="b">
        <v>0</v>
      </c>
      <c r="W157" s="7" t="b">
        <v>0</v>
      </c>
    </row>
    <row r="158" spans="1:23" x14ac:dyDescent="0.2">
      <c r="A158" t="s">
        <v>774</v>
      </c>
      <c r="B158" t="s">
        <v>775</v>
      </c>
      <c r="C158" t="s">
        <v>776</v>
      </c>
      <c r="D158" t="s">
        <v>198</v>
      </c>
      <c r="E158">
        <v>1996</v>
      </c>
      <c r="F158" t="s">
        <v>777</v>
      </c>
      <c r="G158" t="s">
        <v>778</v>
      </c>
      <c r="H158" t="s">
        <v>254</v>
      </c>
      <c r="I158">
        <v>17</v>
      </c>
      <c r="J158" t="b">
        <v>0</v>
      </c>
      <c r="R158" t="str">
        <f t="shared" si="3"/>
        <v/>
      </c>
      <c r="T158" t="b">
        <v>0</v>
      </c>
      <c r="W158" s="7" t="b">
        <v>0</v>
      </c>
    </row>
    <row r="159" spans="1:23" x14ac:dyDescent="0.2">
      <c r="A159" t="s">
        <v>779</v>
      </c>
      <c r="B159" t="s">
        <v>780</v>
      </c>
      <c r="C159" t="s">
        <v>781</v>
      </c>
      <c r="D159" t="s">
        <v>17</v>
      </c>
      <c r="E159">
        <v>2002</v>
      </c>
      <c r="F159" t="s">
        <v>782</v>
      </c>
      <c r="G159" t="s">
        <v>783</v>
      </c>
      <c r="H159" t="s">
        <v>20</v>
      </c>
      <c r="I159">
        <v>183</v>
      </c>
      <c r="J159" t="b">
        <v>0</v>
      </c>
      <c r="K159" t="b">
        <v>0</v>
      </c>
      <c r="R159" t="str">
        <f t="shared" si="3"/>
        <v/>
      </c>
      <c r="T159" t="b">
        <v>0</v>
      </c>
      <c r="W159" s="7" t="b">
        <v>0</v>
      </c>
    </row>
    <row r="160" spans="1:23" x14ac:dyDescent="0.2">
      <c r="A160" t="s">
        <v>784</v>
      </c>
      <c r="B160" t="s">
        <v>785</v>
      </c>
      <c r="C160" t="s">
        <v>786</v>
      </c>
      <c r="D160" t="s">
        <v>152</v>
      </c>
      <c r="E160">
        <v>2011</v>
      </c>
      <c r="F160" t="s">
        <v>25</v>
      </c>
      <c r="G160" t="s">
        <v>787</v>
      </c>
      <c r="H160" t="s">
        <v>20</v>
      </c>
      <c r="I160">
        <v>42</v>
      </c>
      <c r="J160" t="b">
        <v>0</v>
      </c>
      <c r="K160" t="b">
        <v>0</v>
      </c>
      <c r="R160" t="str">
        <f t="shared" si="3"/>
        <v/>
      </c>
      <c r="T160" t="b">
        <v>0</v>
      </c>
      <c r="W160" s="7" t="b">
        <v>0</v>
      </c>
    </row>
    <row r="161" spans="1:23" x14ac:dyDescent="0.2">
      <c r="A161" t="s">
        <v>788</v>
      </c>
      <c r="B161" t="s">
        <v>789</v>
      </c>
      <c r="C161" t="s">
        <v>790</v>
      </c>
      <c r="D161" t="s">
        <v>47</v>
      </c>
      <c r="E161">
        <v>2023</v>
      </c>
      <c r="F161" t="s">
        <v>25</v>
      </c>
      <c r="G161" t="s">
        <v>791</v>
      </c>
      <c r="H161" t="s">
        <v>20</v>
      </c>
      <c r="I161">
        <v>6</v>
      </c>
      <c r="J161" t="b">
        <v>0</v>
      </c>
      <c r="K161" t="b">
        <v>0</v>
      </c>
      <c r="R161" t="str">
        <f t="shared" si="3"/>
        <v/>
      </c>
      <c r="T161" t="b">
        <v>0</v>
      </c>
      <c r="W161" s="7" t="b">
        <v>0</v>
      </c>
    </row>
    <row r="162" spans="1:23" x14ac:dyDescent="0.2">
      <c r="A162" t="s">
        <v>792</v>
      </c>
      <c r="B162" t="s">
        <v>793</v>
      </c>
      <c r="C162" t="s">
        <v>794</v>
      </c>
      <c r="D162" t="s">
        <v>85</v>
      </c>
      <c r="E162">
        <v>1996</v>
      </c>
      <c r="F162" t="s">
        <v>795</v>
      </c>
      <c r="G162" t="s">
        <v>796</v>
      </c>
      <c r="H162" t="s">
        <v>254</v>
      </c>
      <c r="I162">
        <v>12</v>
      </c>
      <c r="J162" t="b">
        <v>0</v>
      </c>
      <c r="K162" t="b">
        <v>0</v>
      </c>
      <c r="R162" t="str">
        <f t="shared" si="3"/>
        <v/>
      </c>
      <c r="T162" t="b">
        <v>0</v>
      </c>
      <c r="W162" s="7" t="b">
        <v>0</v>
      </c>
    </row>
    <row r="163" spans="1:23" x14ac:dyDescent="0.2">
      <c r="A163" t="s">
        <v>797</v>
      </c>
      <c r="B163" t="s">
        <v>798</v>
      </c>
      <c r="C163" t="s">
        <v>799</v>
      </c>
      <c r="D163" t="s">
        <v>24</v>
      </c>
      <c r="E163">
        <v>2002</v>
      </c>
      <c r="F163" t="s">
        <v>25</v>
      </c>
      <c r="G163" t="s">
        <v>800</v>
      </c>
      <c r="H163" t="s">
        <v>20</v>
      </c>
      <c r="I163">
        <v>208</v>
      </c>
      <c r="J163" t="b">
        <v>0</v>
      </c>
      <c r="K163" t="b">
        <v>1</v>
      </c>
      <c r="R163" t="str">
        <f t="shared" si="3"/>
        <v/>
      </c>
      <c r="T163" t="b">
        <v>1</v>
      </c>
      <c r="U163" t="s">
        <v>3775</v>
      </c>
      <c r="W163" s="7" t="b">
        <v>1</v>
      </c>
    </row>
    <row r="164" spans="1:23" x14ac:dyDescent="0.2">
      <c r="A164" t="s">
        <v>801</v>
      </c>
      <c r="B164" t="s">
        <v>802</v>
      </c>
      <c r="C164" t="s">
        <v>803</v>
      </c>
      <c r="D164" t="s">
        <v>24</v>
      </c>
      <c r="E164">
        <v>2013</v>
      </c>
      <c r="F164" t="s">
        <v>25</v>
      </c>
      <c r="G164" t="s">
        <v>804</v>
      </c>
      <c r="H164" t="s">
        <v>20</v>
      </c>
      <c r="I164">
        <v>32</v>
      </c>
      <c r="J164" t="b">
        <v>0</v>
      </c>
      <c r="K164" t="b">
        <v>1</v>
      </c>
      <c r="R164" t="str">
        <f t="shared" si="3"/>
        <v/>
      </c>
      <c r="T164" t="b">
        <v>1</v>
      </c>
      <c r="U164" t="s">
        <v>3776</v>
      </c>
      <c r="W164" s="7" t="b">
        <v>1</v>
      </c>
    </row>
    <row r="165" spans="1:23" x14ac:dyDescent="0.2">
      <c r="A165" t="s">
        <v>805</v>
      </c>
      <c r="B165" t="s">
        <v>806</v>
      </c>
      <c r="C165" t="s">
        <v>807</v>
      </c>
      <c r="D165" t="s">
        <v>24</v>
      </c>
      <c r="E165">
        <v>2022</v>
      </c>
      <c r="F165" t="s">
        <v>25</v>
      </c>
      <c r="G165" t="s">
        <v>808</v>
      </c>
      <c r="H165" t="s">
        <v>20</v>
      </c>
      <c r="I165">
        <v>19</v>
      </c>
      <c r="J165" t="b">
        <v>0</v>
      </c>
      <c r="K165" t="b">
        <v>0</v>
      </c>
      <c r="R165" t="str">
        <f t="shared" si="3"/>
        <v/>
      </c>
      <c r="T165" t="b">
        <v>0</v>
      </c>
      <c r="W165" s="7" t="b">
        <v>0</v>
      </c>
    </row>
    <row r="166" spans="1:23" x14ac:dyDescent="0.2">
      <c r="A166" t="s">
        <v>809</v>
      </c>
      <c r="B166" t="s">
        <v>810</v>
      </c>
      <c r="C166" t="s">
        <v>811</v>
      </c>
      <c r="D166" t="s">
        <v>17</v>
      </c>
      <c r="E166">
        <v>2001</v>
      </c>
      <c r="F166" t="s">
        <v>812</v>
      </c>
      <c r="G166" t="s">
        <v>813</v>
      </c>
      <c r="H166" t="s">
        <v>20</v>
      </c>
      <c r="I166">
        <v>67</v>
      </c>
      <c r="J166" t="b">
        <v>0</v>
      </c>
      <c r="K166" t="b">
        <v>0</v>
      </c>
      <c r="R166" t="str">
        <f t="shared" si="3"/>
        <v/>
      </c>
      <c r="T166" t="b">
        <v>0</v>
      </c>
      <c r="W166" s="7" t="b">
        <v>0</v>
      </c>
    </row>
    <row r="167" spans="1:23" x14ac:dyDescent="0.2">
      <c r="A167" t="s">
        <v>814</v>
      </c>
      <c r="B167" t="s">
        <v>815</v>
      </c>
      <c r="C167" t="s">
        <v>816</v>
      </c>
      <c r="D167" t="s">
        <v>17</v>
      </c>
      <c r="E167">
        <v>2017</v>
      </c>
      <c r="F167" t="s">
        <v>817</v>
      </c>
      <c r="G167" t="s">
        <v>818</v>
      </c>
      <c r="H167" t="s">
        <v>322</v>
      </c>
      <c r="I167">
        <v>23</v>
      </c>
      <c r="J167" t="b">
        <v>0</v>
      </c>
      <c r="K167" t="b">
        <v>0</v>
      </c>
      <c r="R167" t="str">
        <f t="shared" si="3"/>
        <v/>
      </c>
      <c r="T167" t="b">
        <v>0</v>
      </c>
      <c r="W167" s="7" t="b">
        <v>0</v>
      </c>
    </row>
    <row r="168" spans="1:23" x14ac:dyDescent="0.2">
      <c r="A168" t="s">
        <v>819</v>
      </c>
      <c r="B168" t="s">
        <v>820</v>
      </c>
      <c r="C168" t="s">
        <v>821</v>
      </c>
      <c r="D168" t="s">
        <v>198</v>
      </c>
      <c r="E168">
        <v>2019</v>
      </c>
      <c r="F168" t="s">
        <v>25</v>
      </c>
      <c r="G168" t="s">
        <v>822</v>
      </c>
      <c r="H168" t="s">
        <v>322</v>
      </c>
      <c r="I168">
        <v>4</v>
      </c>
      <c r="J168" t="b">
        <v>0</v>
      </c>
      <c r="K168" t="b">
        <v>0</v>
      </c>
      <c r="R168" t="str">
        <f t="shared" si="3"/>
        <v/>
      </c>
      <c r="T168" t="b">
        <v>0</v>
      </c>
      <c r="W168" s="7" t="b">
        <v>0</v>
      </c>
    </row>
    <row r="169" spans="1:23" x14ac:dyDescent="0.2">
      <c r="A169" t="s">
        <v>823</v>
      </c>
      <c r="B169" t="s">
        <v>824</v>
      </c>
      <c r="C169" t="s">
        <v>825</v>
      </c>
      <c r="D169" t="s">
        <v>17</v>
      </c>
      <c r="E169">
        <v>2015</v>
      </c>
      <c r="F169" t="s">
        <v>826</v>
      </c>
      <c r="G169" t="s">
        <v>827</v>
      </c>
      <c r="H169" t="s">
        <v>20</v>
      </c>
      <c r="I169">
        <v>32</v>
      </c>
      <c r="J169" t="b">
        <v>0</v>
      </c>
      <c r="K169" t="b">
        <v>0</v>
      </c>
      <c r="R169" t="str">
        <f t="shared" si="3"/>
        <v/>
      </c>
      <c r="T169" t="b">
        <v>0</v>
      </c>
      <c r="W169" s="7" t="b">
        <v>0</v>
      </c>
    </row>
    <row r="170" spans="1:23" x14ac:dyDescent="0.2">
      <c r="A170" t="s">
        <v>828</v>
      </c>
      <c r="B170" t="s">
        <v>829</v>
      </c>
      <c r="C170" t="s">
        <v>830</v>
      </c>
      <c r="D170" t="s">
        <v>17</v>
      </c>
      <c r="E170">
        <v>2005</v>
      </c>
      <c r="F170" t="s">
        <v>831</v>
      </c>
      <c r="G170" t="s">
        <v>832</v>
      </c>
      <c r="H170" t="s">
        <v>20</v>
      </c>
      <c r="I170">
        <v>25</v>
      </c>
      <c r="J170" t="b">
        <v>0</v>
      </c>
      <c r="K170" t="b">
        <v>0</v>
      </c>
      <c r="R170" t="str">
        <f t="shared" si="3"/>
        <v/>
      </c>
      <c r="T170" t="b">
        <v>0</v>
      </c>
      <c r="W170" s="7" t="b">
        <v>0</v>
      </c>
    </row>
    <row r="171" spans="1:23" x14ac:dyDescent="0.2">
      <c r="A171" t="s">
        <v>833</v>
      </c>
      <c r="B171" t="s">
        <v>834</v>
      </c>
      <c r="C171" t="s">
        <v>835</v>
      </c>
      <c r="D171" t="s">
        <v>17</v>
      </c>
      <c r="E171">
        <v>2001</v>
      </c>
      <c r="F171" t="s">
        <v>836</v>
      </c>
      <c r="G171" t="s">
        <v>837</v>
      </c>
      <c r="H171" t="s">
        <v>389</v>
      </c>
      <c r="I171">
        <v>79</v>
      </c>
      <c r="J171" t="b">
        <v>0</v>
      </c>
      <c r="K171" t="b">
        <v>0</v>
      </c>
      <c r="R171" t="str">
        <f t="shared" si="3"/>
        <v/>
      </c>
      <c r="T171" t="b">
        <v>0</v>
      </c>
      <c r="W171" s="7" t="b">
        <v>0</v>
      </c>
    </row>
    <row r="172" spans="1:23" x14ac:dyDescent="0.2">
      <c r="A172" t="s">
        <v>838</v>
      </c>
      <c r="B172" t="s">
        <v>839</v>
      </c>
      <c r="C172" t="s">
        <v>840</v>
      </c>
      <c r="D172" t="s">
        <v>24</v>
      </c>
      <c r="E172">
        <v>2013</v>
      </c>
      <c r="F172" t="s">
        <v>25</v>
      </c>
      <c r="G172" t="s">
        <v>841</v>
      </c>
      <c r="H172" t="s">
        <v>20</v>
      </c>
      <c r="I172">
        <v>10</v>
      </c>
      <c r="J172" t="b">
        <v>0</v>
      </c>
      <c r="K172" t="b">
        <v>1</v>
      </c>
      <c r="R172" t="str">
        <f t="shared" si="3"/>
        <v/>
      </c>
      <c r="T172" t="b">
        <v>1</v>
      </c>
      <c r="U172" t="s">
        <v>3777</v>
      </c>
      <c r="W172" s="7" t="b">
        <v>1</v>
      </c>
    </row>
    <row r="173" spans="1:23" x14ac:dyDescent="0.2">
      <c r="A173" t="s">
        <v>842</v>
      </c>
      <c r="B173" t="s">
        <v>843</v>
      </c>
      <c r="C173" t="s">
        <v>844</v>
      </c>
      <c r="D173" t="s">
        <v>97</v>
      </c>
      <c r="E173">
        <v>2023</v>
      </c>
      <c r="F173" t="s">
        <v>845</v>
      </c>
      <c r="G173" t="s">
        <v>846</v>
      </c>
      <c r="H173" t="s">
        <v>111</v>
      </c>
      <c r="I173">
        <v>1</v>
      </c>
      <c r="J173" t="b">
        <v>0</v>
      </c>
      <c r="K173" t="b">
        <v>1</v>
      </c>
      <c r="R173" t="str">
        <f t="shared" si="3"/>
        <v/>
      </c>
      <c r="T173" t="b">
        <v>1</v>
      </c>
      <c r="U173" t="s">
        <v>3778</v>
      </c>
      <c r="W173" s="7" t="b">
        <v>1</v>
      </c>
    </row>
    <row r="174" spans="1:23" x14ac:dyDescent="0.2">
      <c r="A174" t="s">
        <v>847</v>
      </c>
      <c r="B174" t="s">
        <v>848</v>
      </c>
      <c r="C174" t="s">
        <v>849</v>
      </c>
      <c r="D174" t="s">
        <v>198</v>
      </c>
      <c r="E174">
        <v>2015</v>
      </c>
      <c r="F174" t="s">
        <v>25</v>
      </c>
      <c r="G174" t="s">
        <v>850</v>
      </c>
      <c r="H174" t="s">
        <v>254</v>
      </c>
      <c r="I174">
        <v>11</v>
      </c>
      <c r="J174" t="b">
        <v>0</v>
      </c>
      <c r="K174" t="b">
        <v>0</v>
      </c>
      <c r="R174" t="str">
        <f t="shared" si="3"/>
        <v/>
      </c>
      <c r="T174" t="b">
        <v>0</v>
      </c>
      <c r="W174" s="7" t="b">
        <v>1</v>
      </c>
    </row>
    <row r="175" spans="1:23" x14ac:dyDescent="0.2">
      <c r="A175" t="s">
        <v>851</v>
      </c>
      <c r="B175" t="s">
        <v>852</v>
      </c>
      <c r="C175" t="s">
        <v>853</v>
      </c>
      <c r="D175" t="s">
        <v>47</v>
      </c>
      <c r="E175">
        <v>2010</v>
      </c>
      <c r="F175" t="s">
        <v>25</v>
      </c>
      <c r="G175" t="s">
        <v>854</v>
      </c>
      <c r="H175" t="s">
        <v>20</v>
      </c>
      <c r="I175">
        <v>45</v>
      </c>
      <c r="J175" t="b">
        <v>0</v>
      </c>
      <c r="K175" t="b">
        <v>1</v>
      </c>
      <c r="R175" t="str">
        <f t="shared" si="3"/>
        <v/>
      </c>
      <c r="T175" t="b">
        <v>1</v>
      </c>
      <c r="U175" t="s">
        <v>3779</v>
      </c>
      <c r="W175" s="7" t="b">
        <v>1</v>
      </c>
    </row>
    <row r="176" spans="1:23" x14ac:dyDescent="0.2">
      <c r="A176" t="s">
        <v>855</v>
      </c>
      <c r="B176" t="s">
        <v>856</v>
      </c>
      <c r="C176" t="s">
        <v>857</v>
      </c>
      <c r="D176" t="s">
        <v>24</v>
      </c>
      <c r="E176">
        <v>2017</v>
      </c>
      <c r="F176" t="s">
        <v>25</v>
      </c>
      <c r="G176" t="s">
        <v>858</v>
      </c>
      <c r="H176" t="s">
        <v>20</v>
      </c>
      <c r="I176">
        <v>3</v>
      </c>
      <c r="J176" t="b">
        <v>0</v>
      </c>
      <c r="K176" t="b">
        <v>0</v>
      </c>
      <c r="R176" t="str">
        <f t="shared" si="3"/>
        <v/>
      </c>
      <c r="T176" t="b">
        <v>0</v>
      </c>
      <c r="W176" s="7" t="b">
        <v>0</v>
      </c>
    </row>
    <row r="177" spans="1:23" x14ac:dyDescent="0.2">
      <c r="A177" t="s">
        <v>859</v>
      </c>
      <c r="B177" t="s">
        <v>860</v>
      </c>
      <c r="C177" t="s">
        <v>861</v>
      </c>
      <c r="D177" t="s">
        <v>24</v>
      </c>
      <c r="E177">
        <v>2021</v>
      </c>
      <c r="F177" t="s">
        <v>25</v>
      </c>
      <c r="G177" t="s">
        <v>862</v>
      </c>
      <c r="H177" t="s">
        <v>20</v>
      </c>
      <c r="I177">
        <v>19</v>
      </c>
      <c r="J177" t="b">
        <v>0</v>
      </c>
      <c r="K177" t="b">
        <v>0</v>
      </c>
      <c r="R177" t="str">
        <f t="shared" si="3"/>
        <v/>
      </c>
      <c r="T177" t="b">
        <v>0</v>
      </c>
      <c r="W177" s="7" t="b">
        <v>0</v>
      </c>
    </row>
    <row r="178" spans="1:23" x14ac:dyDescent="0.2">
      <c r="A178" t="s">
        <v>863</v>
      </c>
      <c r="B178" t="s">
        <v>864</v>
      </c>
      <c r="C178" t="s">
        <v>865</v>
      </c>
      <c r="D178" t="s">
        <v>53</v>
      </c>
      <c r="E178">
        <v>2018</v>
      </c>
      <c r="F178" t="s">
        <v>25</v>
      </c>
      <c r="G178" t="s">
        <v>866</v>
      </c>
      <c r="H178" t="s">
        <v>128</v>
      </c>
      <c r="I178">
        <v>26</v>
      </c>
      <c r="J178" t="b">
        <v>0</v>
      </c>
      <c r="K178" t="b">
        <v>0</v>
      </c>
      <c r="R178" t="str">
        <f t="shared" si="3"/>
        <v/>
      </c>
      <c r="T178" t="b">
        <v>0</v>
      </c>
      <c r="W178" s="7" t="b">
        <v>0</v>
      </c>
    </row>
    <row r="179" spans="1:23" x14ac:dyDescent="0.2">
      <c r="A179" t="s">
        <v>867</v>
      </c>
      <c r="B179" t="s">
        <v>868</v>
      </c>
      <c r="C179" t="s">
        <v>869</v>
      </c>
      <c r="D179" t="s">
        <v>17</v>
      </c>
      <c r="E179">
        <v>2019</v>
      </c>
      <c r="F179" t="s">
        <v>870</v>
      </c>
      <c r="G179" t="s">
        <v>871</v>
      </c>
      <c r="H179" t="s">
        <v>20</v>
      </c>
      <c r="I179">
        <v>56</v>
      </c>
      <c r="J179" t="b">
        <v>0</v>
      </c>
      <c r="K179" t="b">
        <v>0</v>
      </c>
      <c r="R179" t="str">
        <f t="shared" si="3"/>
        <v/>
      </c>
      <c r="T179" t="b">
        <v>0</v>
      </c>
      <c r="W179" s="7" t="b">
        <v>0</v>
      </c>
    </row>
    <row r="180" spans="1:23" x14ac:dyDescent="0.2">
      <c r="A180" t="s">
        <v>872</v>
      </c>
      <c r="B180" t="s">
        <v>873</v>
      </c>
      <c r="C180" t="s">
        <v>874</v>
      </c>
      <c r="D180" t="s">
        <v>198</v>
      </c>
      <c r="E180">
        <v>1997</v>
      </c>
      <c r="F180" t="s">
        <v>875</v>
      </c>
      <c r="G180" t="s">
        <v>876</v>
      </c>
      <c r="H180" t="s">
        <v>254</v>
      </c>
      <c r="I180">
        <v>40</v>
      </c>
      <c r="J180" t="b">
        <v>0</v>
      </c>
      <c r="K180" t="b">
        <v>1</v>
      </c>
      <c r="R180" t="str">
        <f t="shared" si="3"/>
        <v/>
      </c>
      <c r="T180" t="b">
        <v>0</v>
      </c>
      <c r="W180" s="7" t="b">
        <v>1</v>
      </c>
    </row>
    <row r="181" spans="1:23" x14ac:dyDescent="0.2">
      <c r="A181" t="s">
        <v>877</v>
      </c>
      <c r="B181" t="s">
        <v>878</v>
      </c>
      <c r="C181" t="s">
        <v>879</v>
      </c>
      <c r="D181" t="s">
        <v>198</v>
      </c>
      <c r="E181">
        <v>2015</v>
      </c>
      <c r="F181" t="s">
        <v>25</v>
      </c>
      <c r="G181" t="s">
        <v>880</v>
      </c>
      <c r="H181" t="s">
        <v>647</v>
      </c>
      <c r="I181">
        <v>40</v>
      </c>
      <c r="J181" t="b">
        <v>0</v>
      </c>
      <c r="K181" t="b">
        <v>1</v>
      </c>
      <c r="R181" t="str">
        <f t="shared" si="3"/>
        <v/>
      </c>
      <c r="T181" t="b">
        <v>1</v>
      </c>
      <c r="U181" t="s">
        <v>3780</v>
      </c>
      <c r="W181" s="7" t="b">
        <v>1</v>
      </c>
    </row>
    <row r="182" spans="1:23" x14ac:dyDescent="0.2">
      <c r="A182" t="s">
        <v>881</v>
      </c>
      <c r="B182" t="s">
        <v>882</v>
      </c>
      <c r="C182" t="s">
        <v>883</v>
      </c>
      <c r="D182" t="s">
        <v>24</v>
      </c>
      <c r="E182">
        <v>2018</v>
      </c>
      <c r="F182" t="s">
        <v>25</v>
      </c>
      <c r="G182" t="s">
        <v>884</v>
      </c>
      <c r="H182" t="s">
        <v>20</v>
      </c>
      <c r="I182">
        <v>75</v>
      </c>
      <c r="J182" t="b">
        <v>0</v>
      </c>
      <c r="K182" t="b">
        <v>0</v>
      </c>
      <c r="R182" t="str">
        <f t="shared" si="3"/>
        <v/>
      </c>
      <c r="T182" t="b">
        <v>0</v>
      </c>
      <c r="W182" s="7" t="b">
        <v>0</v>
      </c>
    </row>
    <row r="183" spans="1:23" x14ac:dyDescent="0.2">
      <c r="A183" t="s">
        <v>885</v>
      </c>
      <c r="B183" t="s">
        <v>886</v>
      </c>
      <c r="C183" t="s">
        <v>887</v>
      </c>
      <c r="D183" t="s">
        <v>152</v>
      </c>
      <c r="E183">
        <v>2004</v>
      </c>
      <c r="F183" t="s">
        <v>25</v>
      </c>
      <c r="G183" t="s">
        <v>888</v>
      </c>
      <c r="H183" t="s">
        <v>154</v>
      </c>
      <c r="I183">
        <v>15</v>
      </c>
      <c r="J183" t="b">
        <v>0</v>
      </c>
      <c r="K183" t="b">
        <v>0</v>
      </c>
      <c r="R183" t="str">
        <f t="shared" si="3"/>
        <v/>
      </c>
      <c r="T183" t="b">
        <v>0</v>
      </c>
      <c r="W183" s="7" t="b">
        <v>0</v>
      </c>
    </row>
    <row r="184" spans="1:23" x14ac:dyDescent="0.2">
      <c r="A184" t="s">
        <v>889</v>
      </c>
      <c r="B184" t="s">
        <v>890</v>
      </c>
      <c r="C184" t="s">
        <v>891</v>
      </c>
      <c r="D184" t="s">
        <v>17</v>
      </c>
      <c r="E184">
        <v>2013</v>
      </c>
      <c r="F184" t="s">
        <v>892</v>
      </c>
      <c r="G184" t="s">
        <v>893</v>
      </c>
      <c r="H184" t="s">
        <v>20</v>
      </c>
      <c r="I184">
        <v>7</v>
      </c>
      <c r="J184" t="b">
        <v>0</v>
      </c>
      <c r="K184" t="b">
        <v>0</v>
      </c>
      <c r="R184" t="str">
        <f t="shared" si="3"/>
        <v/>
      </c>
      <c r="T184" t="b">
        <v>0</v>
      </c>
      <c r="W184" s="7" t="b">
        <v>0</v>
      </c>
    </row>
    <row r="185" spans="1:23" x14ac:dyDescent="0.2">
      <c r="A185" t="s">
        <v>894</v>
      </c>
      <c r="B185" t="s">
        <v>895</v>
      </c>
      <c r="C185" t="s">
        <v>896</v>
      </c>
      <c r="D185" t="s">
        <v>97</v>
      </c>
      <c r="E185">
        <v>2003</v>
      </c>
      <c r="F185" t="s">
        <v>897</v>
      </c>
      <c r="G185" t="s">
        <v>898</v>
      </c>
      <c r="H185" t="s">
        <v>20</v>
      </c>
      <c r="I185">
        <v>39</v>
      </c>
      <c r="J185" t="b">
        <v>0</v>
      </c>
      <c r="K185" t="b">
        <v>0</v>
      </c>
      <c r="R185" t="str">
        <f t="shared" si="3"/>
        <v/>
      </c>
      <c r="T185" t="b">
        <v>0</v>
      </c>
      <c r="W185" s="7" t="b">
        <v>0</v>
      </c>
    </row>
    <row r="186" spans="1:23" x14ac:dyDescent="0.2">
      <c r="A186" t="s">
        <v>899</v>
      </c>
      <c r="B186" t="s">
        <v>900</v>
      </c>
      <c r="C186" t="s">
        <v>901</v>
      </c>
      <c r="D186" t="s">
        <v>85</v>
      </c>
      <c r="E186">
        <v>2005</v>
      </c>
      <c r="F186" t="s">
        <v>902</v>
      </c>
      <c r="G186" t="s">
        <v>903</v>
      </c>
      <c r="H186" t="s">
        <v>154</v>
      </c>
      <c r="I186">
        <v>9</v>
      </c>
      <c r="J186" t="b">
        <v>0</v>
      </c>
      <c r="K186" t="b">
        <v>1</v>
      </c>
      <c r="R186" t="str">
        <f t="shared" si="3"/>
        <v/>
      </c>
      <c r="T186" t="b">
        <v>1</v>
      </c>
      <c r="U186" t="s">
        <v>3781</v>
      </c>
      <c r="W186" s="7" t="b">
        <v>1</v>
      </c>
    </row>
    <row r="187" spans="1:23" x14ac:dyDescent="0.2">
      <c r="A187" t="s">
        <v>904</v>
      </c>
      <c r="B187" t="s">
        <v>905</v>
      </c>
      <c r="C187" t="s">
        <v>906</v>
      </c>
      <c r="D187" t="s">
        <v>85</v>
      </c>
      <c r="E187">
        <v>2022</v>
      </c>
      <c r="F187" t="s">
        <v>907</v>
      </c>
      <c r="G187" t="s">
        <v>908</v>
      </c>
      <c r="H187" t="s">
        <v>154</v>
      </c>
      <c r="I187">
        <v>15</v>
      </c>
      <c r="J187" t="b">
        <v>0</v>
      </c>
      <c r="K187" t="b">
        <v>0</v>
      </c>
      <c r="R187" t="str">
        <f t="shared" si="3"/>
        <v/>
      </c>
      <c r="T187" t="b">
        <v>0</v>
      </c>
      <c r="W187" s="7" t="b">
        <v>0</v>
      </c>
    </row>
    <row r="188" spans="1:23" x14ac:dyDescent="0.2">
      <c r="A188" t="s">
        <v>909</v>
      </c>
      <c r="B188" t="s">
        <v>910</v>
      </c>
      <c r="C188" t="s">
        <v>911</v>
      </c>
      <c r="D188" t="s">
        <v>97</v>
      </c>
      <c r="E188">
        <v>2023</v>
      </c>
      <c r="F188" t="s">
        <v>912</v>
      </c>
      <c r="G188" t="s">
        <v>913</v>
      </c>
      <c r="H188" t="s">
        <v>274</v>
      </c>
      <c r="I188">
        <v>6</v>
      </c>
      <c r="J188" t="b">
        <v>0</v>
      </c>
      <c r="K188" t="b">
        <v>0</v>
      </c>
      <c r="R188" t="str">
        <f t="shared" si="3"/>
        <v/>
      </c>
      <c r="T188" t="b">
        <v>0</v>
      </c>
      <c r="W188" s="7" t="b">
        <v>0</v>
      </c>
    </row>
    <row r="189" spans="1:23" x14ac:dyDescent="0.2">
      <c r="A189" t="s">
        <v>914</v>
      </c>
      <c r="B189" t="s">
        <v>915</v>
      </c>
      <c r="C189" t="s">
        <v>916</v>
      </c>
      <c r="D189" t="s">
        <v>36</v>
      </c>
      <c r="E189">
        <v>2018</v>
      </c>
      <c r="F189" t="s">
        <v>25</v>
      </c>
      <c r="G189" t="s">
        <v>917</v>
      </c>
      <c r="H189" t="s">
        <v>111</v>
      </c>
      <c r="I189">
        <v>39</v>
      </c>
      <c r="J189" t="b">
        <v>0</v>
      </c>
      <c r="K189" t="b">
        <v>1</v>
      </c>
      <c r="R189" t="str">
        <f t="shared" si="3"/>
        <v/>
      </c>
      <c r="T189" t="b">
        <v>1</v>
      </c>
      <c r="U189" t="s">
        <v>3782</v>
      </c>
      <c r="W189" s="7" t="b">
        <v>1</v>
      </c>
    </row>
    <row r="190" spans="1:23" x14ac:dyDescent="0.2">
      <c r="A190" t="s">
        <v>918</v>
      </c>
      <c r="B190" t="s">
        <v>919</v>
      </c>
      <c r="C190" t="s">
        <v>920</v>
      </c>
      <c r="D190" t="s">
        <v>97</v>
      </c>
      <c r="E190">
        <v>2002</v>
      </c>
      <c r="F190" t="s">
        <v>921</v>
      </c>
      <c r="G190" t="s">
        <v>922</v>
      </c>
      <c r="H190" t="s">
        <v>254</v>
      </c>
      <c r="I190">
        <v>415</v>
      </c>
      <c r="J190" t="b">
        <v>0</v>
      </c>
      <c r="K190" t="b">
        <v>1</v>
      </c>
      <c r="R190" t="str">
        <f t="shared" si="3"/>
        <v/>
      </c>
      <c r="T190" t="b">
        <v>1</v>
      </c>
      <c r="U190" t="s">
        <v>3783</v>
      </c>
      <c r="W190" s="7" t="b">
        <v>1</v>
      </c>
    </row>
    <row r="191" spans="1:23" x14ac:dyDescent="0.2">
      <c r="A191" t="s">
        <v>923</v>
      </c>
      <c r="B191" t="s">
        <v>924</v>
      </c>
      <c r="C191" t="s">
        <v>925</v>
      </c>
      <c r="D191" t="s">
        <v>85</v>
      </c>
      <c r="E191">
        <v>1998</v>
      </c>
      <c r="F191" t="s">
        <v>926</v>
      </c>
      <c r="G191" t="s">
        <v>927</v>
      </c>
      <c r="H191" t="s">
        <v>77</v>
      </c>
      <c r="I191">
        <v>85</v>
      </c>
      <c r="J191" t="b">
        <v>0</v>
      </c>
      <c r="K191" t="b">
        <v>0</v>
      </c>
      <c r="R191" t="str">
        <f t="shared" si="3"/>
        <v/>
      </c>
      <c r="T191" t="b">
        <v>0</v>
      </c>
      <c r="W191" s="7" t="b">
        <v>0</v>
      </c>
    </row>
    <row r="192" spans="1:23" x14ac:dyDescent="0.2">
      <c r="A192" t="s">
        <v>928</v>
      </c>
      <c r="B192" t="s">
        <v>929</v>
      </c>
      <c r="C192" t="s">
        <v>930</v>
      </c>
      <c r="D192" t="s">
        <v>17</v>
      </c>
      <c r="E192">
        <v>1993</v>
      </c>
      <c r="F192" t="s">
        <v>931</v>
      </c>
      <c r="G192" t="s">
        <v>932</v>
      </c>
      <c r="H192" t="s">
        <v>20</v>
      </c>
      <c r="I192">
        <v>59</v>
      </c>
      <c r="J192" t="b">
        <v>0</v>
      </c>
      <c r="K192" t="b">
        <v>0</v>
      </c>
      <c r="R192" t="str">
        <f t="shared" si="3"/>
        <v/>
      </c>
      <c r="T192" t="b">
        <v>0</v>
      </c>
      <c r="W192" s="7" t="b">
        <v>0</v>
      </c>
    </row>
    <row r="193" spans="1:23" x14ac:dyDescent="0.2">
      <c r="A193" t="s">
        <v>933</v>
      </c>
      <c r="B193" t="s">
        <v>934</v>
      </c>
      <c r="C193" t="s">
        <v>935</v>
      </c>
      <c r="D193" t="s">
        <v>47</v>
      </c>
      <c r="E193">
        <v>1999</v>
      </c>
      <c r="F193" t="s">
        <v>936</v>
      </c>
      <c r="G193" t="s">
        <v>937</v>
      </c>
      <c r="H193" t="s">
        <v>20</v>
      </c>
      <c r="I193">
        <v>11</v>
      </c>
      <c r="J193" t="b">
        <v>0</v>
      </c>
      <c r="K193" t="b">
        <v>1</v>
      </c>
      <c r="R193" t="str">
        <f t="shared" si="3"/>
        <v/>
      </c>
      <c r="T193" t="b">
        <v>1</v>
      </c>
      <c r="U193" t="s">
        <v>3784</v>
      </c>
      <c r="W193" s="7" t="b">
        <v>1</v>
      </c>
    </row>
    <row r="194" spans="1:23" x14ac:dyDescent="0.2">
      <c r="A194" t="s">
        <v>938</v>
      </c>
      <c r="B194" t="s">
        <v>939</v>
      </c>
      <c r="C194" t="s">
        <v>940</v>
      </c>
      <c r="D194" t="s">
        <v>24</v>
      </c>
      <c r="E194">
        <v>2016</v>
      </c>
      <c r="F194" t="s">
        <v>25</v>
      </c>
      <c r="G194" t="s">
        <v>941</v>
      </c>
      <c r="H194" t="s">
        <v>20</v>
      </c>
      <c r="I194">
        <v>343</v>
      </c>
      <c r="J194" t="b">
        <v>0</v>
      </c>
      <c r="K194" t="b">
        <v>0</v>
      </c>
      <c r="R194" t="str">
        <f t="shared" si="3"/>
        <v/>
      </c>
      <c r="T194" t="b">
        <v>1</v>
      </c>
      <c r="U194" t="s">
        <v>3785</v>
      </c>
      <c r="W194" s="7" t="b">
        <v>0</v>
      </c>
    </row>
    <row r="195" spans="1:23" x14ac:dyDescent="0.2">
      <c r="A195" t="s">
        <v>942</v>
      </c>
      <c r="B195" t="s">
        <v>943</v>
      </c>
      <c r="C195" t="s">
        <v>944</v>
      </c>
      <c r="D195" t="s">
        <v>97</v>
      </c>
      <c r="E195">
        <v>1994</v>
      </c>
      <c r="F195" t="s">
        <v>25</v>
      </c>
      <c r="G195" t="s">
        <v>945</v>
      </c>
      <c r="H195" t="s">
        <v>20</v>
      </c>
      <c r="I195">
        <v>23</v>
      </c>
      <c r="J195" t="b">
        <v>0</v>
      </c>
      <c r="K195" t="b">
        <v>1</v>
      </c>
      <c r="R195" t="str">
        <f t="shared" ref="R195:R258" si="4">IF(Q195&lt;&gt;N195,"!!!","")</f>
        <v/>
      </c>
      <c r="T195" t="b">
        <v>1</v>
      </c>
      <c r="U195" t="s">
        <v>3786</v>
      </c>
      <c r="W195" s="7" t="b">
        <v>1</v>
      </c>
    </row>
    <row r="196" spans="1:23" x14ac:dyDescent="0.2">
      <c r="A196" t="s">
        <v>946</v>
      </c>
      <c r="B196" t="s">
        <v>947</v>
      </c>
      <c r="C196" t="s">
        <v>948</v>
      </c>
      <c r="D196" t="s">
        <v>198</v>
      </c>
      <c r="E196">
        <v>2009</v>
      </c>
      <c r="F196" t="s">
        <v>949</v>
      </c>
      <c r="G196" t="s">
        <v>950</v>
      </c>
      <c r="H196" t="s">
        <v>254</v>
      </c>
      <c r="I196">
        <v>15</v>
      </c>
      <c r="J196" t="b">
        <v>0</v>
      </c>
      <c r="K196" t="b">
        <v>0</v>
      </c>
      <c r="R196" t="str">
        <f t="shared" si="4"/>
        <v/>
      </c>
      <c r="T196" t="b">
        <v>0</v>
      </c>
      <c r="W196" s="7" t="b">
        <v>0</v>
      </c>
    </row>
    <row r="197" spans="1:23" x14ac:dyDescent="0.2">
      <c r="A197" t="s">
        <v>951</v>
      </c>
      <c r="B197" t="s">
        <v>952</v>
      </c>
      <c r="C197" t="s">
        <v>953</v>
      </c>
      <c r="D197" t="s">
        <v>97</v>
      </c>
      <c r="E197">
        <v>2018</v>
      </c>
      <c r="F197" t="s">
        <v>954</v>
      </c>
      <c r="G197" t="s">
        <v>955</v>
      </c>
      <c r="H197" t="s">
        <v>680</v>
      </c>
      <c r="I197">
        <v>53</v>
      </c>
      <c r="J197" t="b">
        <v>0</v>
      </c>
      <c r="K197" t="b">
        <v>0</v>
      </c>
      <c r="R197" t="str">
        <f t="shared" si="4"/>
        <v/>
      </c>
      <c r="T197" t="b">
        <v>0</v>
      </c>
      <c r="W197" s="7" t="b">
        <v>0</v>
      </c>
    </row>
    <row r="198" spans="1:23" x14ac:dyDescent="0.2">
      <c r="A198" t="s">
        <v>956</v>
      </c>
      <c r="B198" t="s">
        <v>957</v>
      </c>
      <c r="C198" t="s">
        <v>958</v>
      </c>
      <c r="D198" t="s">
        <v>97</v>
      </c>
      <c r="E198">
        <v>2005</v>
      </c>
      <c r="F198" t="s">
        <v>959</v>
      </c>
      <c r="G198" t="s">
        <v>960</v>
      </c>
      <c r="H198" t="s">
        <v>20</v>
      </c>
      <c r="I198">
        <v>47</v>
      </c>
      <c r="J198" t="b">
        <v>0</v>
      </c>
      <c r="K198" t="b">
        <v>0</v>
      </c>
      <c r="R198" t="str">
        <f t="shared" si="4"/>
        <v/>
      </c>
      <c r="T198" t="b">
        <v>0</v>
      </c>
      <c r="W198" s="7" t="b">
        <v>0</v>
      </c>
    </row>
    <row r="199" spans="1:23" x14ac:dyDescent="0.2">
      <c r="A199" t="s">
        <v>961</v>
      </c>
      <c r="B199" t="s">
        <v>962</v>
      </c>
      <c r="C199" t="s">
        <v>963</v>
      </c>
      <c r="D199" t="s">
        <v>47</v>
      </c>
      <c r="E199">
        <v>2017</v>
      </c>
      <c r="F199" t="s">
        <v>25</v>
      </c>
      <c r="G199" t="s">
        <v>964</v>
      </c>
      <c r="H199" t="s">
        <v>20</v>
      </c>
      <c r="I199">
        <v>11</v>
      </c>
      <c r="J199" t="b">
        <v>0</v>
      </c>
      <c r="K199" t="b">
        <v>1</v>
      </c>
      <c r="R199" t="str">
        <f t="shared" si="4"/>
        <v/>
      </c>
      <c r="T199" t="b">
        <v>1</v>
      </c>
      <c r="U199" t="s">
        <v>3787</v>
      </c>
      <c r="W199" s="7" t="b">
        <v>1</v>
      </c>
    </row>
    <row r="200" spans="1:23" x14ac:dyDescent="0.2">
      <c r="A200" t="s">
        <v>965</v>
      </c>
      <c r="B200" t="s">
        <v>966</v>
      </c>
      <c r="C200" t="s">
        <v>967</v>
      </c>
      <c r="D200" t="s">
        <v>198</v>
      </c>
      <c r="E200">
        <v>2021</v>
      </c>
      <c r="F200" t="s">
        <v>25</v>
      </c>
      <c r="G200" t="s">
        <v>968</v>
      </c>
      <c r="H200" t="s">
        <v>293</v>
      </c>
      <c r="I200">
        <v>22</v>
      </c>
      <c r="J200" t="b">
        <v>0</v>
      </c>
      <c r="K200" t="b">
        <v>1</v>
      </c>
      <c r="R200" t="str">
        <f t="shared" si="4"/>
        <v/>
      </c>
      <c r="T200" t="b">
        <v>1</v>
      </c>
      <c r="U200" t="s">
        <v>3788</v>
      </c>
      <c r="W200" s="7" t="b">
        <v>1</v>
      </c>
    </row>
    <row r="201" spans="1:23" x14ac:dyDescent="0.2">
      <c r="A201" t="s">
        <v>969</v>
      </c>
      <c r="B201" t="s">
        <v>970</v>
      </c>
      <c r="C201" t="s">
        <v>971</v>
      </c>
      <c r="D201" t="s">
        <v>85</v>
      </c>
      <c r="E201">
        <v>2022</v>
      </c>
      <c r="F201" t="s">
        <v>972</v>
      </c>
      <c r="G201" t="s">
        <v>973</v>
      </c>
      <c r="H201" t="s">
        <v>680</v>
      </c>
      <c r="I201">
        <v>3</v>
      </c>
      <c r="J201" t="b">
        <v>0</v>
      </c>
      <c r="K201" t="b">
        <v>0</v>
      </c>
      <c r="R201" t="str">
        <f t="shared" si="4"/>
        <v/>
      </c>
      <c r="T201" t="b">
        <v>0</v>
      </c>
      <c r="W201" s="7" t="b">
        <v>0</v>
      </c>
    </row>
    <row r="202" spans="1:23" x14ac:dyDescent="0.2">
      <c r="A202" t="s">
        <v>974</v>
      </c>
      <c r="B202" t="s">
        <v>975</v>
      </c>
      <c r="C202" t="s">
        <v>976</v>
      </c>
      <c r="D202" t="s">
        <v>17</v>
      </c>
      <c r="E202">
        <v>1999</v>
      </c>
      <c r="F202" t="s">
        <v>977</v>
      </c>
      <c r="G202" t="s">
        <v>978</v>
      </c>
      <c r="H202" t="s">
        <v>20</v>
      </c>
      <c r="I202">
        <v>43</v>
      </c>
      <c r="J202" t="b">
        <v>0</v>
      </c>
      <c r="K202" t="b">
        <v>0</v>
      </c>
      <c r="R202" t="str">
        <f t="shared" si="4"/>
        <v/>
      </c>
      <c r="W202" s="7" t="b">
        <v>0</v>
      </c>
    </row>
    <row r="203" spans="1:23" x14ac:dyDescent="0.2">
      <c r="A203" t="s">
        <v>979</v>
      </c>
      <c r="B203" t="s">
        <v>980</v>
      </c>
      <c r="C203" t="s">
        <v>981</v>
      </c>
      <c r="D203" t="s">
        <v>85</v>
      </c>
      <c r="E203">
        <v>1995</v>
      </c>
      <c r="F203" t="s">
        <v>25</v>
      </c>
      <c r="G203" t="s">
        <v>982</v>
      </c>
      <c r="H203" t="s">
        <v>154</v>
      </c>
      <c r="I203">
        <v>1</v>
      </c>
      <c r="J203" t="b">
        <v>0</v>
      </c>
      <c r="K203" t="b">
        <v>1</v>
      </c>
      <c r="R203" t="str">
        <f t="shared" si="4"/>
        <v/>
      </c>
      <c r="W203" s="7" t="b">
        <v>1</v>
      </c>
    </row>
    <row r="204" spans="1:23" x14ac:dyDescent="0.2">
      <c r="A204" t="s">
        <v>983</v>
      </c>
      <c r="B204" t="s">
        <v>984</v>
      </c>
      <c r="C204" t="s">
        <v>985</v>
      </c>
      <c r="D204" t="s">
        <v>85</v>
      </c>
      <c r="E204">
        <v>1990</v>
      </c>
      <c r="F204" t="s">
        <v>25</v>
      </c>
      <c r="G204" t="s">
        <v>986</v>
      </c>
      <c r="H204" t="s">
        <v>254</v>
      </c>
      <c r="I204">
        <v>134</v>
      </c>
      <c r="J204" t="b">
        <v>0</v>
      </c>
      <c r="K204" t="b">
        <v>0</v>
      </c>
      <c r="R204" t="str">
        <f t="shared" si="4"/>
        <v/>
      </c>
      <c r="W204" s="7" t="b">
        <v>0</v>
      </c>
    </row>
    <row r="205" spans="1:23" x14ac:dyDescent="0.2">
      <c r="A205" t="s">
        <v>987</v>
      </c>
      <c r="B205" t="s">
        <v>988</v>
      </c>
      <c r="C205" t="s">
        <v>989</v>
      </c>
      <c r="D205" t="s">
        <v>36</v>
      </c>
      <c r="E205">
        <v>2018</v>
      </c>
      <c r="F205" t="s">
        <v>25</v>
      </c>
      <c r="G205" t="s">
        <v>990</v>
      </c>
      <c r="H205" t="s">
        <v>154</v>
      </c>
      <c r="I205">
        <v>48</v>
      </c>
      <c r="J205" t="b">
        <v>0</v>
      </c>
      <c r="K205" t="b">
        <v>1</v>
      </c>
      <c r="R205" t="str">
        <f t="shared" si="4"/>
        <v/>
      </c>
      <c r="W205" s="7" t="b">
        <v>1</v>
      </c>
    </row>
    <row r="206" spans="1:23" x14ac:dyDescent="0.2">
      <c r="A206" t="s">
        <v>991</v>
      </c>
      <c r="B206" t="s">
        <v>992</v>
      </c>
      <c r="C206" t="s">
        <v>993</v>
      </c>
      <c r="D206" t="s">
        <v>17</v>
      </c>
      <c r="E206">
        <v>1991</v>
      </c>
      <c r="F206" t="s">
        <v>994</v>
      </c>
      <c r="G206" t="s">
        <v>995</v>
      </c>
      <c r="H206" t="s">
        <v>20</v>
      </c>
      <c r="I206">
        <v>45</v>
      </c>
      <c r="J206" t="b">
        <v>0</v>
      </c>
      <c r="K206" t="b">
        <v>1</v>
      </c>
      <c r="R206" t="str">
        <f t="shared" si="4"/>
        <v/>
      </c>
      <c r="W206" s="7" t="b">
        <v>0</v>
      </c>
    </row>
    <row r="207" spans="1:23" x14ac:dyDescent="0.2">
      <c r="A207" t="s">
        <v>996</v>
      </c>
      <c r="B207" t="s">
        <v>997</v>
      </c>
      <c r="C207" t="s">
        <v>998</v>
      </c>
      <c r="D207" t="s">
        <v>198</v>
      </c>
      <c r="E207">
        <v>2004</v>
      </c>
      <c r="F207" t="s">
        <v>999</v>
      </c>
      <c r="G207" t="s">
        <v>1000</v>
      </c>
      <c r="H207" t="s">
        <v>481</v>
      </c>
      <c r="I207">
        <v>37</v>
      </c>
      <c r="J207" t="b">
        <v>0</v>
      </c>
      <c r="K207" t="b">
        <v>0</v>
      </c>
      <c r="R207" t="str">
        <f t="shared" si="4"/>
        <v/>
      </c>
      <c r="W207" s="7" t="b">
        <v>0</v>
      </c>
    </row>
    <row r="208" spans="1:23" x14ac:dyDescent="0.2">
      <c r="A208" t="s">
        <v>1001</v>
      </c>
      <c r="B208" t="s">
        <v>1002</v>
      </c>
      <c r="C208" t="s">
        <v>1003</v>
      </c>
      <c r="D208" t="s">
        <v>24</v>
      </c>
      <c r="E208">
        <v>2003</v>
      </c>
      <c r="F208" t="s">
        <v>25</v>
      </c>
      <c r="G208" t="s">
        <v>1004</v>
      </c>
      <c r="H208" t="s">
        <v>20</v>
      </c>
      <c r="I208">
        <v>196</v>
      </c>
      <c r="J208" t="b">
        <v>0</v>
      </c>
      <c r="K208" t="b">
        <v>0</v>
      </c>
      <c r="R208" t="str">
        <f t="shared" si="4"/>
        <v/>
      </c>
      <c r="W208" s="7" t="b">
        <v>0</v>
      </c>
    </row>
    <row r="209" spans="1:23" x14ac:dyDescent="0.2">
      <c r="A209" t="s">
        <v>1005</v>
      </c>
      <c r="B209" t="s">
        <v>1006</v>
      </c>
      <c r="C209" t="s">
        <v>1007</v>
      </c>
      <c r="D209" t="s">
        <v>53</v>
      </c>
      <c r="E209">
        <v>1997</v>
      </c>
      <c r="F209" t="s">
        <v>1008</v>
      </c>
      <c r="G209" t="s">
        <v>1009</v>
      </c>
      <c r="H209" t="s">
        <v>647</v>
      </c>
      <c r="I209">
        <v>118</v>
      </c>
      <c r="J209" t="b">
        <v>0</v>
      </c>
      <c r="K209" t="b">
        <v>0</v>
      </c>
      <c r="R209" t="str">
        <f t="shared" si="4"/>
        <v/>
      </c>
      <c r="W209" s="7" t="b">
        <v>0</v>
      </c>
    </row>
    <row r="210" spans="1:23" x14ac:dyDescent="0.2">
      <c r="A210" t="s">
        <v>1010</v>
      </c>
      <c r="B210" t="s">
        <v>1011</v>
      </c>
      <c r="C210" t="s">
        <v>1012</v>
      </c>
      <c r="D210" t="s">
        <v>85</v>
      </c>
      <c r="E210">
        <v>2013</v>
      </c>
      <c r="F210" t="s">
        <v>1013</v>
      </c>
      <c r="G210" t="s">
        <v>1014</v>
      </c>
      <c r="H210" t="s">
        <v>1015</v>
      </c>
      <c r="I210">
        <v>410</v>
      </c>
      <c r="J210" t="b">
        <v>0</v>
      </c>
      <c r="K210" t="b">
        <v>0</v>
      </c>
      <c r="R210" t="str">
        <f t="shared" si="4"/>
        <v/>
      </c>
      <c r="W210" s="7" t="b">
        <v>0</v>
      </c>
    </row>
    <row r="211" spans="1:23" x14ac:dyDescent="0.2">
      <c r="A211" t="s">
        <v>1016</v>
      </c>
      <c r="B211" t="s">
        <v>1017</v>
      </c>
      <c r="C211" t="s">
        <v>1018</v>
      </c>
      <c r="D211" t="s">
        <v>24</v>
      </c>
      <c r="E211">
        <v>2002</v>
      </c>
      <c r="F211" t="s">
        <v>25</v>
      </c>
      <c r="G211" t="s">
        <v>1019</v>
      </c>
      <c r="H211" t="s">
        <v>20</v>
      </c>
      <c r="I211">
        <v>135</v>
      </c>
      <c r="J211" t="b">
        <v>0</v>
      </c>
      <c r="K211" t="b">
        <v>0</v>
      </c>
      <c r="R211" t="str">
        <f t="shared" si="4"/>
        <v/>
      </c>
      <c r="W211" s="7" t="b">
        <v>0</v>
      </c>
    </row>
    <row r="212" spans="1:23" x14ac:dyDescent="0.2">
      <c r="A212" t="s">
        <v>1020</v>
      </c>
      <c r="B212" t="s">
        <v>1021</v>
      </c>
      <c r="C212" t="s">
        <v>1022</v>
      </c>
      <c r="D212" t="s">
        <v>152</v>
      </c>
      <c r="E212">
        <v>2010</v>
      </c>
      <c r="F212" t="s">
        <v>25</v>
      </c>
      <c r="G212" t="s">
        <v>1023</v>
      </c>
      <c r="H212" t="s">
        <v>20</v>
      </c>
      <c r="I212">
        <v>3</v>
      </c>
      <c r="J212" t="b">
        <v>0</v>
      </c>
      <c r="K212" t="b">
        <v>0</v>
      </c>
      <c r="R212" t="str">
        <f t="shared" si="4"/>
        <v/>
      </c>
      <c r="W212" s="7" t="b">
        <v>0</v>
      </c>
    </row>
    <row r="213" spans="1:23" x14ac:dyDescent="0.2">
      <c r="A213" t="s">
        <v>1024</v>
      </c>
      <c r="B213" t="s">
        <v>1025</v>
      </c>
      <c r="C213" t="s">
        <v>1026</v>
      </c>
      <c r="D213" t="s">
        <v>85</v>
      </c>
      <c r="E213">
        <v>2001</v>
      </c>
      <c r="F213" t="s">
        <v>1027</v>
      </c>
      <c r="G213" t="s">
        <v>1028</v>
      </c>
      <c r="H213" t="s">
        <v>20</v>
      </c>
      <c r="I213">
        <v>666</v>
      </c>
      <c r="J213" t="b">
        <v>0</v>
      </c>
      <c r="K213" t="b">
        <v>0</v>
      </c>
      <c r="R213" t="str">
        <f t="shared" si="4"/>
        <v/>
      </c>
      <c r="W213" s="7" t="b">
        <v>0</v>
      </c>
    </row>
    <row r="214" spans="1:23" x14ac:dyDescent="0.2">
      <c r="A214" t="s">
        <v>1029</v>
      </c>
      <c r="B214" t="s">
        <v>1030</v>
      </c>
      <c r="C214" t="s">
        <v>1031</v>
      </c>
      <c r="D214" t="s">
        <v>198</v>
      </c>
      <c r="E214">
        <v>2024</v>
      </c>
      <c r="F214" t="s">
        <v>25</v>
      </c>
      <c r="G214" t="s">
        <v>1032</v>
      </c>
      <c r="H214" t="s">
        <v>154</v>
      </c>
      <c r="I214">
        <v>1</v>
      </c>
      <c r="J214" t="b">
        <v>0</v>
      </c>
      <c r="K214" t="b">
        <v>1</v>
      </c>
      <c r="R214" t="str">
        <f t="shared" si="4"/>
        <v/>
      </c>
      <c r="W214" s="7" t="b">
        <v>0</v>
      </c>
    </row>
    <row r="215" spans="1:23" x14ac:dyDescent="0.2">
      <c r="A215" t="s">
        <v>1033</v>
      </c>
      <c r="B215" t="s">
        <v>1034</v>
      </c>
      <c r="C215" t="s">
        <v>1035</v>
      </c>
      <c r="D215" t="s">
        <v>47</v>
      </c>
      <c r="E215">
        <v>2021</v>
      </c>
      <c r="F215" t="s">
        <v>25</v>
      </c>
      <c r="G215" t="s">
        <v>1036</v>
      </c>
      <c r="H215" t="s">
        <v>20</v>
      </c>
      <c r="I215">
        <v>8</v>
      </c>
      <c r="J215" t="b">
        <v>0</v>
      </c>
      <c r="K215" t="b">
        <v>0</v>
      </c>
      <c r="R215" t="str">
        <f t="shared" si="4"/>
        <v/>
      </c>
      <c r="W215" s="7" t="b">
        <v>0</v>
      </c>
    </row>
    <row r="216" spans="1:23" x14ac:dyDescent="0.2">
      <c r="A216" t="s">
        <v>1037</v>
      </c>
      <c r="B216" t="s">
        <v>1038</v>
      </c>
      <c r="C216" t="s">
        <v>1039</v>
      </c>
      <c r="D216" t="s">
        <v>152</v>
      </c>
      <c r="E216">
        <v>2011</v>
      </c>
      <c r="F216" t="s">
        <v>25</v>
      </c>
      <c r="G216" t="s">
        <v>1040</v>
      </c>
      <c r="H216" t="s">
        <v>184</v>
      </c>
      <c r="I216">
        <v>33</v>
      </c>
      <c r="J216" t="b">
        <v>0</v>
      </c>
      <c r="K216" t="b">
        <v>1</v>
      </c>
      <c r="R216" t="str">
        <f t="shared" si="4"/>
        <v/>
      </c>
      <c r="W216" s="7" t="b">
        <v>1</v>
      </c>
    </row>
    <row r="217" spans="1:23" x14ac:dyDescent="0.2">
      <c r="A217" t="s">
        <v>1041</v>
      </c>
      <c r="B217" t="s">
        <v>1042</v>
      </c>
      <c r="C217" t="s">
        <v>1043</v>
      </c>
      <c r="D217" t="s">
        <v>85</v>
      </c>
      <c r="E217">
        <v>1991</v>
      </c>
      <c r="F217" t="s">
        <v>25</v>
      </c>
      <c r="G217" t="s">
        <v>1044</v>
      </c>
      <c r="H217" t="s">
        <v>1045</v>
      </c>
      <c r="I217">
        <v>4</v>
      </c>
      <c r="J217" t="b">
        <v>0</v>
      </c>
      <c r="K217" t="b">
        <v>0</v>
      </c>
      <c r="R217" t="str">
        <f t="shared" si="4"/>
        <v/>
      </c>
      <c r="W217" s="7" t="b">
        <v>0</v>
      </c>
    </row>
    <row r="218" spans="1:23" x14ac:dyDescent="0.2">
      <c r="A218" t="s">
        <v>1046</v>
      </c>
      <c r="B218" t="s">
        <v>1047</v>
      </c>
      <c r="C218" t="s">
        <v>1048</v>
      </c>
      <c r="D218" t="s">
        <v>97</v>
      </c>
      <c r="E218">
        <v>1998</v>
      </c>
      <c r="F218" t="s">
        <v>1049</v>
      </c>
      <c r="G218" t="s">
        <v>1050</v>
      </c>
      <c r="H218" t="s">
        <v>20</v>
      </c>
      <c r="I218">
        <v>25</v>
      </c>
      <c r="J218" t="b">
        <v>0</v>
      </c>
      <c r="K218" t="b">
        <v>1</v>
      </c>
      <c r="R218" t="str">
        <f t="shared" si="4"/>
        <v/>
      </c>
      <c r="W218" s="7" t="b">
        <v>1</v>
      </c>
    </row>
    <row r="219" spans="1:23" x14ac:dyDescent="0.2">
      <c r="A219" t="s">
        <v>1051</v>
      </c>
      <c r="B219" t="s">
        <v>1052</v>
      </c>
      <c r="C219" t="s">
        <v>1053</v>
      </c>
      <c r="D219" t="s">
        <v>53</v>
      </c>
      <c r="E219">
        <v>1997</v>
      </c>
      <c r="F219" t="s">
        <v>1054</v>
      </c>
      <c r="G219" t="s">
        <v>1055</v>
      </c>
      <c r="H219" t="s">
        <v>20</v>
      </c>
      <c r="I219">
        <v>6</v>
      </c>
      <c r="J219" t="b">
        <v>0</v>
      </c>
      <c r="K219" t="b">
        <v>0</v>
      </c>
      <c r="R219" t="str">
        <f t="shared" si="4"/>
        <v/>
      </c>
      <c r="W219" s="7" t="b">
        <v>0</v>
      </c>
    </row>
    <row r="220" spans="1:23" x14ac:dyDescent="0.2">
      <c r="A220" t="s">
        <v>1056</v>
      </c>
      <c r="B220" t="s">
        <v>1057</v>
      </c>
      <c r="C220" t="s">
        <v>1058</v>
      </c>
      <c r="D220" t="s">
        <v>53</v>
      </c>
      <c r="E220">
        <v>2022</v>
      </c>
      <c r="F220" t="s">
        <v>1059</v>
      </c>
      <c r="G220" t="s">
        <v>1060</v>
      </c>
      <c r="H220" t="s">
        <v>20</v>
      </c>
      <c r="I220">
        <v>2</v>
      </c>
      <c r="J220" t="b">
        <v>0</v>
      </c>
      <c r="K220" t="b">
        <v>0</v>
      </c>
      <c r="R220" t="str">
        <f t="shared" si="4"/>
        <v/>
      </c>
      <c r="W220" s="7" t="b">
        <v>0</v>
      </c>
    </row>
    <row r="221" spans="1:23" x14ac:dyDescent="0.2">
      <c r="A221" t="s">
        <v>1061</v>
      </c>
      <c r="B221" t="s">
        <v>1062</v>
      </c>
      <c r="C221" t="s">
        <v>1063</v>
      </c>
      <c r="D221" t="s">
        <v>85</v>
      </c>
      <c r="E221">
        <v>1992</v>
      </c>
      <c r="F221" t="s">
        <v>25</v>
      </c>
      <c r="G221" t="s">
        <v>1064</v>
      </c>
      <c r="H221" t="s">
        <v>481</v>
      </c>
      <c r="I221">
        <v>42</v>
      </c>
      <c r="J221" t="b">
        <v>0</v>
      </c>
      <c r="K221" t="b">
        <v>0</v>
      </c>
      <c r="R221" t="str">
        <f t="shared" si="4"/>
        <v/>
      </c>
      <c r="W221" s="7" t="b">
        <v>0</v>
      </c>
    </row>
    <row r="222" spans="1:23" x14ac:dyDescent="0.2">
      <c r="A222" t="s">
        <v>1065</v>
      </c>
      <c r="B222" t="s">
        <v>1066</v>
      </c>
      <c r="C222" t="s">
        <v>1067</v>
      </c>
      <c r="D222" t="s">
        <v>17</v>
      </c>
      <c r="E222">
        <v>2007</v>
      </c>
      <c r="F222" t="s">
        <v>1068</v>
      </c>
      <c r="G222" t="s">
        <v>1069</v>
      </c>
      <c r="H222" t="s">
        <v>20</v>
      </c>
      <c r="I222">
        <v>123</v>
      </c>
      <c r="J222" t="b">
        <v>0</v>
      </c>
      <c r="K222" t="b">
        <v>0</v>
      </c>
      <c r="R222" t="str">
        <f t="shared" si="4"/>
        <v/>
      </c>
      <c r="W222" s="7" t="b">
        <v>0</v>
      </c>
    </row>
    <row r="223" spans="1:23" x14ac:dyDescent="0.2">
      <c r="A223" t="s">
        <v>1070</v>
      </c>
      <c r="B223" t="s">
        <v>1071</v>
      </c>
      <c r="C223" t="s">
        <v>1072</v>
      </c>
      <c r="D223" t="s">
        <v>97</v>
      </c>
      <c r="E223">
        <v>2012</v>
      </c>
      <c r="F223" t="s">
        <v>1073</v>
      </c>
      <c r="G223" t="s">
        <v>1074</v>
      </c>
      <c r="H223" t="s">
        <v>20</v>
      </c>
      <c r="I223">
        <v>20</v>
      </c>
      <c r="J223" t="b">
        <v>0</v>
      </c>
      <c r="K223" t="b">
        <v>1</v>
      </c>
      <c r="R223" t="str">
        <f t="shared" si="4"/>
        <v/>
      </c>
      <c r="W223" s="7" t="b">
        <v>0</v>
      </c>
    </row>
    <row r="224" spans="1:23" x14ac:dyDescent="0.2">
      <c r="A224" t="s">
        <v>1075</v>
      </c>
      <c r="B224" t="s">
        <v>1076</v>
      </c>
      <c r="C224" t="s">
        <v>1077</v>
      </c>
      <c r="D224" t="s">
        <v>85</v>
      </c>
      <c r="E224">
        <v>2023</v>
      </c>
      <c r="F224" t="s">
        <v>1078</v>
      </c>
      <c r="G224" t="s">
        <v>1079</v>
      </c>
      <c r="H224" t="s">
        <v>20</v>
      </c>
      <c r="I224">
        <v>53</v>
      </c>
      <c r="J224" t="b">
        <v>0</v>
      </c>
      <c r="K224" t="b">
        <v>0</v>
      </c>
      <c r="R224" t="str">
        <f t="shared" si="4"/>
        <v/>
      </c>
      <c r="W224" s="7" t="b">
        <v>0</v>
      </c>
    </row>
    <row r="225" spans="1:23" x14ac:dyDescent="0.2">
      <c r="A225" t="s">
        <v>1080</v>
      </c>
      <c r="C225" t="s">
        <v>1081</v>
      </c>
      <c r="D225" t="s">
        <v>53</v>
      </c>
      <c r="E225">
        <v>1994</v>
      </c>
      <c r="F225" t="s">
        <v>1082</v>
      </c>
      <c r="G225" t="s">
        <v>1083</v>
      </c>
      <c r="H225" t="s">
        <v>20</v>
      </c>
      <c r="I225">
        <v>13</v>
      </c>
      <c r="J225" t="b">
        <v>0</v>
      </c>
      <c r="K225" t="b">
        <v>0</v>
      </c>
      <c r="R225" t="str">
        <f t="shared" si="4"/>
        <v/>
      </c>
      <c r="W225" s="7" t="b">
        <v>0</v>
      </c>
    </row>
    <row r="226" spans="1:23" x14ac:dyDescent="0.2">
      <c r="A226" t="s">
        <v>1084</v>
      </c>
      <c r="B226" t="s">
        <v>1085</v>
      </c>
      <c r="C226" t="s">
        <v>1086</v>
      </c>
      <c r="D226" t="s">
        <v>17</v>
      </c>
      <c r="E226">
        <v>2017</v>
      </c>
      <c r="F226" t="s">
        <v>1087</v>
      </c>
      <c r="G226" t="s">
        <v>1088</v>
      </c>
      <c r="H226" t="s">
        <v>20</v>
      </c>
      <c r="I226">
        <v>13</v>
      </c>
      <c r="J226" t="b">
        <v>0</v>
      </c>
      <c r="K226" t="b">
        <v>0</v>
      </c>
      <c r="R226" t="str">
        <f t="shared" si="4"/>
        <v/>
      </c>
      <c r="W226" s="7" t="b">
        <v>0</v>
      </c>
    </row>
    <row r="227" spans="1:23" x14ac:dyDescent="0.2">
      <c r="A227" t="s">
        <v>1089</v>
      </c>
      <c r="B227" t="s">
        <v>1090</v>
      </c>
      <c r="C227" t="s">
        <v>1091</v>
      </c>
      <c r="D227" t="s">
        <v>198</v>
      </c>
      <c r="E227">
        <v>1995</v>
      </c>
      <c r="F227" t="s">
        <v>1092</v>
      </c>
      <c r="G227" t="s">
        <v>1093</v>
      </c>
      <c r="I227">
        <v>7</v>
      </c>
      <c r="J227" t="b">
        <v>0</v>
      </c>
      <c r="K227" t="b">
        <v>0</v>
      </c>
      <c r="R227" t="str">
        <f t="shared" si="4"/>
        <v/>
      </c>
      <c r="W227" s="7" t="b">
        <v>0</v>
      </c>
    </row>
    <row r="228" spans="1:23" x14ac:dyDescent="0.2">
      <c r="A228" t="s">
        <v>1094</v>
      </c>
      <c r="B228" t="s">
        <v>1095</v>
      </c>
      <c r="C228" t="s">
        <v>1096</v>
      </c>
      <c r="D228" t="s">
        <v>58</v>
      </c>
      <c r="E228">
        <v>2000</v>
      </c>
      <c r="F228" t="s">
        <v>1097</v>
      </c>
      <c r="G228" t="s">
        <v>1098</v>
      </c>
      <c r="H228" t="s">
        <v>322</v>
      </c>
      <c r="I228">
        <v>3</v>
      </c>
      <c r="J228" t="b">
        <v>0</v>
      </c>
      <c r="R228" t="str">
        <f t="shared" si="4"/>
        <v/>
      </c>
      <c r="W228" s="7" t="b">
        <v>0</v>
      </c>
    </row>
    <row r="229" spans="1:23" x14ac:dyDescent="0.2">
      <c r="A229" t="s">
        <v>1099</v>
      </c>
      <c r="B229" t="s">
        <v>1100</v>
      </c>
      <c r="C229" t="s">
        <v>1101</v>
      </c>
      <c r="D229" t="s">
        <v>58</v>
      </c>
      <c r="E229">
        <v>2001</v>
      </c>
      <c r="F229" t="s">
        <v>1102</v>
      </c>
      <c r="G229" t="s">
        <v>1103</v>
      </c>
      <c r="H229" t="s">
        <v>67</v>
      </c>
      <c r="I229">
        <v>18</v>
      </c>
      <c r="J229" t="b">
        <v>0</v>
      </c>
      <c r="K229" t="b">
        <v>0</v>
      </c>
      <c r="R229" t="str">
        <f t="shared" si="4"/>
        <v/>
      </c>
      <c r="W229" s="7" t="b">
        <v>0</v>
      </c>
    </row>
    <row r="230" spans="1:23" x14ac:dyDescent="0.2">
      <c r="A230" t="s">
        <v>1104</v>
      </c>
      <c r="B230" t="s">
        <v>1105</v>
      </c>
      <c r="C230" t="s">
        <v>1106</v>
      </c>
      <c r="D230" t="s">
        <v>85</v>
      </c>
      <c r="E230">
        <v>1992</v>
      </c>
      <c r="F230" t="s">
        <v>25</v>
      </c>
      <c r="G230" t="s">
        <v>1107</v>
      </c>
      <c r="H230" t="s">
        <v>742</v>
      </c>
      <c r="I230">
        <v>46</v>
      </c>
      <c r="J230" t="b">
        <v>0</v>
      </c>
      <c r="K230" t="b">
        <v>0</v>
      </c>
      <c r="R230" t="str">
        <f t="shared" si="4"/>
        <v/>
      </c>
      <c r="W230" s="7" t="b">
        <v>0</v>
      </c>
    </row>
    <row r="231" spans="1:23" x14ac:dyDescent="0.2">
      <c r="A231" t="s">
        <v>1108</v>
      </c>
      <c r="B231" t="s">
        <v>1109</v>
      </c>
      <c r="C231" t="s">
        <v>1110</v>
      </c>
      <c r="D231" t="s">
        <v>47</v>
      </c>
      <c r="E231">
        <v>2024</v>
      </c>
      <c r="F231" t="s">
        <v>25</v>
      </c>
      <c r="G231" t="s">
        <v>1111</v>
      </c>
      <c r="H231" t="s">
        <v>20</v>
      </c>
      <c r="I231">
        <v>0</v>
      </c>
      <c r="J231" t="b">
        <v>0</v>
      </c>
      <c r="K231" t="b">
        <v>0</v>
      </c>
      <c r="R231" t="str">
        <f t="shared" si="4"/>
        <v/>
      </c>
      <c r="W231" s="7" t="b">
        <v>0</v>
      </c>
    </row>
    <row r="232" spans="1:23" x14ac:dyDescent="0.2">
      <c r="A232" t="s">
        <v>1112</v>
      </c>
      <c r="B232" t="s">
        <v>1113</v>
      </c>
      <c r="C232" t="s">
        <v>1114</v>
      </c>
      <c r="D232" t="s">
        <v>53</v>
      </c>
      <c r="E232">
        <v>2014</v>
      </c>
      <c r="F232" t="s">
        <v>25</v>
      </c>
      <c r="G232" t="s">
        <v>1115</v>
      </c>
      <c r="H232" t="s">
        <v>20</v>
      </c>
      <c r="I232">
        <v>20</v>
      </c>
      <c r="J232" t="b">
        <v>0</v>
      </c>
      <c r="K232" t="b">
        <v>0</v>
      </c>
      <c r="R232" t="str">
        <f t="shared" si="4"/>
        <v/>
      </c>
      <c r="W232" s="7" t="b">
        <v>0</v>
      </c>
    </row>
    <row r="233" spans="1:23" x14ac:dyDescent="0.2">
      <c r="A233" t="s">
        <v>1116</v>
      </c>
      <c r="B233" t="s">
        <v>1117</v>
      </c>
      <c r="C233" t="s">
        <v>1118</v>
      </c>
      <c r="D233" t="s">
        <v>152</v>
      </c>
      <c r="E233">
        <v>2002</v>
      </c>
      <c r="F233" t="s">
        <v>25</v>
      </c>
      <c r="G233" t="s">
        <v>1119</v>
      </c>
      <c r="H233" t="s">
        <v>154</v>
      </c>
      <c r="I233">
        <v>156</v>
      </c>
      <c r="J233" t="b">
        <v>0</v>
      </c>
      <c r="K233" t="b">
        <v>0</v>
      </c>
      <c r="R233" t="str">
        <f t="shared" si="4"/>
        <v/>
      </c>
      <c r="W233" s="7" t="b">
        <v>0</v>
      </c>
    </row>
    <row r="234" spans="1:23" x14ac:dyDescent="0.2">
      <c r="A234" t="s">
        <v>1120</v>
      </c>
      <c r="B234" t="s">
        <v>1121</v>
      </c>
      <c r="C234" t="s">
        <v>1122</v>
      </c>
      <c r="D234" t="s">
        <v>17</v>
      </c>
      <c r="E234">
        <v>1993</v>
      </c>
      <c r="F234" t="s">
        <v>1123</v>
      </c>
      <c r="G234" t="s">
        <v>1124</v>
      </c>
      <c r="H234" t="s">
        <v>20</v>
      </c>
      <c r="I234">
        <v>61</v>
      </c>
      <c r="J234" t="b">
        <v>0</v>
      </c>
      <c r="K234" t="b">
        <v>0</v>
      </c>
      <c r="R234" t="str">
        <f t="shared" si="4"/>
        <v/>
      </c>
      <c r="W234" s="7" t="b">
        <v>0</v>
      </c>
    </row>
    <row r="235" spans="1:23" x14ac:dyDescent="0.2">
      <c r="A235" t="s">
        <v>1125</v>
      </c>
      <c r="B235" t="s">
        <v>1126</v>
      </c>
      <c r="C235" t="s">
        <v>1127</v>
      </c>
      <c r="D235" t="s">
        <v>47</v>
      </c>
      <c r="E235">
        <v>1993</v>
      </c>
      <c r="F235" t="s">
        <v>25</v>
      </c>
      <c r="G235" t="s">
        <v>1128</v>
      </c>
      <c r="H235" t="s">
        <v>128</v>
      </c>
      <c r="I235">
        <v>54</v>
      </c>
      <c r="J235" t="b">
        <v>0</v>
      </c>
      <c r="K235" t="b">
        <v>1</v>
      </c>
      <c r="R235" t="str">
        <f t="shared" si="4"/>
        <v/>
      </c>
      <c r="W235" s="7" t="b">
        <v>1</v>
      </c>
    </row>
    <row r="236" spans="1:23" x14ac:dyDescent="0.2">
      <c r="A236" t="s">
        <v>1129</v>
      </c>
      <c r="B236" t="s">
        <v>1130</v>
      </c>
      <c r="C236" t="s">
        <v>1131</v>
      </c>
      <c r="D236" t="s">
        <v>198</v>
      </c>
      <c r="E236">
        <v>2015</v>
      </c>
      <c r="F236" t="s">
        <v>25</v>
      </c>
      <c r="G236" t="s">
        <v>1132</v>
      </c>
      <c r="H236" t="s">
        <v>1133</v>
      </c>
      <c r="I236">
        <v>7</v>
      </c>
      <c r="J236" t="b">
        <v>0</v>
      </c>
      <c r="K236" t="b">
        <v>0</v>
      </c>
      <c r="R236" t="str">
        <f t="shared" si="4"/>
        <v/>
      </c>
      <c r="W236" s="7" t="b">
        <v>0</v>
      </c>
    </row>
    <row r="237" spans="1:23" x14ac:dyDescent="0.2">
      <c r="A237" t="s">
        <v>1134</v>
      </c>
      <c r="B237" t="s">
        <v>1135</v>
      </c>
      <c r="C237" t="s">
        <v>1136</v>
      </c>
      <c r="D237" t="s">
        <v>24</v>
      </c>
      <c r="E237">
        <v>2013</v>
      </c>
      <c r="F237" t="s">
        <v>25</v>
      </c>
      <c r="G237" t="s">
        <v>1137</v>
      </c>
      <c r="H237" t="s">
        <v>20</v>
      </c>
      <c r="I237">
        <v>5</v>
      </c>
      <c r="J237" t="b">
        <v>0</v>
      </c>
      <c r="K237" t="b">
        <v>1</v>
      </c>
      <c r="R237" t="str">
        <f t="shared" si="4"/>
        <v/>
      </c>
      <c r="W237" s="7" t="b">
        <v>1</v>
      </c>
    </row>
    <row r="238" spans="1:23" x14ac:dyDescent="0.2">
      <c r="A238" t="s">
        <v>1138</v>
      </c>
      <c r="B238" t="s">
        <v>1139</v>
      </c>
      <c r="C238" t="s">
        <v>1140</v>
      </c>
      <c r="D238" t="s">
        <v>85</v>
      </c>
      <c r="E238">
        <v>1993</v>
      </c>
      <c r="F238" t="s">
        <v>25</v>
      </c>
      <c r="G238" t="s">
        <v>1141</v>
      </c>
      <c r="H238" t="s">
        <v>105</v>
      </c>
      <c r="I238">
        <v>29</v>
      </c>
      <c r="J238" t="b">
        <v>0</v>
      </c>
      <c r="K238" t="b">
        <v>0</v>
      </c>
      <c r="R238" t="str">
        <f t="shared" si="4"/>
        <v/>
      </c>
      <c r="W238" s="7" t="b">
        <v>0</v>
      </c>
    </row>
    <row r="239" spans="1:23" x14ac:dyDescent="0.2">
      <c r="A239" t="s">
        <v>1142</v>
      </c>
      <c r="B239" t="s">
        <v>1143</v>
      </c>
      <c r="C239" t="s">
        <v>1144</v>
      </c>
      <c r="D239" t="s">
        <v>198</v>
      </c>
      <c r="E239">
        <v>2006</v>
      </c>
      <c r="F239" t="s">
        <v>1145</v>
      </c>
      <c r="G239" t="s">
        <v>1146</v>
      </c>
      <c r="H239" t="s">
        <v>20</v>
      </c>
      <c r="I239">
        <v>81</v>
      </c>
      <c r="J239" t="b">
        <v>0</v>
      </c>
      <c r="K239" t="b">
        <v>1</v>
      </c>
      <c r="R239" t="str">
        <f t="shared" si="4"/>
        <v/>
      </c>
      <c r="W239" s="7" t="b">
        <v>1</v>
      </c>
    </row>
    <row r="240" spans="1:23" x14ac:dyDescent="0.2">
      <c r="A240" t="s">
        <v>1147</v>
      </c>
      <c r="B240" t="s">
        <v>1148</v>
      </c>
      <c r="C240" t="s">
        <v>1149</v>
      </c>
      <c r="D240" t="s">
        <v>152</v>
      </c>
      <c r="E240">
        <v>1995</v>
      </c>
      <c r="F240" t="s">
        <v>25</v>
      </c>
      <c r="G240" t="s">
        <v>1150</v>
      </c>
      <c r="H240" t="s">
        <v>154</v>
      </c>
      <c r="I240">
        <v>59</v>
      </c>
      <c r="J240" t="b">
        <v>0</v>
      </c>
      <c r="K240" t="b">
        <v>0</v>
      </c>
      <c r="R240" t="str">
        <f t="shared" si="4"/>
        <v/>
      </c>
      <c r="W240" s="7" t="b">
        <v>0</v>
      </c>
    </row>
    <row r="241" spans="1:23" x14ac:dyDescent="0.2">
      <c r="A241" t="s">
        <v>1151</v>
      </c>
      <c r="B241" t="s">
        <v>1152</v>
      </c>
      <c r="C241" t="s">
        <v>1153</v>
      </c>
      <c r="D241" t="s">
        <v>24</v>
      </c>
      <c r="E241">
        <v>2004</v>
      </c>
      <c r="F241" t="s">
        <v>25</v>
      </c>
      <c r="G241" t="s">
        <v>1154</v>
      </c>
      <c r="H241" t="s">
        <v>20</v>
      </c>
      <c r="I241">
        <v>108</v>
      </c>
      <c r="J241" t="b">
        <v>0</v>
      </c>
      <c r="K241" t="b">
        <v>0</v>
      </c>
      <c r="R241" t="str">
        <f t="shared" si="4"/>
        <v/>
      </c>
      <c r="W241" s="7" t="b">
        <v>0</v>
      </c>
    </row>
    <row r="242" spans="1:23" x14ac:dyDescent="0.2">
      <c r="A242" t="s">
        <v>1155</v>
      </c>
      <c r="B242" t="s">
        <v>1156</v>
      </c>
      <c r="C242" t="s">
        <v>1157</v>
      </c>
      <c r="D242" t="s">
        <v>85</v>
      </c>
      <c r="E242">
        <v>2000</v>
      </c>
      <c r="F242" t="s">
        <v>1158</v>
      </c>
      <c r="G242" t="s">
        <v>1159</v>
      </c>
      <c r="H242" t="s">
        <v>20</v>
      </c>
      <c r="I242">
        <v>24</v>
      </c>
      <c r="J242" t="b">
        <v>0</v>
      </c>
      <c r="K242" t="b">
        <v>0</v>
      </c>
      <c r="R242" t="str">
        <f t="shared" si="4"/>
        <v/>
      </c>
      <c r="W242" s="7" t="b">
        <v>0</v>
      </c>
    </row>
    <row r="243" spans="1:23" x14ac:dyDescent="0.2">
      <c r="A243" t="s">
        <v>1160</v>
      </c>
      <c r="B243" t="s">
        <v>1161</v>
      </c>
      <c r="C243" t="s">
        <v>1162</v>
      </c>
      <c r="D243" t="s">
        <v>198</v>
      </c>
      <c r="E243">
        <v>2007</v>
      </c>
      <c r="F243" t="s">
        <v>1163</v>
      </c>
      <c r="G243" t="s">
        <v>1164</v>
      </c>
      <c r="H243" t="s">
        <v>154</v>
      </c>
      <c r="I243">
        <v>15</v>
      </c>
      <c r="J243" t="b">
        <v>0</v>
      </c>
      <c r="K243" t="b">
        <v>1</v>
      </c>
      <c r="R243" t="str">
        <f t="shared" si="4"/>
        <v/>
      </c>
      <c r="W243" s="7" t="b">
        <v>1</v>
      </c>
    </row>
    <row r="244" spans="1:23" x14ac:dyDescent="0.2">
      <c r="A244" t="s">
        <v>1165</v>
      </c>
      <c r="B244" t="s">
        <v>1166</v>
      </c>
      <c r="C244" t="s">
        <v>1167</v>
      </c>
      <c r="D244" t="s">
        <v>97</v>
      </c>
      <c r="E244">
        <v>2002</v>
      </c>
      <c r="F244" t="s">
        <v>1168</v>
      </c>
      <c r="G244" t="s">
        <v>1169</v>
      </c>
      <c r="H244" t="s">
        <v>20</v>
      </c>
      <c r="I244">
        <v>59</v>
      </c>
      <c r="J244" t="b">
        <v>0</v>
      </c>
      <c r="K244" t="b">
        <v>0</v>
      </c>
      <c r="R244" t="str">
        <f t="shared" si="4"/>
        <v/>
      </c>
      <c r="W244" s="7" t="b">
        <v>0</v>
      </c>
    </row>
    <row r="245" spans="1:23" x14ac:dyDescent="0.2">
      <c r="A245" t="s">
        <v>1170</v>
      </c>
      <c r="B245" t="s">
        <v>1171</v>
      </c>
      <c r="C245" t="s">
        <v>1172</v>
      </c>
      <c r="D245" t="s">
        <v>47</v>
      </c>
      <c r="E245">
        <v>2022</v>
      </c>
      <c r="F245" t="s">
        <v>25</v>
      </c>
      <c r="G245" t="s">
        <v>1173</v>
      </c>
      <c r="H245" t="s">
        <v>111</v>
      </c>
      <c r="I245">
        <v>0</v>
      </c>
      <c r="J245" t="b">
        <v>0</v>
      </c>
      <c r="K245" t="b">
        <v>0</v>
      </c>
      <c r="R245" t="str">
        <f t="shared" si="4"/>
        <v/>
      </c>
      <c r="W245" s="7" t="b">
        <v>0</v>
      </c>
    </row>
    <row r="246" spans="1:23" x14ac:dyDescent="0.2">
      <c r="A246" t="s">
        <v>1174</v>
      </c>
      <c r="B246" t="s">
        <v>1175</v>
      </c>
      <c r="C246" t="s">
        <v>1176</v>
      </c>
      <c r="D246" t="s">
        <v>17</v>
      </c>
      <c r="E246">
        <v>1993</v>
      </c>
      <c r="F246" t="s">
        <v>1177</v>
      </c>
      <c r="G246" t="s">
        <v>1178</v>
      </c>
      <c r="H246" t="s">
        <v>20</v>
      </c>
      <c r="I246">
        <v>165</v>
      </c>
      <c r="J246" t="b">
        <v>0</v>
      </c>
      <c r="K246" t="b">
        <v>1</v>
      </c>
      <c r="R246" t="str">
        <f t="shared" si="4"/>
        <v/>
      </c>
      <c r="W246" s="7" t="b">
        <v>1</v>
      </c>
    </row>
    <row r="247" spans="1:23" x14ac:dyDescent="0.2">
      <c r="A247" t="s">
        <v>1179</v>
      </c>
      <c r="B247" t="s">
        <v>1180</v>
      </c>
      <c r="C247" t="s">
        <v>1181</v>
      </c>
      <c r="D247" t="s">
        <v>17</v>
      </c>
      <c r="E247">
        <v>2008</v>
      </c>
      <c r="F247" t="s">
        <v>1182</v>
      </c>
      <c r="G247" t="s">
        <v>1183</v>
      </c>
      <c r="H247" t="s">
        <v>20</v>
      </c>
      <c r="I247">
        <v>130</v>
      </c>
      <c r="J247" t="b">
        <v>0</v>
      </c>
      <c r="K247" t="b">
        <v>0</v>
      </c>
      <c r="R247" t="str">
        <f t="shared" si="4"/>
        <v/>
      </c>
      <c r="W247" s="7" t="b">
        <v>0</v>
      </c>
    </row>
    <row r="248" spans="1:23" x14ac:dyDescent="0.2">
      <c r="A248" t="s">
        <v>1184</v>
      </c>
      <c r="B248" t="s">
        <v>1185</v>
      </c>
      <c r="C248" t="s">
        <v>1186</v>
      </c>
      <c r="D248" t="s">
        <v>17</v>
      </c>
      <c r="E248">
        <v>1997</v>
      </c>
      <c r="F248" t="s">
        <v>1187</v>
      </c>
      <c r="G248" t="s">
        <v>1188</v>
      </c>
      <c r="H248" t="s">
        <v>1189</v>
      </c>
      <c r="I248">
        <v>352</v>
      </c>
      <c r="J248" t="b">
        <v>0</v>
      </c>
      <c r="K248" t="b">
        <v>0</v>
      </c>
      <c r="R248" t="str">
        <f t="shared" si="4"/>
        <v/>
      </c>
      <c r="W248" s="7" t="b">
        <v>0</v>
      </c>
    </row>
    <row r="249" spans="1:23" x14ac:dyDescent="0.2">
      <c r="A249" t="s">
        <v>1190</v>
      </c>
      <c r="B249" t="s">
        <v>1191</v>
      </c>
      <c r="C249" t="s">
        <v>1192</v>
      </c>
      <c r="D249" t="s">
        <v>17</v>
      </c>
      <c r="E249">
        <v>2011</v>
      </c>
      <c r="F249" t="s">
        <v>1193</v>
      </c>
      <c r="G249" t="s">
        <v>1194</v>
      </c>
      <c r="H249" t="s">
        <v>20</v>
      </c>
      <c r="I249">
        <v>167</v>
      </c>
      <c r="J249" t="b">
        <v>0</v>
      </c>
      <c r="K249" t="b">
        <v>0</v>
      </c>
      <c r="R249" t="str">
        <f t="shared" si="4"/>
        <v/>
      </c>
      <c r="W249" s="7" t="b">
        <v>0</v>
      </c>
    </row>
    <row r="250" spans="1:23" x14ac:dyDescent="0.2">
      <c r="A250" t="s">
        <v>1195</v>
      </c>
      <c r="B250" t="s">
        <v>1196</v>
      </c>
      <c r="C250" t="s">
        <v>1197</v>
      </c>
      <c r="D250" t="s">
        <v>47</v>
      </c>
      <c r="E250">
        <v>2020</v>
      </c>
      <c r="F250" t="s">
        <v>25</v>
      </c>
      <c r="G250" t="s">
        <v>1198</v>
      </c>
      <c r="H250" t="s">
        <v>20</v>
      </c>
      <c r="I250">
        <v>5</v>
      </c>
      <c r="J250" t="b">
        <v>0</v>
      </c>
      <c r="K250" t="b">
        <v>1</v>
      </c>
      <c r="R250" t="str">
        <f t="shared" si="4"/>
        <v/>
      </c>
      <c r="W250" s="7" t="b">
        <v>1</v>
      </c>
    </row>
    <row r="251" spans="1:23" x14ac:dyDescent="0.2">
      <c r="A251" t="s">
        <v>1199</v>
      </c>
      <c r="B251" t="s">
        <v>1200</v>
      </c>
      <c r="C251" t="s">
        <v>1201</v>
      </c>
      <c r="D251" t="s">
        <v>152</v>
      </c>
      <c r="E251">
        <v>2007</v>
      </c>
      <c r="F251" t="s">
        <v>25</v>
      </c>
      <c r="G251" t="s">
        <v>1202</v>
      </c>
      <c r="H251" t="s">
        <v>67</v>
      </c>
      <c r="I251">
        <v>37</v>
      </c>
      <c r="J251" t="b">
        <v>0</v>
      </c>
      <c r="K251" t="b">
        <v>0</v>
      </c>
      <c r="R251" t="str">
        <f t="shared" si="4"/>
        <v/>
      </c>
      <c r="W251" s="7" t="b">
        <v>0</v>
      </c>
    </row>
    <row r="252" spans="1:23" x14ac:dyDescent="0.2">
      <c r="A252" t="s">
        <v>1203</v>
      </c>
      <c r="B252" t="s">
        <v>1204</v>
      </c>
      <c r="C252" t="s">
        <v>1205</v>
      </c>
      <c r="D252" t="s">
        <v>97</v>
      </c>
      <c r="E252">
        <v>2010</v>
      </c>
      <c r="F252" t="s">
        <v>1206</v>
      </c>
      <c r="G252" t="s">
        <v>1207</v>
      </c>
      <c r="H252" t="s">
        <v>20</v>
      </c>
      <c r="I252">
        <v>259</v>
      </c>
      <c r="J252" t="b">
        <v>0</v>
      </c>
      <c r="K252" t="b">
        <v>0</v>
      </c>
      <c r="R252" t="str">
        <f t="shared" si="4"/>
        <v/>
      </c>
      <c r="W252" s="7" t="b">
        <v>0</v>
      </c>
    </row>
    <row r="253" spans="1:23" x14ac:dyDescent="0.2">
      <c r="A253" t="s">
        <v>1208</v>
      </c>
      <c r="B253" t="s">
        <v>1209</v>
      </c>
      <c r="C253" t="s">
        <v>1210</v>
      </c>
      <c r="D253" t="s">
        <v>152</v>
      </c>
      <c r="E253">
        <v>2014</v>
      </c>
      <c r="F253" t="s">
        <v>25</v>
      </c>
      <c r="G253" t="s">
        <v>1211</v>
      </c>
      <c r="H253" t="s">
        <v>322</v>
      </c>
      <c r="I253">
        <v>6</v>
      </c>
      <c r="J253" t="b">
        <v>0</v>
      </c>
      <c r="K253" t="b">
        <v>1</v>
      </c>
      <c r="R253" t="str">
        <f t="shared" si="4"/>
        <v/>
      </c>
      <c r="W253" s="7" t="b">
        <v>1</v>
      </c>
    </row>
    <row r="254" spans="1:23" x14ac:dyDescent="0.2">
      <c r="A254" t="s">
        <v>1212</v>
      </c>
      <c r="B254" t="s">
        <v>1213</v>
      </c>
      <c r="C254" t="s">
        <v>1214</v>
      </c>
      <c r="D254" t="s">
        <v>58</v>
      </c>
      <c r="E254">
        <v>1999</v>
      </c>
      <c r="F254" t="s">
        <v>1215</v>
      </c>
      <c r="G254" t="s">
        <v>1216</v>
      </c>
      <c r="H254" t="s">
        <v>254</v>
      </c>
      <c r="I254">
        <v>338</v>
      </c>
      <c r="J254" t="b">
        <v>0</v>
      </c>
      <c r="K254" t="b">
        <v>0</v>
      </c>
      <c r="R254" t="str">
        <f t="shared" si="4"/>
        <v/>
      </c>
      <c r="W254" s="7" t="b">
        <v>1</v>
      </c>
    </row>
    <row r="255" spans="1:23" x14ac:dyDescent="0.2">
      <c r="A255" t="s">
        <v>1217</v>
      </c>
      <c r="B255" t="s">
        <v>1218</v>
      </c>
      <c r="C255" t="s">
        <v>1219</v>
      </c>
      <c r="D255" t="s">
        <v>152</v>
      </c>
      <c r="E255">
        <v>2015</v>
      </c>
      <c r="F255" t="s">
        <v>25</v>
      </c>
      <c r="G255" t="s">
        <v>1220</v>
      </c>
      <c r="H255" t="s">
        <v>20</v>
      </c>
      <c r="I255">
        <v>103</v>
      </c>
      <c r="J255" t="b">
        <v>0</v>
      </c>
      <c r="K255" t="b">
        <v>0</v>
      </c>
      <c r="R255" t="str">
        <f t="shared" si="4"/>
        <v/>
      </c>
      <c r="W255" s="7" t="b">
        <v>0</v>
      </c>
    </row>
    <row r="256" spans="1:23" x14ac:dyDescent="0.2">
      <c r="A256" t="s">
        <v>1221</v>
      </c>
      <c r="B256" t="s">
        <v>1222</v>
      </c>
      <c r="C256" t="s">
        <v>1223</v>
      </c>
      <c r="D256" t="s">
        <v>17</v>
      </c>
      <c r="E256">
        <v>2015</v>
      </c>
      <c r="F256" t="s">
        <v>1224</v>
      </c>
      <c r="G256" t="s">
        <v>1225</v>
      </c>
      <c r="H256" t="s">
        <v>20</v>
      </c>
      <c r="I256">
        <v>69</v>
      </c>
      <c r="J256" t="b">
        <v>0</v>
      </c>
      <c r="K256" t="b">
        <v>0</v>
      </c>
      <c r="R256" t="str">
        <f t="shared" si="4"/>
        <v/>
      </c>
      <c r="W256" s="7" t="b">
        <v>0</v>
      </c>
    </row>
    <row r="257" spans="1:23" x14ac:dyDescent="0.2">
      <c r="A257" t="s">
        <v>1226</v>
      </c>
      <c r="B257" t="s">
        <v>1227</v>
      </c>
      <c r="C257" t="s">
        <v>1228</v>
      </c>
      <c r="D257" t="s">
        <v>85</v>
      </c>
      <c r="E257">
        <v>2016</v>
      </c>
      <c r="F257" t="s">
        <v>25</v>
      </c>
      <c r="G257" t="s">
        <v>1229</v>
      </c>
      <c r="H257" t="s">
        <v>67</v>
      </c>
      <c r="I257">
        <v>1562</v>
      </c>
      <c r="J257" t="b">
        <v>0</v>
      </c>
      <c r="K257" t="b">
        <v>0</v>
      </c>
      <c r="R257" t="str">
        <f t="shared" si="4"/>
        <v/>
      </c>
      <c r="W257" s="7" t="b">
        <v>0</v>
      </c>
    </row>
    <row r="258" spans="1:23" x14ac:dyDescent="0.2">
      <c r="A258" t="s">
        <v>1230</v>
      </c>
      <c r="B258" t="s">
        <v>1231</v>
      </c>
      <c r="C258" t="s">
        <v>1232</v>
      </c>
      <c r="D258" t="s">
        <v>53</v>
      </c>
      <c r="E258">
        <v>2016</v>
      </c>
      <c r="F258" t="s">
        <v>25</v>
      </c>
      <c r="G258" t="s">
        <v>1233</v>
      </c>
      <c r="H258" t="s">
        <v>20</v>
      </c>
      <c r="I258">
        <v>97</v>
      </c>
      <c r="J258" t="b">
        <v>0</v>
      </c>
      <c r="K258" t="b">
        <v>0</v>
      </c>
      <c r="R258" t="str">
        <f t="shared" si="4"/>
        <v/>
      </c>
      <c r="W258" s="7" t="b">
        <v>0</v>
      </c>
    </row>
    <row r="259" spans="1:23" x14ac:dyDescent="0.2">
      <c r="A259" t="s">
        <v>1234</v>
      </c>
      <c r="B259" t="s">
        <v>1235</v>
      </c>
      <c r="C259" t="s">
        <v>1236</v>
      </c>
      <c r="D259" t="s">
        <v>97</v>
      </c>
      <c r="E259">
        <v>2013</v>
      </c>
      <c r="F259" t="s">
        <v>1237</v>
      </c>
      <c r="G259" t="s">
        <v>1238</v>
      </c>
      <c r="H259" t="s">
        <v>20</v>
      </c>
      <c r="I259">
        <v>41</v>
      </c>
      <c r="J259" t="b">
        <v>0</v>
      </c>
      <c r="K259" t="b">
        <v>0</v>
      </c>
      <c r="R259" t="str">
        <f t="shared" ref="R259:R322" si="5">IF(Q259&lt;&gt;N259,"!!!","")</f>
        <v/>
      </c>
      <c r="W259" s="7" t="b">
        <v>0</v>
      </c>
    </row>
    <row r="260" spans="1:23" x14ac:dyDescent="0.2">
      <c r="A260" t="s">
        <v>1239</v>
      </c>
      <c r="B260" t="s">
        <v>1240</v>
      </c>
      <c r="C260" t="s">
        <v>1241</v>
      </c>
      <c r="D260" t="s">
        <v>47</v>
      </c>
      <c r="E260">
        <v>2015</v>
      </c>
      <c r="F260" t="s">
        <v>25</v>
      </c>
      <c r="G260" t="s">
        <v>1242</v>
      </c>
      <c r="H260" t="s">
        <v>20</v>
      </c>
      <c r="I260">
        <v>24</v>
      </c>
      <c r="J260" t="b">
        <v>0</v>
      </c>
      <c r="K260" t="b">
        <v>1</v>
      </c>
      <c r="R260" t="str">
        <f t="shared" si="5"/>
        <v/>
      </c>
      <c r="W260" s="7" t="b">
        <v>1</v>
      </c>
    </row>
    <row r="261" spans="1:23" x14ac:dyDescent="0.2">
      <c r="A261" t="s">
        <v>1243</v>
      </c>
      <c r="B261" t="s">
        <v>1244</v>
      </c>
      <c r="C261" t="s">
        <v>1245</v>
      </c>
      <c r="D261" t="s">
        <v>24</v>
      </c>
      <c r="E261">
        <v>2004</v>
      </c>
      <c r="F261" t="s">
        <v>25</v>
      </c>
      <c r="G261" t="s">
        <v>1246</v>
      </c>
      <c r="H261" t="s">
        <v>20</v>
      </c>
      <c r="I261">
        <v>84</v>
      </c>
      <c r="J261" t="b">
        <v>0</v>
      </c>
      <c r="K261" t="b">
        <v>0</v>
      </c>
      <c r="R261" t="str">
        <f t="shared" si="5"/>
        <v/>
      </c>
      <c r="W261" s="7" t="b">
        <v>0</v>
      </c>
    </row>
    <row r="262" spans="1:23" x14ac:dyDescent="0.2">
      <c r="A262" t="s">
        <v>1247</v>
      </c>
      <c r="B262" t="s">
        <v>1248</v>
      </c>
      <c r="C262" t="s">
        <v>1249</v>
      </c>
      <c r="D262" t="s">
        <v>97</v>
      </c>
      <c r="E262">
        <v>2020</v>
      </c>
      <c r="F262" t="s">
        <v>1250</v>
      </c>
      <c r="G262" t="s">
        <v>1251</v>
      </c>
      <c r="H262" t="s">
        <v>20</v>
      </c>
      <c r="I262">
        <v>6</v>
      </c>
      <c r="J262" t="b">
        <v>0</v>
      </c>
      <c r="K262" t="b">
        <v>1</v>
      </c>
      <c r="R262" t="str">
        <f t="shared" si="5"/>
        <v/>
      </c>
      <c r="W262" s="7" t="b">
        <v>1</v>
      </c>
    </row>
    <row r="263" spans="1:23" x14ac:dyDescent="0.2">
      <c r="A263" t="s">
        <v>1252</v>
      </c>
      <c r="B263" t="s">
        <v>1253</v>
      </c>
      <c r="C263" t="s">
        <v>1254</v>
      </c>
      <c r="D263" t="s">
        <v>198</v>
      </c>
      <c r="E263">
        <v>2009</v>
      </c>
      <c r="F263" t="s">
        <v>1255</v>
      </c>
      <c r="G263" t="s">
        <v>1256</v>
      </c>
      <c r="H263" t="s">
        <v>105</v>
      </c>
      <c r="I263">
        <v>2</v>
      </c>
      <c r="J263" t="b">
        <v>0</v>
      </c>
      <c r="K263" t="b">
        <v>1</v>
      </c>
      <c r="R263" t="str">
        <f t="shared" si="5"/>
        <v/>
      </c>
      <c r="W263" s="7" t="b">
        <v>1</v>
      </c>
    </row>
    <row r="264" spans="1:23" x14ac:dyDescent="0.2">
      <c r="A264" t="s">
        <v>1257</v>
      </c>
      <c r="B264" t="s">
        <v>1258</v>
      </c>
      <c r="C264" t="s">
        <v>1259</v>
      </c>
      <c r="D264" t="s">
        <v>24</v>
      </c>
      <c r="E264">
        <v>2000</v>
      </c>
      <c r="F264" t="s">
        <v>25</v>
      </c>
      <c r="G264" t="s">
        <v>1260</v>
      </c>
      <c r="H264" t="s">
        <v>20</v>
      </c>
      <c r="I264">
        <v>13</v>
      </c>
      <c r="J264" t="b">
        <v>0</v>
      </c>
      <c r="K264" t="b">
        <v>1</v>
      </c>
      <c r="R264" t="str">
        <f t="shared" si="5"/>
        <v/>
      </c>
      <c r="W264" s="7" t="b">
        <v>0</v>
      </c>
    </row>
    <row r="265" spans="1:23" x14ac:dyDescent="0.2">
      <c r="A265" t="s">
        <v>1261</v>
      </c>
      <c r="B265" t="s">
        <v>1262</v>
      </c>
      <c r="C265" t="s">
        <v>1263</v>
      </c>
      <c r="D265" t="s">
        <v>17</v>
      </c>
      <c r="E265">
        <v>2009</v>
      </c>
      <c r="F265" t="s">
        <v>1264</v>
      </c>
      <c r="G265" t="s">
        <v>1265</v>
      </c>
      <c r="H265" t="s">
        <v>20</v>
      </c>
      <c r="I265">
        <v>16</v>
      </c>
      <c r="J265" t="b">
        <v>0</v>
      </c>
      <c r="K265" t="b">
        <v>0</v>
      </c>
      <c r="R265" t="str">
        <f t="shared" si="5"/>
        <v/>
      </c>
      <c r="W265" s="7" t="b">
        <v>0</v>
      </c>
    </row>
    <row r="266" spans="1:23" x14ac:dyDescent="0.2">
      <c r="A266" t="s">
        <v>1266</v>
      </c>
      <c r="B266" t="s">
        <v>1267</v>
      </c>
      <c r="C266" t="s">
        <v>1268</v>
      </c>
      <c r="D266" t="s">
        <v>152</v>
      </c>
      <c r="E266">
        <v>2021</v>
      </c>
      <c r="F266" t="s">
        <v>1269</v>
      </c>
      <c r="G266" t="s">
        <v>1270</v>
      </c>
      <c r="H266" t="s">
        <v>274</v>
      </c>
      <c r="I266">
        <v>3</v>
      </c>
      <c r="J266" t="b">
        <v>0</v>
      </c>
      <c r="K266" t="b">
        <v>1</v>
      </c>
      <c r="R266" t="str">
        <f t="shared" si="5"/>
        <v/>
      </c>
      <c r="W266" s="7" t="b">
        <v>0</v>
      </c>
    </row>
    <row r="267" spans="1:23" x14ac:dyDescent="0.2">
      <c r="A267" t="s">
        <v>1271</v>
      </c>
      <c r="B267" t="s">
        <v>1272</v>
      </c>
      <c r="C267" t="s">
        <v>1273</v>
      </c>
      <c r="D267" t="s">
        <v>97</v>
      </c>
      <c r="E267">
        <v>2022</v>
      </c>
      <c r="F267" t="s">
        <v>1274</v>
      </c>
      <c r="G267" t="s">
        <v>1275</v>
      </c>
      <c r="H267" t="s">
        <v>154</v>
      </c>
      <c r="I267">
        <v>13</v>
      </c>
      <c r="J267" t="b">
        <v>0</v>
      </c>
      <c r="K267" t="b">
        <v>1</v>
      </c>
      <c r="R267" t="str">
        <f t="shared" si="5"/>
        <v/>
      </c>
      <c r="W267" s="7" t="b">
        <v>0</v>
      </c>
    </row>
    <row r="268" spans="1:23" x14ac:dyDescent="0.2">
      <c r="A268" t="s">
        <v>1276</v>
      </c>
      <c r="B268" t="s">
        <v>1277</v>
      </c>
      <c r="C268" t="s">
        <v>1278</v>
      </c>
      <c r="D268" t="s">
        <v>152</v>
      </c>
      <c r="E268">
        <v>2016</v>
      </c>
      <c r="F268" t="s">
        <v>25</v>
      </c>
      <c r="G268" t="s">
        <v>1279</v>
      </c>
      <c r="H268" t="s">
        <v>154</v>
      </c>
      <c r="I268">
        <v>43</v>
      </c>
      <c r="J268" t="b">
        <v>0</v>
      </c>
      <c r="K268" t="b">
        <v>0</v>
      </c>
      <c r="R268" t="str">
        <f t="shared" si="5"/>
        <v/>
      </c>
      <c r="W268" s="7" t="b">
        <v>0</v>
      </c>
    </row>
    <row r="269" spans="1:23" x14ac:dyDescent="0.2">
      <c r="A269" t="s">
        <v>1280</v>
      </c>
      <c r="B269" t="s">
        <v>1281</v>
      </c>
      <c r="C269" t="s">
        <v>1282</v>
      </c>
      <c r="D269" t="s">
        <v>97</v>
      </c>
      <c r="E269">
        <v>2024</v>
      </c>
      <c r="F269" t="s">
        <v>1283</v>
      </c>
      <c r="G269" t="s">
        <v>1284</v>
      </c>
      <c r="H269" t="s">
        <v>61</v>
      </c>
      <c r="I269">
        <v>3</v>
      </c>
      <c r="J269" t="b">
        <v>0</v>
      </c>
      <c r="K269" t="b">
        <v>0</v>
      </c>
      <c r="R269" t="str">
        <f t="shared" si="5"/>
        <v/>
      </c>
      <c r="W269" s="7" t="b">
        <v>0</v>
      </c>
    </row>
    <row r="270" spans="1:23" x14ac:dyDescent="0.2">
      <c r="A270" t="s">
        <v>1285</v>
      </c>
      <c r="B270" t="s">
        <v>1286</v>
      </c>
      <c r="C270" t="s">
        <v>1287</v>
      </c>
      <c r="D270" t="s">
        <v>97</v>
      </c>
      <c r="E270">
        <v>2023</v>
      </c>
      <c r="F270" t="s">
        <v>1288</v>
      </c>
      <c r="G270" t="s">
        <v>1289</v>
      </c>
      <c r="H270" t="s">
        <v>254</v>
      </c>
      <c r="I270">
        <v>1</v>
      </c>
      <c r="J270" t="b">
        <v>0</v>
      </c>
      <c r="K270" t="b">
        <v>1</v>
      </c>
      <c r="R270" t="str">
        <f t="shared" si="5"/>
        <v/>
      </c>
      <c r="W270" s="7" t="b">
        <v>1</v>
      </c>
    </row>
    <row r="271" spans="1:23" x14ac:dyDescent="0.2">
      <c r="A271" t="s">
        <v>1290</v>
      </c>
      <c r="B271" t="s">
        <v>1291</v>
      </c>
      <c r="C271" t="s">
        <v>1292</v>
      </c>
      <c r="D271" t="s">
        <v>17</v>
      </c>
      <c r="E271">
        <v>2022</v>
      </c>
      <c r="F271" t="s">
        <v>1293</v>
      </c>
      <c r="G271" t="s">
        <v>1294</v>
      </c>
      <c r="H271" t="s">
        <v>20</v>
      </c>
      <c r="I271">
        <v>5</v>
      </c>
      <c r="J271" t="b">
        <v>0</v>
      </c>
      <c r="K271" t="b">
        <v>0</v>
      </c>
      <c r="R271" t="str">
        <f t="shared" si="5"/>
        <v/>
      </c>
      <c r="W271" s="7" t="b">
        <v>0</v>
      </c>
    </row>
    <row r="272" spans="1:23" x14ac:dyDescent="0.2">
      <c r="A272" t="s">
        <v>1295</v>
      </c>
      <c r="B272" t="s">
        <v>1296</v>
      </c>
      <c r="C272" t="s">
        <v>1297</v>
      </c>
      <c r="D272" t="s">
        <v>58</v>
      </c>
      <c r="E272">
        <v>2022</v>
      </c>
      <c r="F272" t="s">
        <v>1298</v>
      </c>
      <c r="G272" t="s">
        <v>1299</v>
      </c>
      <c r="H272" t="s">
        <v>254</v>
      </c>
      <c r="I272">
        <v>8</v>
      </c>
      <c r="J272" t="b">
        <v>0</v>
      </c>
      <c r="K272" t="b">
        <v>1</v>
      </c>
      <c r="R272" t="str">
        <f t="shared" si="5"/>
        <v/>
      </c>
      <c r="W272" s="7" t="b">
        <v>0</v>
      </c>
    </row>
    <row r="273" spans="1:23" x14ac:dyDescent="0.2">
      <c r="A273" t="s">
        <v>1300</v>
      </c>
      <c r="B273" t="s">
        <v>1301</v>
      </c>
      <c r="C273" t="s">
        <v>1302</v>
      </c>
      <c r="D273" t="s">
        <v>85</v>
      </c>
      <c r="E273">
        <v>2020</v>
      </c>
      <c r="F273" t="s">
        <v>1303</v>
      </c>
      <c r="G273" t="s">
        <v>1304</v>
      </c>
      <c r="H273" t="s">
        <v>274</v>
      </c>
      <c r="I273">
        <v>14</v>
      </c>
      <c r="J273" t="b">
        <v>0</v>
      </c>
      <c r="K273" t="b">
        <v>0</v>
      </c>
      <c r="R273" t="str">
        <f t="shared" si="5"/>
        <v/>
      </c>
      <c r="W273" s="7" t="b">
        <v>0</v>
      </c>
    </row>
    <row r="274" spans="1:23" x14ac:dyDescent="0.2">
      <c r="A274" t="s">
        <v>1305</v>
      </c>
      <c r="B274" t="s">
        <v>1306</v>
      </c>
      <c r="C274" t="s">
        <v>1307</v>
      </c>
      <c r="D274" t="s">
        <v>17</v>
      </c>
      <c r="E274">
        <v>2003</v>
      </c>
      <c r="F274" t="s">
        <v>1308</v>
      </c>
      <c r="G274" t="s">
        <v>1309</v>
      </c>
      <c r="H274" t="s">
        <v>20</v>
      </c>
      <c r="I274">
        <v>221</v>
      </c>
      <c r="J274" t="b">
        <v>0</v>
      </c>
      <c r="K274" t="b">
        <v>0</v>
      </c>
      <c r="R274" t="str">
        <f t="shared" si="5"/>
        <v/>
      </c>
      <c r="W274" s="7" t="b">
        <v>0</v>
      </c>
    </row>
    <row r="275" spans="1:23" x14ac:dyDescent="0.2">
      <c r="A275" t="s">
        <v>1310</v>
      </c>
      <c r="B275" t="s">
        <v>1311</v>
      </c>
      <c r="C275" t="s">
        <v>1312</v>
      </c>
      <c r="D275" t="s">
        <v>198</v>
      </c>
      <c r="E275">
        <v>2012</v>
      </c>
      <c r="F275" t="s">
        <v>25</v>
      </c>
      <c r="G275" t="s">
        <v>1313</v>
      </c>
      <c r="H275" t="s">
        <v>742</v>
      </c>
      <c r="I275">
        <v>80</v>
      </c>
      <c r="J275" t="b">
        <v>0</v>
      </c>
      <c r="K275" t="b">
        <v>0</v>
      </c>
      <c r="R275" t="str">
        <f t="shared" si="5"/>
        <v/>
      </c>
      <c r="W275" s="7" t="b">
        <v>0</v>
      </c>
    </row>
    <row r="276" spans="1:23" x14ac:dyDescent="0.2">
      <c r="A276" t="s">
        <v>1314</v>
      </c>
      <c r="B276" t="s">
        <v>1315</v>
      </c>
      <c r="C276" t="s">
        <v>1316</v>
      </c>
      <c r="D276" t="s">
        <v>97</v>
      </c>
      <c r="E276">
        <v>2016</v>
      </c>
      <c r="F276" t="s">
        <v>1317</v>
      </c>
      <c r="G276" t="s">
        <v>1318</v>
      </c>
      <c r="H276" t="s">
        <v>20</v>
      </c>
      <c r="I276">
        <v>45</v>
      </c>
      <c r="J276" t="b">
        <v>0</v>
      </c>
      <c r="K276" t="b">
        <v>1</v>
      </c>
      <c r="R276" t="str">
        <f t="shared" si="5"/>
        <v/>
      </c>
      <c r="W276" s="7" t="b">
        <v>1</v>
      </c>
    </row>
    <row r="277" spans="1:23" x14ac:dyDescent="0.2">
      <c r="A277" t="s">
        <v>1319</v>
      </c>
      <c r="B277" t="s">
        <v>1320</v>
      </c>
      <c r="C277" t="s">
        <v>1321</v>
      </c>
      <c r="D277" t="s">
        <v>17</v>
      </c>
      <c r="E277">
        <v>2016</v>
      </c>
      <c r="F277" t="s">
        <v>1322</v>
      </c>
      <c r="G277" t="s">
        <v>1323</v>
      </c>
      <c r="H277" t="s">
        <v>20</v>
      </c>
      <c r="I277">
        <v>8</v>
      </c>
      <c r="J277" t="b">
        <v>0</v>
      </c>
      <c r="K277" t="b">
        <v>0</v>
      </c>
      <c r="R277" t="str">
        <f t="shared" si="5"/>
        <v/>
      </c>
      <c r="W277" s="7" t="b">
        <v>0</v>
      </c>
    </row>
    <row r="278" spans="1:23" x14ac:dyDescent="0.2">
      <c r="A278" t="s">
        <v>1324</v>
      </c>
      <c r="B278" t="s">
        <v>1325</v>
      </c>
      <c r="C278" t="s">
        <v>1326</v>
      </c>
      <c r="D278" t="s">
        <v>58</v>
      </c>
      <c r="E278">
        <v>2012</v>
      </c>
      <c r="F278" t="s">
        <v>1327</v>
      </c>
      <c r="G278" t="s">
        <v>1328</v>
      </c>
      <c r="H278" t="s">
        <v>1015</v>
      </c>
      <c r="I278">
        <v>22</v>
      </c>
      <c r="J278" t="b">
        <v>0</v>
      </c>
      <c r="K278" t="b">
        <v>1</v>
      </c>
      <c r="R278" t="str">
        <f t="shared" si="5"/>
        <v/>
      </c>
      <c r="W278" s="7" t="b">
        <v>1</v>
      </c>
    </row>
    <row r="279" spans="1:23" x14ac:dyDescent="0.2">
      <c r="A279" t="s">
        <v>1329</v>
      </c>
      <c r="B279" t="s">
        <v>1330</v>
      </c>
      <c r="C279" t="s">
        <v>1331</v>
      </c>
      <c r="D279" t="s">
        <v>17</v>
      </c>
      <c r="E279">
        <v>2021</v>
      </c>
      <c r="F279" t="s">
        <v>1332</v>
      </c>
      <c r="G279" t="s">
        <v>1333</v>
      </c>
      <c r="H279" t="s">
        <v>154</v>
      </c>
      <c r="I279">
        <v>19</v>
      </c>
      <c r="J279" t="b">
        <v>0</v>
      </c>
      <c r="K279" t="b">
        <v>0</v>
      </c>
      <c r="R279" t="str">
        <f t="shared" si="5"/>
        <v/>
      </c>
      <c r="W279" s="7" t="b">
        <v>0</v>
      </c>
    </row>
    <row r="280" spans="1:23" x14ac:dyDescent="0.2">
      <c r="A280" t="s">
        <v>1334</v>
      </c>
      <c r="B280" t="s">
        <v>1335</v>
      </c>
      <c r="C280" t="s">
        <v>1336</v>
      </c>
      <c r="D280" t="s">
        <v>24</v>
      </c>
      <c r="E280">
        <v>2004</v>
      </c>
      <c r="F280" t="s">
        <v>25</v>
      </c>
      <c r="G280" t="s">
        <v>1337</v>
      </c>
      <c r="H280" t="s">
        <v>20</v>
      </c>
      <c r="I280">
        <v>35</v>
      </c>
      <c r="J280" t="b">
        <v>0</v>
      </c>
      <c r="K280" t="b">
        <v>0</v>
      </c>
      <c r="R280" t="str">
        <f t="shared" si="5"/>
        <v/>
      </c>
      <c r="W280" s="7" t="b">
        <v>0</v>
      </c>
    </row>
    <row r="281" spans="1:23" x14ac:dyDescent="0.2">
      <c r="A281" t="s">
        <v>1338</v>
      </c>
      <c r="B281" t="s">
        <v>1339</v>
      </c>
      <c r="C281" t="s">
        <v>1340</v>
      </c>
      <c r="D281" t="s">
        <v>58</v>
      </c>
      <c r="E281">
        <v>2022</v>
      </c>
      <c r="F281" t="s">
        <v>1341</v>
      </c>
      <c r="G281" t="s">
        <v>1342</v>
      </c>
      <c r="H281" t="s">
        <v>154</v>
      </c>
      <c r="I281">
        <v>21</v>
      </c>
      <c r="J281" t="b">
        <v>0</v>
      </c>
      <c r="K281" t="b">
        <v>1</v>
      </c>
      <c r="R281" t="str">
        <f t="shared" si="5"/>
        <v/>
      </c>
      <c r="W281" s="7" t="b">
        <v>0</v>
      </c>
    </row>
    <row r="282" spans="1:23" x14ac:dyDescent="0.2">
      <c r="A282" t="s">
        <v>1343</v>
      </c>
      <c r="B282" t="s">
        <v>1344</v>
      </c>
      <c r="C282" t="s">
        <v>1345</v>
      </c>
      <c r="D282" t="s">
        <v>152</v>
      </c>
      <c r="E282">
        <v>2014</v>
      </c>
      <c r="F282" t="s">
        <v>25</v>
      </c>
      <c r="G282" t="s">
        <v>1346</v>
      </c>
      <c r="H282" t="s">
        <v>128</v>
      </c>
      <c r="I282">
        <v>57</v>
      </c>
      <c r="J282" t="b">
        <v>0</v>
      </c>
      <c r="K282" t="b">
        <v>0</v>
      </c>
      <c r="R282" t="str">
        <f t="shared" si="5"/>
        <v/>
      </c>
      <c r="W282" s="7" t="b">
        <v>0</v>
      </c>
    </row>
    <row r="283" spans="1:23" x14ac:dyDescent="0.2">
      <c r="A283" t="s">
        <v>1347</v>
      </c>
      <c r="B283" t="s">
        <v>1348</v>
      </c>
      <c r="C283" t="s">
        <v>1349</v>
      </c>
      <c r="D283" t="s">
        <v>152</v>
      </c>
      <c r="E283">
        <v>2004</v>
      </c>
      <c r="F283" t="s">
        <v>25</v>
      </c>
      <c r="G283" t="s">
        <v>1350</v>
      </c>
      <c r="H283" t="s">
        <v>322</v>
      </c>
      <c r="I283">
        <v>136</v>
      </c>
      <c r="J283" t="b">
        <v>0</v>
      </c>
      <c r="K283" t="b">
        <v>0</v>
      </c>
      <c r="R283" t="str">
        <f t="shared" si="5"/>
        <v/>
      </c>
      <c r="W283" s="7" t="b">
        <v>1</v>
      </c>
    </row>
    <row r="284" spans="1:23" x14ac:dyDescent="0.2">
      <c r="A284" t="s">
        <v>1351</v>
      </c>
      <c r="B284" t="s">
        <v>1352</v>
      </c>
      <c r="C284" t="s">
        <v>1353</v>
      </c>
      <c r="D284" t="s">
        <v>152</v>
      </c>
      <c r="E284">
        <v>2010</v>
      </c>
      <c r="F284" t="s">
        <v>25</v>
      </c>
      <c r="G284" t="s">
        <v>1354</v>
      </c>
      <c r="H284" t="s">
        <v>481</v>
      </c>
      <c r="I284">
        <v>109</v>
      </c>
      <c r="J284" t="b">
        <v>0</v>
      </c>
      <c r="K284" t="b">
        <v>0</v>
      </c>
      <c r="R284" t="str">
        <f t="shared" si="5"/>
        <v/>
      </c>
      <c r="W284" s="7" t="b">
        <v>0</v>
      </c>
    </row>
    <row r="285" spans="1:23" x14ac:dyDescent="0.2">
      <c r="A285" t="s">
        <v>1355</v>
      </c>
      <c r="B285" t="s">
        <v>1356</v>
      </c>
      <c r="C285" t="s">
        <v>1357</v>
      </c>
      <c r="D285" t="s">
        <v>85</v>
      </c>
      <c r="E285">
        <v>1995</v>
      </c>
      <c r="F285" t="s">
        <v>25</v>
      </c>
      <c r="G285" t="s">
        <v>1358</v>
      </c>
      <c r="H285" t="s">
        <v>154</v>
      </c>
      <c r="I285">
        <v>1</v>
      </c>
      <c r="J285" t="b">
        <v>0</v>
      </c>
      <c r="K285" t="b">
        <v>0</v>
      </c>
      <c r="R285" t="str">
        <f t="shared" si="5"/>
        <v/>
      </c>
      <c r="W285" s="7" t="b">
        <v>0</v>
      </c>
    </row>
    <row r="286" spans="1:23" x14ac:dyDescent="0.2">
      <c r="A286" t="s">
        <v>1359</v>
      </c>
      <c r="B286" t="s">
        <v>1360</v>
      </c>
      <c r="C286" t="s">
        <v>1361</v>
      </c>
      <c r="D286" t="s">
        <v>198</v>
      </c>
      <c r="E286">
        <v>2021</v>
      </c>
      <c r="F286" t="s">
        <v>25</v>
      </c>
      <c r="G286" t="s">
        <v>1362</v>
      </c>
      <c r="H286" t="s">
        <v>647</v>
      </c>
      <c r="I286">
        <v>18</v>
      </c>
      <c r="J286" t="b">
        <v>0</v>
      </c>
      <c r="K286" t="b">
        <v>1</v>
      </c>
      <c r="R286" t="str">
        <f t="shared" si="5"/>
        <v/>
      </c>
      <c r="W286" s="7" t="b">
        <v>1</v>
      </c>
    </row>
    <row r="287" spans="1:23" x14ac:dyDescent="0.2">
      <c r="A287" t="s">
        <v>1363</v>
      </c>
      <c r="B287" t="s">
        <v>1364</v>
      </c>
      <c r="C287" t="s">
        <v>1365</v>
      </c>
      <c r="D287" t="s">
        <v>97</v>
      </c>
      <c r="E287">
        <v>1999</v>
      </c>
      <c r="F287" t="s">
        <v>1366</v>
      </c>
      <c r="G287" t="s">
        <v>1367</v>
      </c>
      <c r="H287" t="s">
        <v>20</v>
      </c>
      <c r="I287">
        <v>244</v>
      </c>
      <c r="J287" t="b">
        <v>0</v>
      </c>
      <c r="K287" t="b">
        <v>0</v>
      </c>
      <c r="R287" t="str">
        <f t="shared" si="5"/>
        <v/>
      </c>
      <c r="W287" s="7" t="b">
        <v>0</v>
      </c>
    </row>
    <row r="288" spans="1:23" x14ac:dyDescent="0.2">
      <c r="A288" t="s">
        <v>1368</v>
      </c>
      <c r="B288" t="s">
        <v>1369</v>
      </c>
      <c r="C288" t="s">
        <v>1370</v>
      </c>
      <c r="D288" t="s">
        <v>17</v>
      </c>
      <c r="E288">
        <v>2013</v>
      </c>
      <c r="F288" t="s">
        <v>1371</v>
      </c>
      <c r="G288" t="s">
        <v>1372</v>
      </c>
      <c r="H288" t="s">
        <v>20</v>
      </c>
      <c r="I288">
        <v>52</v>
      </c>
      <c r="J288" t="b">
        <v>0</v>
      </c>
      <c r="K288" t="b">
        <v>0</v>
      </c>
      <c r="R288" t="str">
        <f t="shared" si="5"/>
        <v/>
      </c>
      <c r="W288" s="7" t="b">
        <v>0</v>
      </c>
    </row>
    <row r="289" spans="1:23" x14ac:dyDescent="0.2">
      <c r="A289" t="s">
        <v>1373</v>
      </c>
      <c r="B289" t="s">
        <v>1374</v>
      </c>
      <c r="C289" t="s">
        <v>1375</v>
      </c>
      <c r="D289" t="s">
        <v>152</v>
      </c>
      <c r="E289">
        <v>2010</v>
      </c>
      <c r="F289" t="s">
        <v>25</v>
      </c>
      <c r="G289" t="s">
        <v>1376</v>
      </c>
      <c r="H289" t="s">
        <v>77</v>
      </c>
      <c r="I289">
        <v>15</v>
      </c>
      <c r="J289" t="b">
        <v>0</v>
      </c>
      <c r="K289" t="b">
        <v>1</v>
      </c>
      <c r="R289" t="str">
        <f t="shared" si="5"/>
        <v/>
      </c>
      <c r="W289" s="7" t="b">
        <v>1</v>
      </c>
    </row>
    <row r="290" spans="1:23" x14ac:dyDescent="0.2">
      <c r="A290" t="s">
        <v>1377</v>
      </c>
      <c r="B290" t="s">
        <v>1378</v>
      </c>
      <c r="C290" t="s">
        <v>1379</v>
      </c>
      <c r="D290" t="s">
        <v>152</v>
      </c>
      <c r="E290">
        <v>2000</v>
      </c>
      <c r="F290" t="s">
        <v>25</v>
      </c>
      <c r="G290" t="s">
        <v>1380</v>
      </c>
      <c r="H290" t="s">
        <v>647</v>
      </c>
      <c r="I290">
        <v>23</v>
      </c>
      <c r="J290" t="b">
        <v>0</v>
      </c>
      <c r="K290" t="b">
        <v>1</v>
      </c>
      <c r="R290" t="str">
        <f t="shared" si="5"/>
        <v/>
      </c>
      <c r="W290" s="7" t="b">
        <v>1</v>
      </c>
    </row>
    <row r="291" spans="1:23" x14ac:dyDescent="0.2">
      <c r="A291" t="s">
        <v>1381</v>
      </c>
      <c r="B291" t="s">
        <v>1382</v>
      </c>
      <c r="C291" t="s">
        <v>1383</v>
      </c>
      <c r="D291" t="s">
        <v>85</v>
      </c>
      <c r="E291">
        <v>2002</v>
      </c>
      <c r="F291" t="s">
        <v>1384</v>
      </c>
      <c r="G291" t="s">
        <v>1385</v>
      </c>
      <c r="H291" t="s">
        <v>1386</v>
      </c>
      <c r="I291">
        <v>20</v>
      </c>
      <c r="J291" t="b">
        <v>0</v>
      </c>
      <c r="K291" t="b">
        <v>0</v>
      </c>
      <c r="R291" t="str">
        <f t="shared" si="5"/>
        <v/>
      </c>
      <c r="W291" s="7" t="b">
        <v>0</v>
      </c>
    </row>
    <row r="292" spans="1:23" x14ac:dyDescent="0.2">
      <c r="A292" t="s">
        <v>1387</v>
      </c>
      <c r="B292" t="s">
        <v>1388</v>
      </c>
      <c r="C292" t="s">
        <v>1389</v>
      </c>
      <c r="D292" t="s">
        <v>53</v>
      </c>
      <c r="E292">
        <v>1998</v>
      </c>
      <c r="F292" t="s">
        <v>1390</v>
      </c>
      <c r="G292" t="s">
        <v>1391</v>
      </c>
      <c r="H292" t="s">
        <v>20</v>
      </c>
      <c r="I292">
        <v>84</v>
      </c>
      <c r="J292" t="b">
        <v>0</v>
      </c>
      <c r="K292" t="b">
        <v>0</v>
      </c>
      <c r="R292" t="str">
        <f t="shared" si="5"/>
        <v/>
      </c>
      <c r="W292" s="7" t="b">
        <v>0</v>
      </c>
    </row>
    <row r="293" spans="1:23" x14ac:dyDescent="0.2">
      <c r="A293" t="s">
        <v>1392</v>
      </c>
      <c r="B293" t="s">
        <v>1393</v>
      </c>
      <c r="C293" t="s">
        <v>1394</v>
      </c>
      <c r="D293" t="s">
        <v>152</v>
      </c>
      <c r="E293">
        <v>1997</v>
      </c>
      <c r="F293" t="s">
        <v>25</v>
      </c>
      <c r="G293" t="s">
        <v>1395</v>
      </c>
      <c r="H293" t="s">
        <v>128</v>
      </c>
      <c r="I293">
        <v>9</v>
      </c>
      <c r="J293" t="b">
        <v>0</v>
      </c>
      <c r="K293" t="b">
        <v>0</v>
      </c>
      <c r="R293" t="str">
        <f t="shared" si="5"/>
        <v/>
      </c>
      <c r="W293" s="7" t="b">
        <v>0</v>
      </c>
    </row>
    <row r="294" spans="1:23" x14ac:dyDescent="0.2">
      <c r="A294" t="s">
        <v>1396</v>
      </c>
      <c r="C294" t="s">
        <v>1397</v>
      </c>
      <c r="D294" t="s">
        <v>53</v>
      </c>
      <c r="E294">
        <v>1994</v>
      </c>
      <c r="F294" t="s">
        <v>1398</v>
      </c>
      <c r="G294" t="s">
        <v>1399</v>
      </c>
      <c r="H294" t="s">
        <v>481</v>
      </c>
      <c r="I294">
        <v>103</v>
      </c>
      <c r="J294" t="b">
        <v>0</v>
      </c>
      <c r="K294" t="b">
        <v>0</v>
      </c>
      <c r="R294" t="str">
        <f t="shared" si="5"/>
        <v/>
      </c>
      <c r="W294" s="7" t="b">
        <v>0</v>
      </c>
    </row>
    <row r="295" spans="1:23" x14ac:dyDescent="0.2">
      <c r="A295" t="s">
        <v>1400</v>
      </c>
      <c r="B295" t="s">
        <v>1401</v>
      </c>
      <c r="C295" t="s">
        <v>1402</v>
      </c>
      <c r="D295" t="s">
        <v>152</v>
      </c>
      <c r="E295">
        <v>2000</v>
      </c>
      <c r="F295" t="s">
        <v>25</v>
      </c>
      <c r="G295" t="s">
        <v>1403</v>
      </c>
      <c r="H295" t="s">
        <v>154</v>
      </c>
      <c r="I295">
        <v>34</v>
      </c>
      <c r="J295" t="b">
        <v>0</v>
      </c>
      <c r="K295" t="b">
        <v>0</v>
      </c>
      <c r="R295" t="str">
        <f t="shared" si="5"/>
        <v/>
      </c>
      <c r="W295" s="7" t="b">
        <v>0</v>
      </c>
    </row>
    <row r="296" spans="1:23" x14ac:dyDescent="0.2">
      <c r="A296" t="s">
        <v>1404</v>
      </c>
      <c r="B296" t="s">
        <v>1405</v>
      </c>
      <c r="C296" t="s">
        <v>1406</v>
      </c>
      <c r="D296" t="s">
        <v>47</v>
      </c>
      <c r="E296">
        <v>2003</v>
      </c>
      <c r="F296" t="s">
        <v>25</v>
      </c>
      <c r="G296" t="s">
        <v>1407</v>
      </c>
      <c r="H296" t="s">
        <v>20</v>
      </c>
      <c r="I296">
        <v>26</v>
      </c>
      <c r="J296" t="b">
        <v>0</v>
      </c>
      <c r="K296" t="b">
        <v>1</v>
      </c>
      <c r="R296" t="str">
        <f t="shared" si="5"/>
        <v/>
      </c>
      <c r="W296" s="7" t="b">
        <v>1</v>
      </c>
    </row>
    <row r="297" spans="1:23" x14ac:dyDescent="0.2">
      <c r="A297" t="s">
        <v>1408</v>
      </c>
      <c r="B297" t="s">
        <v>1409</v>
      </c>
      <c r="C297" t="s">
        <v>1410</v>
      </c>
      <c r="D297" t="s">
        <v>152</v>
      </c>
      <c r="E297">
        <v>2014</v>
      </c>
      <c r="F297" t="s">
        <v>25</v>
      </c>
      <c r="G297" t="s">
        <v>1411</v>
      </c>
      <c r="H297" t="s">
        <v>128</v>
      </c>
      <c r="I297">
        <v>25</v>
      </c>
      <c r="J297" t="b">
        <v>0</v>
      </c>
      <c r="K297" t="b">
        <v>0</v>
      </c>
      <c r="R297" t="str">
        <f t="shared" si="5"/>
        <v/>
      </c>
      <c r="W297" s="7" t="b">
        <v>0</v>
      </c>
    </row>
    <row r="298" spans="1:23" x14ac:dyDescent="0.2">
      <c r="A298" t="s">
        <v>1412</v>
      </c>
      <c r="B298" t="s">
        <v>1413</v>
      </c>
      <c r="C298" t="s">
        <v>1414</v>
      </c>
      <c r="D298" t="s">
        <v>85</v>
      </c>
      <c r="E298">
        <v>2022</v>
      </c>
      <c r="F298" t="s">
        <v>1415</v>
      </c>
      <c r="G298" t="s">
        <v>1416</v>
      </c>
      <c r="H298" t="s">
        <v>1417</v>
      </c>
      <c r="I298">
        <v>2</v>
      </c>
      <c r="J298" t="b">
        <v>0</v>
      </c>
      <c r="K298" t="b">
        <v>1</v>
      </c>
      <c r="R298" t="str">
        <f t="shared" si="5"/>
        <v/>
      </c>
      <c r="W298" s="7" t="b">
        <v>1</v>
      </c>
    </row>
    <row r="299" spans="1:23" x14ac:dyDescent="0.2">
      <c r="A299" t="s">
        <v>1418</v>
      </c>
      <c r="B299" t="s">
        <v>1419</v>
      </c>
      <c r="C299" t="s">
        <v>1420</v>
      </c>
      <c r="D299" t="s">
        <v>17</v>
      </c>
      <c r="E299">
        <v>2011</v>
      </c>
      <c r="F299" t="s">
        <v>1421</v>
      </c>
      <c r="G299" t="s">
        <v>1422</v>
      </c>
      <c r="H299" t="s">
        <v>680</v>
      </c>
      <c r="I299">
        <v>40</v>
      </c>
      <c r="J299" t="b">
        <v>0</v>
      </c>
      <c r="K299" t="b">
        <v>0</v>
      </c>
      <c r="R299" t="str">
        <f t="shared" si="5"/>
        <v/>
      </c>
      <c r="W299" s="7" t="b">
        <v>0</v>
      </c>
    </row>
    <row r="300" spans="1:23" x14ac:dyDescent="0.2">
      <c r="A300" t="s">
        <v>1423</v>
      </c>
      <c r="B300" t="s">
        <v>1424</v>
      </c>
      <c r="C300" t="s">
        <v>1425</v>
      </c>
      <c r="D300" t="s">
        <v>24</v>
      </c>
      <c r="E300">
        <v>2010</v>
      </c>
      <c r="F300" t="s">
        <v>25</v>
      </c>
      <c r="G300" t="s">
        <v>1426</v>
      </c>
      <c r="H300" t="s">
        <v>20</v>
      </c>
      <c r="I300">
        <v>45</v>
      </c>
      <c r="J300" t="b">
        <v>0</v>
      </c>
      <c r="K300" t="b">
        <v>1</v>
      </c>
      <c r="R300" t="str">
        <f t="shared" si="5"/>
        <v/>
      </c>
      <c r="W300" s="7" t="b">
        <v>1</v>
      </c>
    </row>
    <row r="301" spans="1:23" x14ac:dyDescent="0.2">
      <c r="A301" t="s">
        <v>1427</v>
      </c>
      <c r="B301" t="s">
        <v>1428</v>
      </c>
      <c r="C301" t="s">
        <v>1429</v>
      </c>
      <c r="D301" t="s">
        <v>17</v>
      </c>
      <c r="E301">
        <v>2010</v>
      </c>
      <c r="F301" t="s">
        <v>1430</v>
      </c>
      <c r="G301" t="s">
        <v>1431</v>
      </c>
      <c r="H301" t="s">
        <v>20</v>
      </c>
      <c r="I301">
        <v>51</v>
      </c>
      <c r="J301" t="b">
        <v>0</v>
      </c>
      <c r="K301" t="b">
        <v>0</v>
      </c>
      <c r="R301" t="str">
        <f t="shared" si="5"/>
        <v/>
      </c>
      <c r="W301" s="7" t="b">
        <v>0</v>
      </c>
    </row>
    <row r="302" spans="1:23" x14ac:dyDescent="0.2">
      <c r="A302" t="s">
        <v>1432</v>
      </c>
      <c r="B302" t="s">
        <v>1433</v>
      </c>
      <c r="C302" t="s">
        <v>1434</v>
      </c>
      <c r="D302" t="s">
        <v>97</v>
      </c>
      <c r="E302">
        <v>2022</v>
      </c>
      <c r="F302" t="s">
        <v>1435</v>
      </c>
      <c r="G302" t="s">
        <v>1436</v>
      </c>
      <c r="H302" t="s">
        <v>20</v>
      </c>
      <c r="I302">
        <v>10</v>
      </c>
      <c r="J302" t="b">
        <v>0</v>
      </c>
      <c r="K302" t="b">
        <v>1</v>
      </c>
      <c r="R302" t="str">
        <f t="shared" si="5"/>
        <v/>
      </c>
    </row>
    <row r="303" spans="1:23" x14ac:dyDescent="0.2">
      <c r="A303" t="s">
        <v>1437</v>
      </c>
      <c r="B303" t="s">
        <v>1438</v>
      </c>
      <c r="C303" t="s">
        <v>1439</v>
      </c>
      <c r="D303" t="s">
        <v>17</v>
      </c>
      <c r="E303">
        <v>2019</v>
      </c>
      <c r="F303" t="s">
        <v>1440</v>
      </c>
      <c r="G303" t="s">
        <v>1441</v>
      </c>
      <c r="H303" t="s">
        <v>254</v>
      </c>
      <c r="I303">
        <v>79</v>
      </c>
      <c r="J303" t="b">
        <v>0</v>
      </c>
      <c r="K303" t="b">
        <v>0</v>
      </c>
      <c r="R303" t="str">
        <f t="shared" si="5"/>
        <v/>
      </c>
    </row>
    <row r="304" spans="1:23" x14ac:dyDescent="0.2">
      <c r="A304" t="s">
        <v>1442</v>
      </c>
      <c r="B304" t="s">
        <v>1443</v>
      </c>
      <c r="C304" t="s">
        <v>1444</v>
      </c>
      <c r="D304" t="s">
        <v>58</v>
      </c>
      <c r="E304">
        <v>2006</v>
      </c>
      <c r="F304" t="s">
        <v>1445</v>
      </c>
      <c r="G304" t="s">
        <v>1446</v>
      </c>
      <c r="H304" t="s">
        <v>647</v>
      </c>
      <c r="I304">
        <v>30</v>
      </c>
      <c r="J304" t="b">
        <v>0</v>
      </c>
      <c r="K304" t="b">
        <v>0</v>
      </c>
      <c r="R304" t="str">
        <f t="shared" si="5"/>
        <v/>
      </c>
    </row>
    <row r="305" spans="1:18" x14ac:dyDescent="0.2">
      <c r="A305" t="s">
        <v>1447</v>
      </c>
      <c r="B305" t="s">
        <v>1448</v>
      </c>
      <c r="C305" t="s">
        <v>1449</v>
      </c>
      <c r="D305" t="s">
        <v>24</v>
      </c>
      <c r="E305">
        <v>2022</v>
      </c>
      <c r="F305" t="s">
        <v>25</v>
      </c>
      <c r="G305" t="s">
        <v>1450</v>
      </c>
      <c r="H305" t="s">
        <v>20</v>
      </c>
      <c r="I305">
        <v>12</v>
      </c>
      <c r="J305" t="b">
        <v>0</v>
      </c>
      <c r="K305" t="b">
        <v>0</v>
      </c>
      <c r="R305" t="str">
        <f t="shared" si="5"/>
        <v/>
      </c>
    </row>
    <row r="306" spans="1:18" x14ac:dyDescent="0.2">
      <c r="A306" t="s">
        <v>1451</v>
      </c>
      <c r="B306" t="s">
        <v>1452</v>
      </c>
      <c r="C306" t="s">
        <v>1453</v>
      </c>
      <c r="D306" t="s">
        <v>198</v>
      </c>
      <c r="E306">
        <v>2001</v>
      </c>
      <c r="F306" t="s">
        <v>1454</v>
      </c>
      <c r="G306" t="s">
        <v>1455</v>
      </c>
      <c r="H306" t="s">
        <v>481</v>
      </c>
      <c r="I306">
        <v>95</v>
      </c>
      <c r="J306" t="b">
        <v>0</v>
      </c>
      <c r="K306" t="b">
        <v>0</v>
      </c>
      <c r="R306" t="str">
        <f t="shared" si="5"/>
        <v/>
      </c>
    </row>
    <row r="307" spans="1:18" x14ac:dyDescent="0.2">
      <c r="A307" t="s">
        <v>1456</v>
      </c>
      <c r="B307" t="s">
        <v>1457</v>
      </c>
      <c r="C307" t="s">
        <v>1458</v>
      </c>
      <c r="D307" t="s">
        <v>47</v>
      </c>
      <c r="E307">
        <v>2017</v>
      </c>
      <c r="F307" t="s">
        <v>25</v>
      </c>
      <c r="G307" t="s">
        <v>1459</v>
      </c>
      <c r="H307" t="s">
        <v>20</v>
      </c>
      <c r="I307">
        <v>63</v>
      </c>
      <c r="J307" t="b">
        <v>0</v>
      </c>
      <c r="K307" t="b">
        <v>1</v>
      </c>
      <c r="R307" t="str">
        <f t="shared" si="5"/>
        <v/>
      </c>
    </row>
    <row r="308" spans="1:18" x14ac:dyDescent="0.2">
      <c r="A308" t="s">
        <v>1460</v>
      </c>
      <c r="B308" t="s">
        <v>1461</v>
      </c>
      <c r="C308" t="s">
        <v>1462</v>
      </c>
      <c r="D308" t="s">
        <v>85</v>
      </c>
      <c r="E308">
        <v>1992</v>
      </c>
      <c r="F308" t="s">
        <v>25</v>
      </c>
      <c r="G308" t="s">
        <v>1463</v>
      </c>
      <c r="H308" t="s">
        <v>61</v>
      </c>
      <c r="I308">
        <v>4</v>
      </c>
      <c r="J308" t="b">
        <v>0</v>
      </c>
      <c r="K308" t="b">
        <v>1</v>
      </c>
      <c r="R308" t="str">
        <f t="shared" si="5"/>
        <v/>
      </c>
    </row>
    <row r="309" spans="1:18" x14ac:dyDescent="0.2">
      <c r="A309" t="s">
        <v>1464</v>
      </c>
      <c r="B309" t="s">
        <v>1465</v>
      </c>
      <c r="C309" t="s">
        <v>1466</v>
      </c>
      <c r="D309" t="s">
        <v>53</v>
      </c>
      <c r="E309">
        <v>2005</v>
      </c>
      <c r="F309" t="s">
        <v>25</v>
      </c>
      <c r="G309" t="s">
        <v>1467</v>
      </c>
      <c r="H309" t="s">
        <v>254</v>
      </c>
      <c r="I309">
        <v>345</v>
      </c>
      <c r="J309" t="b">
        <v>0</v>
      </c>
      <c r="K309" t="b">
        <v>0</v>
      </c>
      <c r="R309" t="str">
        <f t="shared" si="5"/>
        <v/>
      </c>
    </row>
    <row r="310" spans="1:18" x14ac:dyDescent="0.2">
      <c r="A310" t="s">
        <v>1468</v>
      </c>
      <c r="B310" t="s">
        <v>1469</v>
      </c>
      <c r="C310" t="s">
        <v>1470</v>
      </c>
      <c r="D310" t="s">
        <v>24</v>
      </c>
      <c r="E310">
        <v>1990</v>
      </c>
      <c r="F310" t="s">
        <v>25</v>
      </c>
      <c r="G310" t="s">
        <v>1471</v>
      </c>
      <c r="H310" t="s">
        <v>20</v>
      </c>
      <c r="I310">
        <v>19</v>
      </c>
      <c r="J310" t="b">
        <v>0</v>
      </c>
      <c r="K310" t="b">
        <v>1</v>
      </c>
      <c r="R310" t="str">
        <f t="shared" si="5"/>
        <v/>
      </c>
    </row>
    <row r="311" spans="1:18" x14ac:dyDescent="0.2">
      <c r="A311" t="s">
        <v>1472</v>
      </c>
      <c r="B311" t="s">
        <v>1473</v>
      </c>
      <c r="C311" t="s">
        <v>1474</v>
      </c>
      <c r="D311" t="s">
        <v>152</v>
      </c>
      <c r="E311">
        <v>2005</v>
      </c>
      <c r="F311" t="s">
        <v>25</v>
      </c>
      <c r="G311" t="s">
        <v>1475</v>
      </c>
      <c r="H311" t="s">
        <v>154</v>
      </c>
      <c r="I311">
        <v>59</v>
      </c>
      <c r="J311" t="b">
        <v>0</v>
      </c>
      <c r="K311" t="b">
        <v>0</v>
      </c>
      <c r="R311" t="str">
        <f t="shared" si="5"/>
        <v/>
      </c>
    </row>
    <row r="312" spans="1:18" x14ac:dyDescent="0.2">
      <c r="A312" t="s">
        <v>1476</v>
      </c>
      <c r="B312" t="s">
        <v>1477</v>
      </c>
      <c r="C312" t="s">
        <v>1478</v>
      </c>
      <c r="D312" t="s">
        <v>152</v>
      </c>
      <c r="E312">
        <v>1995</v>
      </c>
      <c r="F312" t="s">
        <v>25</v>
      </c>
      <c r="G312" t="s">
        <v>1479</v>
      </c>
      <c r="H312" t="s">
        <v>190</v>
      </c>
      <c r="I312">
        <v>12</v>
      </c>
      <c r="J312" t="b">
        <v>0</v>
      </c>
      <c r="K312" t="b">
        <v>1</v>
      </c>
      <c r="R312" t="str">
        <f t="shared" si="5"/>
        <v/>
      </c>
    </row>
    <row r="313" spans="1:18" x14ac:dyDescent="0.2">
      <c r="A313" t="s">
        <v>1480</v>
      </c>
      <c r="B313" t="s">
        <v>1481</v>
      </c>
      <c r="C313" t="s">
        <v>1482</v>
      </c>
      <c r="D313" t="s">
        <v>17</v>
      </c>
      <c r="E313">
        <v>1999</v>
      </c>
      <c r="F313" t="s">
        <v>1483</v>
      </c>
      <c r="G313" t="s">
        <v>1484</v>
      </c>
      <c r="H313" t="s">
        <v>20</v>
      </c>
      <c r="I313">
        <v>49</v>
      </c>
      <c r="J313" t="b">
        <v>0</v>
      </c>
      <c r="K313" t="b">
        <v>0</v>
      </c>
      <c r="R313" t="str">
        <f t="shared" si="5"/>
        <v/>
      </c>
    </row>
    <row r="314" spans="1:18" x14ac:dyDescent="0.2">
      <c r="A314" t="s">
        <v>1485</v>
      </c>
      <c r="B314" t="s">
        <v>1486</v>
      </c>
      <c r="C314" t="s">
        <v>1487</v>
      </c>
      <c r="D314" t="s">
        <v>198</v>
      </c>
      <c r="E314">
        <v>2008</v>
      </c>
      <c r="F314" t="s">
        <v>1488</v>
      </c>
      <c r="G314" t="s">
        <v>1489</v>
      </c>
      <c r="H314" t="s">
        <v>1490</v>
      </c>
      <c r="I314">
        <v>11</v>
      </c>
      <c r="J314" t="b">
        <v>0</v>
      </c>
      <c r="K314" t="b">
        <v>0</v>
      </c>
      <c r="R314" t="str">
        <f t="shared" si="5"/>
        <v/>
      </c>
    </row>
    <row r="315" spans="1:18" x14ac:dyDescent="0.2">
      <c r="A315" t="s">
        <v>1491</v>
      </c>
      <c r="B315" t="s">
        <v>1492</v>
      </c>
      <c r="C315" t="s">
        <v>1493</v>
      </c>
      <c r="D315" t="s">
        <v>97</v>
      </c>
      <c r="E315">
        <v>2014</v>
      </c>
      <c r="F315" t="s">
        <v>1494</v>
      </c>
      <c r="G315" t="s">
        <v>1495</v>
      </c>
      <c r="H315" t="s">
        <v>20</v>
      </c>
      <c r="I315">
        <v>18</v>
      </c>
      <c r="J315" t="b">
        <v>0</v>
      </c>
      <c r="K315" t="b">
        <v>1</v>
      </c>
      <c r="R315" t="str">
        <f t="shared" si="5"/>
        <v/>
      </c>
    </row>
    <row r="316" spans="1:18" x14ac:dyDescent="0.2">
      <c r="A316" t="s">
        <v>1496</v>
      </c>
      <c r="B316" t="s">
        <v>1497</v>
      </c>
      <c r="C316" t="s">
        <v>1498</v>
      </c>
      <c r="D316" t="s">
        <v>17</v>
      </c>
      <c r="E316">
        <v>2012</v>
      </c>
      <c r="F316" t="s">
        <v>1499</v>
      </c>
      <c r="G316" t="s">
        <v>1500</v>
      </c>
      <c r="H316" t="s">
        <v>128</v>
      </c>
      <c r="I316">
        <v>10</v>
      </c>
      <c r="J316" t="b">
        <v>0</v>
      </c>
      <c r="K316" t="b">
        <v>0</v>
      </c>
      <c r="R316" t="str">
        <f t="shared" si="5"/>
        <v/>
      </c>
    </row>
    <row r="317" spans="1:18" x14ac:dyDescent="0.2">
      <c r="A317" t="s">
        <v>1501</v>
      </c>
      <c r="B317" t="s">
        <v>1502</v>
      </c>
      <c r="C317" t="s">
        <v>1503</v>
      </c>
      <c r="D317" t="s">
        <v>85</v>
      </c>
      <c r="E317">
        <v>1993</v>
      </c>
      <c r="F317" t="s">
        <v>25</v>
      </c>
      <c r="G317" t="s">
        <v>1504</v>
      </c>
      <c r="H317" t="s">
        <v>1505</v>
      </c>
      <c r="I317">
        <v>70</v>
      </c>
      <c r="J317" t="b">
        <v>0</v>
      </c>
      <c r="K317" t="b">
        <v>0</v>
      </c>
      <c r="R317" t="str">
        <f t="shared" si="5"/>
        <v/>
      </c>
    </row>
    <row r="318" spans="1:18" x14ac:dyDescent="0.2">
      <c r="A318" t="s">
        <v>1506</v>
      </c>
      <c r="B318" t="s">
        <v>1507</v>
      </c>
      <c r="C318" t="s">
        <v>1508</v>
      </c>
      <c r="D318" t="s">
        <v>17</v>
      </c>
      <c r="E318">
        <v>2008</v>
      </c>
      <c r="F318" t="s">
        <v>1509</v>
      </c>
      <c r="G318" t="s">
        <v>1510</v>
      </c>
      <c r="H318" t="s">
        <v>20</v>
      </c>
      <c r="I318">
        <v>272</v>
      </c>
      <c r="J318" t="b">
        <v>0</v>
      </c>
      <c r="K318" t="b">
        <v>0</v>
      </c>
      <c r="R318" t="str">
        <f t="shared" si="5"/>
        <v/>
      </c>
    </row>
    <row r="319" spans="1:18" x14ac:dyDescent="0.2">
      <c r="A319" t="s">
        <v>1511</v>
      </c>
      <c r="B319" t="s">
        <v>1512</v>
      </c>
      <c r="C319" t="s">
        <v>1513</v>
      </c>
      <c r="D319" t="s">
        <v>53</v>
      </c>
      <c r="E319">
        <v>2018</v>
      </c>
      <c r="F319" t="s">
        <v>1514</v>
      </c>
      <c r="G319" t="s">
        <v>1515</v>
      </c>
      <c r="H319" t="s">
        <v>20</v>
      </c>
      <c r="I319">
        <v>26</v>
      </c>
      <c r="J319" t="b">
        <v>0</v>
      </c>
      <c r="K319" t="b">
        <v>0</v>
      </c>
      <c r="R319" t="str">
        <f t="shared" si="5"/>
        <v/>
      </c>
    </row>
    <row r="320" spans="1:18" x14ac:dyDescent="0.2">
      <c r="A320" t="s">
        <v>1516</v>
      </c>
      <c r="B320" t="s">
        <v>1517</v>
      </c>
      <c r="C320" t="s">
        <v>1518</v>
      </c>
      <c r="D320" t="s">
        <v>47</v>
      </c>
      <c r="E320">
        <v>2022</v>
      </c>
      <c r="F320" t="s">
        <v>25</v>
      </c>
      <c r="G320" t="s">
        <v>1519</v>
      </c>
      <c r="H320" t="s">
        <v>274</v>
      </c>
      <c r="I320">
        <v>14</v>
      </c>
      <c r="J320" t="b">
        <v>0</v>
      </c>
      <c r="K320" t="b">
        <v>1</v>
      </c>
      <c r="R320" t="str">
        <f t="shared" si="5"/>
        <v/>
      </c>
    </row>
    <row r="321" spans="1:18" x14ac:dyDescent="0.2">
      <c r="A321" t="s">
        <v>1520</v>
      </c>
      <c r="B321" t="s">
        <v>1521</v>
      </c>
      <c r="C321" t="s">
        <v>1522</v>
      </c>
      <c r="D321" t="s">
        <v>17</v>
      </c>
      <c r="E321">
        <v>2001</v>
      </c>
      <c r="F321" t="s">
        <v>1523</v>
      </c>
      <c r="G321" t="s">
        <v>1524</v>
      </c>
      <c r="H321" t="s">
        <v>20</v>
      </c>
      <c r="I321">
        <v>1194</v>
      </c>
      <c r="J321" t="b">
        <v>0</v>
      </c>
      <c r="K321" t="b">
        <v>0</v>
      </c>
      <c r="R321" t="str">
        <f t="shared" si="5"/>
        <v/>
      </c>
    </row>
    <row r="322" spans="1:18" x14ac:dyDescent="0.2">
      <c r="A322" t="s">
        <v>1525</v>
      </c>
      <c r="B322" t="s">
        <v>1526</v>
      </c>
      <c r="C322" t="s">
        <v>1527</v>
      </c>
      <c r="D322" t="s">
        <v>17</v>
      </c>
      <c r="E322">
        <v>2015</v>
      </c>
      <c r="F322" t="s">
        <v>1528</v>
      </c>
      <c r="G322" t="s">
        <v>1529</v>
      </c>
      <c r="H322" t="s">
        <v>20</v>
      </c>
      <c r="I322">
        <v>8</v>
      </c>
      <c r="J322" t="b">
        <v>0</v>
      </c>
      <c r="K322" t="b">
        <v>0</v>
      </c>
      <c r="R322" t="str">
        <f t="shared" si="5"/>
        <v/>
      </c>
    </row>
    <row r="323" spans="1:18" x14ac:dyDescent="0.2">
      <c r="A323" t="s">
        <v>1530</v>
      </c>
      <c r="B323" t="s">
        <v>1531</v>
      </c>
      <c r="C323" t="s">
        <v>1532</v>
      </c>
      <c r="D323" t="s">
        <v>58</v>
      </c>
      <c r="E323">
        <v>2011</v>
      </c>
      <c r="F323" t="s">
        <v>1533</v>
      </c>
      <c r="G323" t="s">
        <v>1534</v>
      </c>
      <c r="H323" t="s">
        <v>67</v>
      </c>
      <c r="I323">
        <v>41</v>
      </c>
      <c r="J323" t="b">
        <v>0</v>
      </c>
      <c r="K323" t="b">
        <v>0</v>
      </c>
      <c r="R323" t="str">
        <f t="shared" ref="R323:R386" si="6">IF(Q323&lt;&gt;N323,"!!!","")</f>
        <v/>
      </c>
    </row>
    <row r="324" spans="1:18" x14ac:dyDescent="0.2">
      <c r="A324" t="s">
        <v>1535</v>
      </c>
      <c r="B324" t="s">
        <v>1536</v>
      </c>
      <c r="C324" t="s">
        <v>1537</v>
      </c>
      <c r="D324" t="s">
        <v>58</v>
      </c>
      <c r="E324">
        <v>2007</v>
      </c>
      <c r="F324" t="s">
        <v>1538</v>
      </c>
      <c r="G324" t="s">
        <v>1539</v>
      </c>
      <c r="H324" t="s">
        <v>647</v>
      </c>
      <c r="I324">
        <v>13</v>
      </c>
      <c r="J324" t="b">
        <v>0</v>
      </c>
      <c r="K324" t="b">
        <v>0</v>
      </c>
      <c r="R324" t="str">
        <f t="shared" si="6"/>
        <v/>
      </c>
    </row>
    <row r="325" spans="1:18" x14ac:dyDescent="0.2">
      <c r="A325" t="s">
        <v>1540</v>
      </c>
      <c r="B325" t="s">
        <v>1541</v>
      </c>
      <c r="C325" t="s">
        <v>1542</v>
      </c>
      <c r="D325" t="s">
        <v>53</v>
      </c>
      <c r="E325">
        <v>1991</v>
      </c>
      <c r="F325" t="s">
        <v>1543</v>
      </c>
      <c r="G325" t="s">
        <v>1544</v>
      </c>
      <c r="H325" t="s">
        <v>680</v>
      </c>
      <c r="I325">
        <v>9</v>
      </c>
      <c r="J325" t="b">
        <v>0</v>
      </c>
      <c r="K325" t="b">
        <v>0</v>
      </c>
      <c r="R325" t="str">
        <f t="shared" si="6"/>
        <v/>
      </c>
    </row>
    <row r="326" spans="1:18" x14ac:dyDescent="0.2">
      <c r="A326" t="s">
        <v>1545</v>
      </c>
      <c r="B326" t="s">
        <v>1546</v>
      </c>
      <c r="C326" t="s">
        <v>1547</v>
      </c>
      <c r="D326" t="s">
        <v>152</v>
      </c>
      <c r="E326">
        <v>1995</v>
      </c>
      <c r="F326" t="s">
        <v>25</v>
      </c>
      <c r="G326" t="s">
        <v>1548</v>
      </c>
      <c r="H326" t="s">
        <v>154</v>
      </c>
      <c r="I326">
        <v>5</v>
      </c>
      <c r="J326" t="b">
        <v>0</v>
      </c>
      <c r="K326" t="b">
        <v>0</v>
      </c>
      <c r="R326" t="str">
        <f t="shared" si="6"/>
        <v/>
      </c>
    </row>
    <row r="327" spans="1:18" x14ac:dyDescent="0.2">
      <c r="A327" t="s">
        <v>1549</v>
      </c>
      <c r="B327" t="s">
        <v>1550</v>
      </c>
      <c r="C327" t="s">
        <v>1551</v>
      </c>
      <c r="D327" t="s">
        <v>17</v>
      </c>
      <c r="E327">
        <v>2010</v>
      </c>
      <c r="F327" t="s">
        <v>1552</v>
      </c>
      <c r="G327" t="s">
        <v>1553</v>
      </c>
      <c r="H327" t="s">
        <v>20</v>
      </c>
      <c r="I327">
        <v>30</v>
      </c>
      <c r="J327" t="b">
        <v>0</v>
      </c>
      <c r="K327" t="b">
        <v>0</v>
      </c>
      <c r="R327" t="str">
        <f t="shared" si="6"/>
        <v/>
      </c>
    </row>
    <row r="328" spans="1:18" x14ac:dyDescent="0.2">
      <c r="A328" t="s">
        <v>1554</v>
      </c>
      <c r="B328" t="s">
        <v>1555</v>
      </c>
      <c r="C328" t="s">
        <v>1556</v>
      </c>
      <c r="D328" t="s">
        <v>85</v>
      </c>
      <c r="E328">
        <v>2020</v>
      </c>
      <c r="F328" t="s">
        <v>1557</v>
      </c>
      <c r="G328" t="s">
        <v>1558</v>
      </c>
      <c r="H328" t="s">
        <v>389</v>
      </c>
      <c r="I328">
        <v>8</v>
      </c>
      <c r="J328" t="b">
        <v>0</v>
      </c>
      <c r="K328" t="b">
        <v>0</v>
      </c>
      <c r="R328" t="str">
        <f t="shared" si="6"/>
        <v/>
      </c>
    </row>
    <row r="329" spans="1:18" x14ac:dyDescent="0.2">
      <c r="A329" t="s">
        <v>1559</v>
      </c>
      <c r="B329" t="s">
        <v>1560</v>
      </c>
      <c r="C329" t="s">
        <v>1561</v>
      </c>
      <c r="D329" t="s">
        <v>152</v>
      </c>
      <c r="E329">
        <v>2002</v>
      </c>
      <c r="F329" t="s">
        <v>25</v>
      </c>
      <c r="G329" t="s">
        <v>1562</v>
      </c>
      <c r="H329" t="s">
        <v>254</v>
      </c>
      <c r="I329">
        <v>93</v>
      </c>
      <c r="J329" t="b">
        <v>0</v>
      </c>
      <c r="K329" t="b">
        <v>1</v>
      </c>
      <c r="R329" t="str">
        <f t="shared" si="6"/>
        <v/>
      </c>
    </row>
    <row r="330" spans="1:18" x14ac:dyDescent="0.2">
      <c r="A330" t="s">
        <v>1563</v>
      </c>
      <c r="B330" t="s">
        <v>1564</v>
      </c>
      <c r="C330" t="s">
        <v>1565</v>
      </c>
      <c r="D330" t="s">
        <v>152</v>
      </c>
      <c r="E330">
        <v>2018</v>
      </c>
      <c r="F330" t="s">
        <v>25</v>
      </c>
      <c r="G330" t="s">
        <v>1566</v>
      </c>
      <c r="H330" t="s">
        <v>481</v>
      </c>
      <c r="I330">
        <v>7</v>
      </c>
      <c r="J330" t="b">
        <v>0</v>
      </c>
      <c r="K330" t="b">
        <v>0</v>
      </c>
      <c r="R330" t="str">
        <f t="shared" si="6"/>
        <v/>
      </c>
    </row>
    <row r="331" spans="1:18" x14ac:dyDescent="0.2">
      <c r="A331" t="s">
        <v>1567</v>
      </c>
      <c r="B331" t="s">
        <v>1568</v>
      </c>
      <c r="C331" t="s">
        <v>1569</v>
      </c>
      <c r="D331" t="s">
        <v>97</v>
      </c>
      <c r="E331">
        <v>1990</v>
      </c>
      <c r="F331" t="s">
        <v>25</v>
      </c>
      <c r="G331" t="s">
        <v>1570</v>
      </c>
      <c r="H331" t="s">
        <v>20</v>
      </c>
      <c r="I331">
        <v>80</v>
      </c>
      <c r="J331" t="b">
        <v>0</v>
      </c>
      <c r="K331" t="b">
        <v>0</v>
      </c>
      <c r="R331" t="str">
        <f t="shared" si="6"/>
        <v/>
      </c>
    </row>
    <row r="332" spans="1:18" x14ac:dyDescent="0.2">
      <c r="A332" t="s">
        <v>1571</v>
      </c>
      <c r="B332" t="s">
        <v>1572</v>
      </c>
      <c r="C332" t="s">
        <v>1573</v>
      </c>
      <c r="D332" t="s">
        <v>97</v>
      </c>
      <c r="E332">
        <v>2011</v>
      </c>
      <c r="F332" t="s">
        <v>1574</v>
      </c>
      <c r="G332" t="s">
        <v>1575</v>
      </c>
      <c r="H332" t="s">
        <v>552</v>
      </c>
      <c r="I332">
        <v>32</v>
      </c>
      <c r="J332" t="b">
        <v>0</v>
      </c>
      <c r="K332" t="b">
        <v>0</v>
      </c>
      <c r="R332" t="str">
        <f t="shared" si="6"/>
        <v/>
      </c>
    </row>
    <row r="333" spans="1:18" x14ac:dyDescent="0.2">
      <c r="A333" t="s">
        <v>1576</v>
      </c>
      <c r="B333" t="s">
        <v>1577</v>
      </c>
      <c r="C333" t="s">
        <v>1578</v>
      </c>
      <c r="D333" t="s">
        <v>17</v>
      </c>
      <c r="E333">
        <v>2005</v>
      </c>
      <c r="F333" t="s">
        <v>1579</v>
      </c>
      <c r="G333" t="s">
        <v>1580</v>
      </c>
      <c r="H333" t="s">
        <v>111</v>
      </c>
      <c r="I333">
        <v>291</v>
      </c>
      <c r="J333" t="b">
        <v>0</v>
      </c>
      <c r="K333" t="b">
        <v>1</v>
      </c>
      <c r="R333" t="str">
        <f t="shared" si="6"/>
        <v/>
      </c>
    </row>
    <row r="334" spans="1:18" x14ac:dyDescent="0.2">
      <c r="A334" t="s">
        <v>1581</v>
      </c>
      <c r="B334" t="s">
        <v>1582</v>
      </c>
      <c r="C334" t="s">
        <v>1583</v>
      </c>
      <c r="D334" t="s">
        <v>53</v>
      </c>
      <c r="E334">
        <v>1995</v>
      </c>
      <c r="F334" t="s">
        <v>1584</v>
      </c>
      <c r="G334" t="s">
        <v>1585</v>
      </c>
      <c r="H334" t="s">
        <v>1133</v>
      </c>
      <c r="I334">
        <v>4</v>
      </c>
      <c r="J334" t="b">
        <v>0</v>
      </c>
      <c r="K334" t="b">
        <v>0</v>
      </c>
      <c r="R334" t="str">
        <f t="shared" si="6"/>
        <v/>
      </c>
    </row>
    <row r="335" spans="1:18" x14ac:dyDescent="0.2">
      <c r="A335" t="s">
        <v>1586</v>
      </c>
      <c r="B335" t="s">
        <v>1587</v>
      </c>
      <c r="C335" t="s">
        <v>1588</v>
      </c>
      <c r="D335" t="s">
        <v>47</v>
      </c>
      <c r="E335">
        <v>1995</v>
      </c>
      <c r="F335" t="s">
        <v>25</v>
      </c>
      <c r="G335" t="s">
        <v>1589</v>
      </c>
      <c r="H335" t="s">
        <v>20</v>
      </c>
      <c r="I335">
        <v>39</v>
      </c>
      <c r="J335" t="b">
        <v>0</v>
      </c>
      <c r="K335" t="b">
        <v>1</v>
      </c>
      <c r="R335" t="str">
        <f t="shared" si="6"/>
        <v/>
      </c>
    </row>
    <row r="336" spans="1:18" x14ac:dyDescent="0.2">
      <c r="A336" t="s">
        <v>1590</v>
      </c>
      <c r="B336" t="s">
        <v>1591</v>
      </c>
      <c r="C336" t="s">
        <v>1592</v>
      </c>
      <c r="D336" t="s">
        <v>17</v>
      </c>
      <c r="E336">
        <v>1997</v>
      </c>
      <c r="F336" t="s">
        <v>1593</v>
      </c>
      <c r="G336" t="s">
        <v>1594</v>
      </c>
      <c r="H336" t="s">
        <v>61</v>
      </c>
      <c r="I336">
        <v>80</v>
      </c>
      <c r="J336" t="b">
        <v>0</v>
      </c>
      <c r="K336" t="b">
        <v>1</v>
      </c>
      <c r="R336" t="str">
        <f t="shared" si="6"/>
        <v/>
      </c>
    </row>
    <row r="337" spans="1:18" x14ac:dyDescent="0.2">
      <c r="A337" t="s">
        <v>1595</v>
      </c>
      <c r="B337" t="s">
        <v>1596</v>
      </c>
      <c r="C337" t="s">
        <v>1597</v>
      </c>
      <c r="D337" t="s">
        <v>17</v>
      </c>
      <c r="E337">
        <v>2007</v>
      </c>
      <c r="F337" t="s">
        <v>1598</v>
      </c>
      <c r="G337" t="s">
        <v>1599</v>
      </c>
      <c r="H337" t="s">
        <v>389</v>
      </c>
      <c r="I337">
        <v>51</v>
      </c>
      <c r="J337" t="b">
        <v>0</v>
      </c>
      <c r="K337" t="b">
        <v>0</v>
      </c>
      <c r="R337" t="str">
        <f t="shared" si="6"/>
        <v/>
      </c>
    </row>
    <row r="338" spans="1:18" x14ac:dyDescent="0.2">
      <c r="A338" t="s">
        <v>1600</v>
      </c>
      <c r="B338" t="s">
        <v>1601</v>
      </c>
      <c r="C338" t="s">
        <v>1602</v>
      </c>
      <c r="D338" t="s">
        <v>17</v>
      </c>
      <c r="E338">
        <v>2009</v>
      </c>
      <c r="F338" t="s">
        <v>1603</v>
      </c>
      <c r="G338" t="s">
        <v>1604</v>
      </c>
      <c r="H338" t="s">
        <v>20</v>
      </c>
      <c r="I338">
        <v>116</v>
      </c>
      <c r="J338" t="b">
        <v>0</v>
      </c>
      <c r="K338" t="b">
        <v>0</v>
      </c>
      <c r="R338" t="str">
        <f t="shared" si="6"/>
        <v/>
      </c>
    </row>
    <row r="339" spans="1:18" x14ac:dyDescent="0.2">
      <c r="A339" t="s">
        <v>1605</v>
      </c>
      <c r="B339" t="s">
        <v>1606</v>
      </c>
      <c r="C339" t="s">
        <v>1607</v>
      </c>
      <c r="D339" t="s">
        <v>58</v>
      </c>
      <c r="E339">
        <v>2001</v>
      </c>
      <c r="F339" t="s">
        <v>1608</v>
      </c>
      <c r="G339" t="s">
        <v>1609</v>
      </c>
      <c r="H339" t="s">
        <v>647</v>
      </c>
      <c r="I339">
        <v>5</v>
      </c>
      <c r="J339" t="b">
        <v>0</v>
      </c>
      <c r="K339" t="b">
        <v>0</v>
      </c>
      <c r="R339" t="str">
        <f t="shared" si="6"/>
        <v/>
      </c>
    </row>
    <row r="340" spans="1:18" x14ac:dyDescent="0.2">
      <c r="A340" t="s">
        <v>1610</v>
      </c>
      <c r="B340" t="s">
        <v>1611</v>
      </c>
      <c r="C340" t="s">
        <v>1612</v>
      </c>
      <c r="D340" t="s">
        <v>58</v>
      </c>
      <c r="E340">
        <v>1997</v>
      </c>
      <c r="F340" t="s">
        <v>1613</v>
      </c>
      <c r="G340" t="s">
        <v>1614</v>
      </c>
      <c r="H340" t="s">
        <v>105</v>
      </c>
      <c r="I340">
        <v>20</v>
      </c>
      <c r="J340" t="b">
        <v>0</v>
      </c>
      <c r="K340" t="b">
        <v>0</v>
      </c>
      <c r="R340" t="str">
        <f t="shared" si="6"/>
        <v/>
      </c>
    </row>
    <row r="341" spans="1:18" x14ac:dyDescent="0.2">
      <c r="A341" t="s">
        <v>1615</v>
      </c>
      <c r="B341" t="s">
        <v>1616</v>
      </c>
      <c r="C341" t="s">
        <v>1617</v>
      </c>
      <c r="D341" t="s">
        <v>152</v>
      </c>
      <c r="E341">
        <v>2015</v>
      </c>
      <c r="F341" t="s">
        <v>25</v>
      </c>
      <c r="G341" t="s">
        <v>1618</v>
      </c>
      <c r="H341" t="s">
        <v>154</v>
      </c>
      <c r="I341">
        <v>116</v>
      </c>
      <c r="J341" t="b">
        <v>0</v>
      </c>
      <c r="K341" t="b">
        <v>0</v>
      </c>
      <c r="R341" t="str">
        <f t="shared" si="6"/>
        <v/>
      </c>
    </row>
    <row r="342" spans="1:18" x14ac:dyDescent="0.2">
      <c r="A342" t="s">
        <v>1619</v>
      </c>
      <c r="B342" t="s">
        <v>1620</v>
      </c>
      <c r="C342" t="s">
        <v>1621</v>
      </c>
      <c r="D342" t="s">
        <v>97</v>
      </c>
      <c r="E342">
        <v>2022</v>
      </c>
      <c r="F342" t="s">
        <v>1622</v>
      </c>
      <c r="G342" t="s">
        <v>1623</v>
      </c>
      <c r="H342" t="s">
        <v>20</v>
      </c>
      <c r="I342">
        <v>9</v>
      </c>
      <c r="J342" t="b">
        <v>0</v>
      </c>
      <c r="K342" t="b">
        <v>1</v>
      </c>
      <c r="R342" t="str">
        <f t="shared" si="6"/>
        <v/>
      </c>
    </row>
    <row r="343" spans="1:18" x14ac:dyDescent="0.2">
      <c r="A343" t="s">
        <v>1624</v>
      </c>
      <c r="B343" t="s">
        <v>1625</v>
      </c>
      <c r="C343" t="s">
        <v>1626</v>
      </c>
      <c r="D343" t="s">
        <v>97</v>
      </c>
      <c r="E343">
        <v>2008</v>
      </c>
      <c r="F343" t="s">
        <v>1627</v>
      </c>
      <c r="G343" t="s">
        <v>1628</v>
      </c>
      <c r="H343" t="s">
        <v>20</v>
      </c>
      <c r="I343">
        <v>12</v>
      </c>
      <c r="J343" t="b">
        <v>0</v>
      </c>
      <c r="K343" t="b">
        <v>0</v>
      </c>
      <c r="R343" t="str">
        <f t="shared" si="6"/>
        <v/>
      </c>
    </row>
    <row r="344" spans="1:18" x14ac:dyDescent="0.2">
      <c r="A344" t="s">
        <v>1629</v>
      </c>
      <c r="B344" t="s">
        <v>1630</v>
      </c>
      <c r="C344" t="s">
        <v>1631</v>
      </c>
      <c r="D344" t="s">
        <v>24</v>
      </c>
      <c r="E344">
        <v>2017</v>
      </c>
      <c r="F344" t="s">
        <v>25</v>
      </c>
      <c r="G344" t="s">
        <v>1632</v>
      </c>
      <c r="H344" t="s">
        <v>20</v>
      </c>
      <c r="I344">
        <v>26</v>
      </c>
      <c r="J344" t="b">
        <v>0</v>
      </c>
      <c r="K344" t="b">
        <v>1</v>
      </c>
      <c r="R344" t="str">
        <f t="shared" si="6"/>
        <v/>
      </c>
    </row>
    <row r="345" spans="1:18" x14ac:dyDescent="0.2">
      <c r="A345" t="s">
        <v>1633</v>
      </c>
      <c r="B345" t="s">
        <v>1634</v>
      </c>
      <c r="C345" t="s">
        <v>1635</v>
      </c>
      <c r="D345" t="s">
        <v>24</v>
      </c>
      <c r="E345">
        <v>2013</v>
      </c>
      <c r="F345" t="s">
        <v>25</v>
      </c>
      <c r="G345" t="s">
        <v>1636</v>
      </c>
      <c r="H345" t="s">
        <v>20</v>
      </c>
      <c r="I345">
        <v>120</v>
      </c>
      <c r="J345" t="b">
        <v>0</v>
      </c>
      <c r="K345" t="b">
        <v>0</v>
      </c>
      <c r="R345" t="str">
        <f t="shared" si="6"/>
        <v/>
      </c>
    </row>
    <row r="346" spans="1:18" x14ac:dyDescent="0.2">
      <c r="A346" t="s">
        <v>1637</v>
      </c>
      <c r="B346" t="s">
        <v>1638</v>
      </c>
      <c r="C346" t="s">
        <v>1639</v>
      </c>
      <c r="D346" t="s">
        <v>97</v>
      </c>
      <c r="E346">
        <v>2021</v>
      </c>
      <c r="F346" t="s">
        <v>1640</v>
      </c>
      <c r="G346" t="s">
        <v>1641</v>
      </c>
      <c r="H346" t="s">
        <v>20</v>
      </c>
      <c r="I346">
        <v>4</v>
      </c>
      <c r="J346" t="b">
        <v>0</v>
      </c>
      <c r="K346" t="b">
        <v>1</v>
      </c>
      <c r="R346" t="str">
        <f t="shared" si="6"/>
        <v/>
      </c>
    </row>
    <row r="347" spans="1:18" x14ac:dyDescent="0.2">
      <c r="A347" t="s">
        <v>1642</v>
      </c>
      <c r="B347" t="s">
        <v>1643</v>
      </c>
      <c r="C347" t="s">
        <v>1644</v>
      </c>
      <c r="D347" t="s">
        <v>53</v>
      </c>
      <c r="E347">
        <v>1991</v>
      </c>
      <c r="F347" t="s">
        <v>1645</v>
      </c>
      <c r="G347" t="s">
        <v>1646</v>
      </c>
      <c r="H347" t="s">
        <v>20</v>
      </c>
      <c r="I347">
        <v>82</v>
      </c>
      <c r="J347" t="b">
        <v>0</v>
      </c>
      <c r="K347" t="b">
        <v>1</v>
      </c>
      <c r="R347" t="str">
        <f t="shared" si="6"/>
        <v/>
      </c>
    </row>
    <row r="348" spans="1:18" x14ac:dyDescent="0.2">
      <c r="A348" t="s">
        <v>1647</v>
      </c>
      <c r="B348" t="s">
        <v>1648</v>
      </c>
      <c r="C348" t="s">
        <v>1649</v>
      </c>
      <c r="D348" t="s">
        <v>198</v>
      </c>
      <c r="E348">
        <v>2007</v>
      </c>
      <c r="F348" t="s">
        <v>1650</v>
      </c>
      <c r="G348" t="s">
        <v>1651</v>
      </c>
      <c r="H348" t="s">
        <v>77</v>
      </c>
      <c r="I348">
        <v>5</v>
      </c>
      <c r="J348" t="b">
        <v>0</v>
      </c>
      <c r="K348" t="b">
        <v>1</v>
      </c>
      <c r="R348" t="str">
        <f t="shared" si="6"/>
        <v/>
      </c>
    </row>
    <row r="349" spans="1:18" x14ac:dyDescent="0.2">
      <c r="A349" t="s">
        <v>1652</v>
      </c>
      <c r="B349" t="s">
        <v>1653</v>
      </c>
      <c r="C349" t="s">
        <v>1654</v>
      </c>
      <c r="D349" t="s">
        <v>53</v>
      </c>
      <c r="E349">
        <v>2015</v>
      </c>
      <c r="F349" t="s">
        <v>25</v>
      </c>
      <c r="G349" t="s">
        <v>1655</v>
      </c>
      <c r="H349" t="s">
        <v>20</v>
      </c>
      <c r="I349">
        <v>38</v>
      </c>
      <c r="J349" t="b">
        <v>0</v>
      </c>
      <c r="K349" t="b">
        <v>0</v>
      </c>
      <c r="R349" t="str">
        <f t="shared" si="6"/>
        <v/>
      </c>
    </row>
    <row r="350" spans="1:18" x14ac:dyDescent="0.2">
      <c r="A350" t="s">
        <v>1656</v>
      </c>
      <c r="B350" t="s">
        <v>1657</v>
      </c>
      <c r="C350" t="s">
        <v>1658</v>
      </c>
      <c r="D350" t="s">
        <v>24</v>
      </c>
      <c r="E350">
        <v>1995</v>
      </c>
      <c r="F350" t="s">
        <v>25</v>
      </c>
      <c r="G350" t="s">
        <v>1659</v>
      </c>
      <c r="H350" t="s">
        <v>20</v>
      </c>
      <c r="I350">
        <v>138</v>
      </c>
      <c r="J350" t="b">
        <v>0</v>
      </c>
      <c r="K350" t="b">
        <v>0</v>
      </c>
      <c r="R350" t="str">
        <f t="shared" si="6"/>
        <v/>
      </c>
    </row>
    <row r="351" spans="1:18" x14ac:dyDescent="0.2">
      <c r="A351" t="s">
        <v>1660</v>
      </c>
      <c r="B351" t="s">
        <v>1661</v>
      </c>
      <c r="C351" t="s">
        <v>1662</v>
      </c>
      <c r="D351" t="s">
        <v>17</v>
      </c>
      <c r="E351">
        <v>2022</v>
      </c>
      <c r="F351" t="s">
        <v>1663</v>
      </c>
      <c r="G351" t="s">
        <v>1664</v>
      </c>
      <c r="H351" t="s">
        <v>20</v>
      </c>
      <c r="I351">
        <v>5</v>
      </c>
      <c r="J351" t="b">
        <v>0</v>
      </c>
      <c r="K351" t="b">
        <v>1</v>
      </c>
      <c r="R351" t="str">
        <f t="shared" si="6"/>
        <v/>
      </c>
    </row>
    <row r="352" spans="1:18" x14ac:dyDescent="0.2">
      <c r="A352" t="s">
        <v>1665</v>
      </c>
      <c r="B352" t="s">
        <v>1666</v>
      </c>
      <c r="C352" t="s">
        <v>1667</v>
      </c>
      <c r="D352" t="s">
        <v>58</v>
      </c>
      <c r="E352">
        <v>2017</v>
      </c>
      <c r="F352" t="s">
        <v>1668</v>
      </c>
      <c r="G352" t="s">
        <v>1669</v>
      </c>
      <c r="H352" t="s">
        <v>111</v>
      </c>
      <c r="I352">
        <v>27</v>
      </c>
      <c r="J352" t="b">
        <v>0</v>
      </c>
      <c r="K352" t="b">
        <v>1</v>
      </c>
      <c r="R352" t="str">
        <f t="shared" si="6"/>
        <v/>
      </c>
    </row>
    <row r="353" spans="1:18" x14ac:dyDescent="0.2">
      <c r="A353" t="s">
        <v>1670</v>
      </c>
      <c r="B353" t="s">
        <v>1671</v>
      </c>
      <c r="C353" t="s">
        <v>1672</v>
      </c>
      <c r="D353" t="s">
        <v>47</v>
      </c>
      <c r="E353">
        <v>2019</v>
      </c>
      <c r="F353" t="s">
        <v>25</v>
      </c>
      <c r="G353" t="s">
        <v>1673</v>
      </c>
      <c r="H353" t="s">
        <v>20</v>
      </c>
      <c r="I353">
        <v>10</v>
      </c>
      <c r="J353" t="b">
        <v>0</v>
      </c>
      <c r="K353" t="b">
        <v>1</v>
      </c>
      <c r="R353" t="str">
        <f t="shared" si="6"/>
        <v/>
      </c>
    </row>
    <row r="354" spans="1:18" x14ac:dyDescent="0.2">
      <c r="A354" t="s">
        <v>1674</v>
      </c>
      <c r="B354" t="s">
        <v>1675</v>
      </c>
      <c r="C354" t="s">
        <v>1676</v>
      </c>
      <c r="D354" t="s">
        <v>17</v>
      </c>
      <c r="E354">
        <v>2007</v>
      </c>
      <c r="F354" t="s">
        <v>1677</v>
      </c>
      <c r="G354" t="s">
        <v>1678</v>
      </c>
      <c r="H354" t="s">
        <v>20</v>
      </c>
      <c r="I354">
        <v>10</v>
      </c>
      <c r="J354" t="b">
        <v>0</v>
      </c>
      <c r="K354" t="b">
        <v>0</v>
      </c>
      <c r="R354" t="str">
        <f t="shared" si="6"/>
        <v/>
      </c>
    </row>
    <row r="355" spans="1:18" x14ac:dyDescent="0.2">
      <c r="A355" t="s">
        <v>1679</v>
      </c>
      <c r="B355" t="s">
        <v>1680</v>
      </c>
      <c r="C355" t="s">
        <v>1681</v>
      </c>
      <c r="D355" t="s">
        <v>58</v>
      </c>
      <c r="E355">
        <v>2010</v>
      </c>
      <c r="F355" t="s">
        <v>1682</v>
      </c>
      <c r="G355" t="s">
        <v>1683</v>
      </c>
      <c r="H355" t="s">
        <v>680</v>
      </c>
      <c r="I355">
        <v>18</v>
      </c>
      <c r="J355" t="b">
        <v>0</v>
      </c>
      <c r="K355" t="b">
        <v>1</v>
      </c>
      <c r="R355" t="str">
        <f t="shared" si="6"/>
        <v/>
      </c>
    </row>
    <row r="356" spans="1:18" x14ac:dyDescent="0.2">
      <c r="A356" t="s">
        <v>1684</v>
      </c>
      <c r="B356" t="s">
        <v>1685</v>
      </c>
      <c r="C356" t="s">
        <v>1686</v>
      </c>
      <c r="D356" t="s">
        <v>198</v>
      </c>
      <c r="E356">
        <v>2014</v>
      </c>
      <c r="F356" t="s">
        <v>25</v>
      </c>
      <c r="G356" t="s">
        <v>1687</v>
      </c>
      <c r="H356" t="s">
        <v>20</v>
      </c>
      <c r="I356">
        <v>10</v>
      </c>
      <c r="J356" t="b">
        <v>0</v>
      </c>
      <c r="K356" t="b">
        <v>0</v>
      </c>
      <c r="R356" t="str">
        <f t="shared" si="6"/>
        <v/>
      </c>
    </row>
    <row r="357" spans="1:18" x14ac:dyDescent="0.2">
      <c r="A357" t="s">
        <v>1688</v>
      </c>
      <c r="B357" t="s">
        <v>1689</v>
      </c>
      <c r="C357" t="s">
        <v>1690</v>
      </c>
      <c r="D357" t="s">
        <v>47</v>
      </c>
      <c r="E357">
        <v>1996</v>
      </c>
      <c r="F357" t="s">
        <v>25</v>
      </c>
      <c r="G357" t="s">
        <v>1691</v>
      </c>
      <c r="H357" t="s">
        <v>20</v>
      </c>
      <c r="I357">
        <v>18</v>
      </c>
      <c r="J357" t="b">
        <v>0</v>
      </c>
      <c r="K357" t="b">
        <v>0</v>
      </c>
      <c r="R357" t="str">
        <f t="shared" si="6"/>
        <v/>
      </c>
    </row>
    <row r="358" spans="1:18" x14ac:dyDescent="0.2">
      <c r="A358" t="s">
        <v>1692</v>
      </c>
      <c r="B358" t="s">
        <v>1693</v>
      </c>
      <c r="C358" t="s">
        <v>1694</v>
      </c>
      <c r="D358" t="s">
        <v>85</v>
      </c>
      <c r="E358">
        <v>1992</v>
      </c>
      <c r="F358" t="s">
        <v>25</v>
      </c>
      <c r="G358" t="s">
        <v>1695</v>
      </c>
      <c r="H358" t="s">
        <v>154</v>
      </c>
      <c r="I358">
        <v>43</v>
      </c>
      <c r="J358" t="b">
        <v>0</v>
      </c>
      <c r="K358" t="b">
        <v>0</v>
      </c>
      <c r="R358" t="str">
        <f t="shared" si="6"/>
        <v/>
      </c>
    </row>
    <row r="359" spans="1:18" x14ac:dyDescent="0.2">
      <c r="A359" t="s">
        <v>1696</v>
      </c>
      <c r="B359" t="s">
        <v>1697</v>
      </c>
      <c r="C359" t="s">
        <v>1698</v>
      </c>
      <c r="D359" t="s">
        <v>198</v>
      </c>
      <c r="E359">
        <v>1993</v>
      </c>
      <c r="F359" t="s">
        <v>1699</v>
      </c>
      <c r="G359" t="s">
        <v>1700</v>
      </c>
      <c r="H359" t="s">
        <v>389</v>
      </c>
      <c r="I359">
        <v>9</v>
      </c>
      <c r="J359" t="b">
        <v>0</v>
      </c>
      <c r="K359" t="b">
        <v>0</v>
      </c>
      <c r="R359" t="str">
        <f t="shared" si="6"/>
        <v/>
      </c>
    </row>
    <row r="360" spans="1:18" x14ac:dyDescent="0.2">
      <c r="A360" t="s">
        <v>1701</v>
      </c>
      <c r="B360" t="s">
        <v>1702</v>
      </c>
      <c r="C360" t="s">
        <v>1703</v>
      </c>
      <c r="D360" t="s">
        <v>24</v>
      </c>
      <c r="E360">
        <v>2009</v>
      </c>
      <c r="F360" t="s">
        <v>25</v>
      </c>
      <c r="G360" t="s">
        <v>1704</v>
      </c>
      <c r="H360" t="s">
        <v>20</v>
      </c>
      <c r="I360">
        <v>232</v>
      </c>
      <c r="J360" t="b">
        <v>0</v>
      </c>
      <c r="K360" t="b">
        <v>1</v>
      </c>
      <c r="R360" t="str">
        <f t="shared" si="6"/>
        <v/>
      </c>
    </row>
    <row r="361" spans="1:18" x14ac:dyDescent="0.2">
      <c r="A361" t="s">
        <v>1705</v>
      </c>
      <c r="B361" t="s">
        <v>1706</v>
      </c>
      <c r="C361" t="s">
        <v>1707</v>
      </c>
      <c r="D361" t="s">
        <v>17</v>
      </c>
      <c r="E361">
        <v>2002</v>
      </c>
      <c r="F361" t="s">
        <v>1708</v>
      </c>
      <c r="G361" t="s">
        <v>1709</v>
      </c>
      <c r="H361" t="s">
        <v>154</v>
      </c>
      <c r="I361">
        <v>113</v>
      </c>
      <c r="J361" t="b">
        <v>0</v>
      </c>
      <c r="K361" t="b">
        <v>0</v>
      </c>
      <c r="R361" t="str">
        <f t="shared" si="6"/>
        <v/>
      </c>
    </row>
    <row r="362" spans="1:18" x14ac:dyDescent="0.2">
      <c r="A362" t="s">
        <v>1710</v>
      </c>
      <c r="B362" t="s">
        <v>1711</v>
      </c>
      <c r="C362" t="s">
        <v>1712</v>
      </c>
      <c r="D362" t="s">
        <v>47</v>
      </c>
      <c r="E362">
        <v>2022</v>
      </c>
      <c r="F362" t="s">
        <v>25</v>
      </c>
      <c r="G362" t="s">
        <v>1713</v>
      </c>
      <c r="H362" t="s">
        <v>20</v>
      </c>
      <c r="I362">
        <v>12</v>
      </c>
      <c r="J362" t="b">
        <v>0</v>
      </c>
      <c r="K362" t="b">
        <v>1</v>
      </c>
      <c r="R362" t="str">
        <f t="shared" si="6"/>
        <v/>
      </c>
    </row>
    <row r="363" spans="1:18" x14ac:dyDescent="0.2">
      <c r="A363" t="s">
        <v>1714</v>
      </c>
      <c r="B363" t="s">
        <v>1715</v>
      </c>
      <c r="C363" t="s">
        <v>1716</v>
      </c>
      <c r="D363" t="s">
        <v>47</v>
      </c>
      <c r="E363">
        <v>2007</v>
      </c>
      <c r="F363" t="s">
        <v>25</v>
      </c>
      <c r="G363" t="s">
        <v>1717</v>
      </c>
      <c r="H363" t="s">
        <v>20</v>
      </c>
      <c r="I363">
        <v>158</v>
      </c>
      <c r="J363" t="b">
        <v>0</v>
      </c>
      <c r="K363" t="b">
        <v>0</v>
      </c>
      <c r="R363" t="str">
        <f t="shared" si="6"/>
        <v/>
      </c>
    </row>
    <row r="364" spans="1:18" x14ac:dyDescent="0.2">
      <c r="A364" t="s">
        <v>1718</v>
      </c>
      <c r="B364" t="s">
        <v>1719</v>
      </c>
      <c r="C364" t="s">
        <v>1720</v>
      </c>
      <c r="D364" t="s">
        <v>152</v>
      </c>
      <c r="E364">
        <v>1995</v>
      </c>
      <c r="F364" t="s">
        <v>25</v>
      </c>
      <c r="G364" t="s">
        <v>1721</v>
      </c>
      <c r="H364" t="s">
        <v>154</v>
      </c>
      <c r="I364">
        <v>51</v>
      </c>
      <c r="J364" t="b">
        <v>0</v>
      </c>
      <c r="K364" t="b">
        <v>0</v>
      </c>
      <c r="R364" t="str">
        <f t="shared" si="6"/>
        <v/>
      </c>
    </row>
    <row r="365" spans="1:18" x14ac:dyDescent="0.2">
      <c r="A365" t="s">
        <v>1722</v>
      </c>
      <c r="B365" t="s">
        <v>1723</v>
      </c>
      <c r="C365" t="s">
        <v>1724</v>
      </c>
      <c r="D365" t="s">
        <v>24</v>
      </c>
      <c r="E365">
        <v>2021</v>
      </c>
      <c r="F365" t="s">
        <v>25</v>
      </c>
      <c r="G365" t="s">
        <v>1725</v>
      </c>
      <c r="H365" t="s">
        <v>20</v>
      </c>
      <c r="I365">
        <v>5</v>
      </c>
      <c r="J365" t="b">
        <v>0</v>
      </c>
      <c r="K365" t="b">
        <v>0</v>
      </c>
      <c r="R365" t="str">
        <f t="shared" si="6"/>
        <v/>
      </c>
    </row>
    <row r="366" spans="1:18" x14ac:dyDescent="0.2">
      <c r="A366" t="s">
        <v>1726</v>
      </c>
      <c r="B366" t="s">
        <v>1727</v>
      </c>
      <c r="C366" t="s">
        <v>1728</v>
      </c>
      <c r="D366" t="s">
        <v>24</v>
      </c>
      <c r="E366">
        <v>2009</v>
      </c>
      <c r="F366" t="s">
        <v>25</v>
      </c>
      <c r="G366" t="s">
        <v>1729</v>
      </c>
      <c r="H366" t="s">
        <v>1730</v>
      </c>
      <c r="I366">
        <v>18</v>
      </c>
      <c r="J366" t="b">
        <v>0</v>
      </c>
      <c r="K366" t="b">
        <v>1</v>
      </c>
      <c r="R366" t="str">
        <f t="shared" si="6"/>
        <v/>
      </c>
    </row>
    <row r="367" spans="1:18" x14ac:dyDescent="0.2">
      <c r="A367" t="s">
        <v>1731</v>
      </c>
      <c r="B367" t="s">
        <v>1732</v>
      </c>
      <c r="C367" t="s">
        <v>1733</v>
      </c>
      <c r="D367" t="s">
        <v>58</v>
      </c>
      <c r="E367">
        <v>1999</v>
      </c>
      <c r="F367" t="s">
        <v>1734</v>
      </c>
      <c r="G367" t="s">
        <v>1735</v>
      </c>
      <c r="H367" t="s">
        <v>67</v>
      </c>
      <c r="I367">
        <v>30</v>
      </c>
      <c r="J367" t="b">
        <v>0</v>
      </c>
      <c r="K367" t="b">
        <v>0</v>
      </c>
      <c r="R367" t="str">
        <f t="shared" si="6"/>
        <v/>
      </c>
    </row>
    <row r="368" spans="1:18" x14ac:dyDescent="0.2">
      <c r="A368" t="s">
        <v>1736</v>
      </c>
      <c r="B368" t="s">
        <v>1737</v>
      </c>
      <c r="C368" t="s">
        <v>1738</v>
      </c>
      <c r="D368" t="s">
        <v>53</v>
      </c>
      <c r="E368">
        <v>2020</v>
      </c>
      <c r="F368" t="s">
        <v>1739</v>
      </c>
      <c r="G368" t="s">
        <v>1740</v>
      </c>
      <c r="H368" t="s">
        <v>154</v>
      </c>
      <c r="I368">
        <v>5</v>
      </c>
      <c r="J368" t="b">
        <v>0</v>
      </c>
      <c r="K368" t="b">
        <v>0</v>
      </c>
      <c r="R368" t="str">
        <f t="shared" si="6"/>
        <v/>
      </c>
    </row>
    <row r="369" spans="1:18" x14ac:dyDescent="0.2">
      <c r="A369" t="s">
        <v>1741</v>
      </c>
      <c r="B369" t="s">
        <v>1742</v>
      </c>
      <c r="C369" t="s">
        <v>1743</v>
      </c>
      <c r="D369" t="s">
        <v>24</v>
      </c>
      <c r="E369">
        <v>2007</v>
      </c>
      <c r="F369" t="s">
        <v>25</v>
      </c>
      <c r="G369" t="s">
        <v>1744</v>
      </c>
      <c r="H369" t="s">
        <v>20</v>
      </c>
      <c r="I369">
        <v>140</v>
      </c>
      <c r="J369" t="b">
        <v>0</v>
      </c>
      <c r="K369" t="b">
        <v>0</v>
      </c>
      <c r="R369" t="str">
        <f t="shared" si="6"/>
        <v/>
      </c>
    </row>
    <row r="370" spans="1:18" x14ac:dyDescent="0.2">
      <c r="A370" t="s">
        <v>1745</v>
      </c>
      <c r="B370" t="s">
        <v>1746</v>
      </c>
      <c r="C370" t="s">
        <v>1747</v>
      </c>
      <c r="D370" t="s">
        <v>152</v>
      </c>
      <c r="E370">
        <v>1998</v>
      </c>
      <c r="F370" t="s">
        <v>25</v>
      </c>
      <c r="G370" t="s">
        <v>1748</v>
      </c>
      <c r="H370" t="s">
        <v>1749</v>
      </c>
      <c r="I370">
        <v>35</v>
      </c>
      <c r="J370" t="b">
        <v>0</v>
      </c>
      <c r="K370" t="b">
        <v>1</v>
      </c>
      <c r="R370" t="str">
        <f t="shared" si="6"/>
        <v/>
      </c>
    </row>
    <row r="371" spans="1:18" x14ac:dyDescent="0.2">
      <c r="A371" t="s">
        <v>1750</v>
      </c>
      <c r="B371" t="s">
        <v>1751</v>
      </c>
      <c r="C371" t="s">
        <v>1752</v>
      </c>
      <c r="D371" t="s">
        <v>97</v>
      </c>
      <c r="E371">
        <v>1991</v>
      </c>
      <c r="F371" t="s">
        <v>25</v>
      </c>
      <c r="G371" t="s">
        <v>1753</v>
      </c>
      <c r="H371" t="s">
        <v>20</v>
      </c>
      <c r="I371">
        <v>124</v>
      </c>
      <c r="J371" t="b">
        <v>0</v>
      </c>
      <c r="K371" t="b">
        <v>0</v>
      </c>
      <c r="R371" t="str">
        <f t="shared" si="6"/>
        <v/>
      </c>
    </row>
    <row r="372" spans="1:18" x14ac:dyDescent="0.2">
      <c r="A372" t="s">
        <v>1754</v>
      </c>
      <c r="B372" t="s">
        <v>1755</v>
      </c>
      <c r="C372" t="s">
        <v>1756</v>
      </c>
      <c r="D372" t="s">
        <v>152</v>
      </c>
      <c r="E372">
        <v>1995</v>
      </c>
      <c r="F372" t="s">
        <v>25</v>
      </c>
      <c r="G372" t="s">
        <v>1757</v>
      </c>
      <c r="H372" t="s">
        <v>367</v>
      </c>
      <c r="I372">
        <v>37</v>
      </c>
      <c r="J372" t="b">
        <v>0</v>
      </c>
      <c r="K372" t="b">
        <v>0</v>
      </c>
      <c r="R372" t="str">
        <f t="shared" si="6"/>
        <v/>
      </c>
    </row>
    <row r="373" spans="1:18" x14ac:dyDescent="0.2">
      <c r="A373" t="s">
        <v>1758</v>
      </c>
      <c r="B373" t="s">
        <v>1759</v>
      </c>
      <c r="C373" t="s">
        <v>1760</v>
      </c>
      <c r="D373" t="s">
        <v>17</v>
      </c>
      <c r="E373">
        <v>2007</v>
      </c>
      <c r="F373" t="s">
        <v>1761</v>
      </c>
      <c r="G373" t="s">
        <v>1762</v>
      </c>
      <c r="H373" t="s">
        <v>20</v>
      </c>
      <c r="I373">
        <v>54</v>
      </c>
      <c r="J373" t="b">
        <v>0</v>
      </c>
      <c r="K373" t="b">
        <v>0</v>
      </c>
      <c r="R373" t="str">
        <f t="shared" si="6"/>
        <v/>
      </c>
    </row>
    <row r="374" spans="1:18" x14ac:dyDescent="0.2">
      <c r="A374" t="s">
        <v>1763</v>
      </c>
      <c r="B374" t="s">
        <v>1764</v>
      </c>
      <c r="C374" t="s">
        <v>1765</v>
      </c>
      <c r="D374" t="s">
        <v>97</v>
      </c>
      <c r="E374">
        <v>1993</v>
      </c>
      <c r="F374" t="s">
        <v>25</v>
      </c>
      <c r="G374" t="s">
        <v>1766</v>
      </c>
      <c r="H374" t="s">
        <v>647</v>
      </c>
      <c r="I374">
        <v>35</v>
      </c>
      <c r="J374" t="b">
        <v>0</v>
      </c>
      <c r="K374" t="b">
        <v>0</v>
      </c>
      <c r="R374" t="str">
        <f t="shared" si="6"/>
        <v/>
      </c>
    </row>
    <row r="375" spans="1:18" x14ac:dyDescent="0.2">
      <c r="A375" t="s">
        <v>1767</v>
      </c>
      <c r="B375" t="s">
        <v>1768</v>
      </c>
      <c r="C375" t="s">
        <v>1769</v>
      </c>
      <c r="D375" t="s">
        <v>17</v>
      </c>
      <c r="E375">
        <v>2021</v>
      </c>
      <c r="F375" t="s">
        <v>1770</v>
      </c>
      <c r="G375" t="s">
        <v>1771</v>
      </c>
      <c r="H375" t="s">
        <v>20</v>
      </c>
      <c r="I375">
        <v>14</v>
      </c>
      <c r="J375" t="b">
        <v>0</v>
      </c>
      <c r="K375" t="b">
        <v>0</v>
      </c>
      <c r="R375" t="str">
        <f t="shared" si="6"/>
        <v/>
      </c>
    </row>
    <row r="376" spans="1:18" x14ac:dyDescent="0.2">
      <c r="A376" t="s">
        <v>1772</v>
      </c>
      <c r="B376" t="s">
        <v>1773</v>
      </c>
      <c r="C376" t="s">
        <v>1774</v>
      </c>
      <c r="D376" t="s">
        <v>53</v>
      </c>
      <c r="E376">
        <v>2021</v>
      </c>
      <c r="F376" t="s">
        <v>1775</v>
      </c>
      <c r="G376" t="s">
        <v>1776</v>
      </c>
      <c r="H376" t="s">
        <v>389</v>
      </c>
      <c r="I376">
        <v>2</v>
      </c>
      <c r="J376" t="b">
        <v>0</v>
      </c>
      <c r="K376" t="b">
        <v>0</v>
      </c>
      <c r="R376" t="str">
        <f t="shared" si="6"/>
        <v/>
      </c>
    </row>
    <row r="377" spans="1:18" x14ac:dyDescent="0.2">
      <c r="A377" t="s">
        <v>1777</v>
      </c>
      <c r="B377" t="s">
        <v>1778</v>
      </c>
      <c r="C377" t="s">
        <v>1779</v>
      </c>
      <c r="D377" t="s">
        <v>47</v>
      </c>
      <c r="E377">
        <v>2016</v>
      </c>
      <c r="F377" t="s">
        <v>25</v>
      </c>
      <c r="G377" t="s">
        <v>1780</v>
      </c>
      <c r="H377" t="s">
        <v>20</v>
      </c>
      <c r="I377">
        <v>148</v>
      </c>
      <c r="J377" t="b">
        <v>0</v>
      </c>
      <c r="K377" t="b">
        <v>1</v>
      </c>
      <c r="R377" t="str">
        <f t="shared" si="6"/>
        <v/>
      </c>
    </row>
    <row r="378" spans="1:18" x14ac:dyDescent="0.2">
      <c r="A378" t="s">
        <v>1781</v>
      </c>
      <c r="B378" t="s">
        <v>1782</v>
      </c>
      <c r="C378" t="s">
        <v>1783</v>
      </c>
      <c r="D378" t="s">
        <v>24</v>
      </c>
      <c r="E378">
        <v>1991</v>
      </c>
      <c r="F378" t="s">
        <v>25</v>
      </c>
      <c r="G378" t="s">
        <v>1784</v>
      </c>
      <c r="H378" t="s">
        <v>20</v>
      </c>
      <c r="I378">
        <v>73</v>
      </c>
      <c r="J378" t="b">
        <v>0</v>
      </c>
      <c r="K378" t="b">
        <v>1</v>
      </c>
      <c r="R378" t="str">
        <f t="shared" si="6"/>
        <v/>
      </c>
    </row>
    <row r="379" spans="1:18" x14ac:dyDescent="0.2">
      <c r="A379" t="s">
        <v>1785</v>
      </c>
      <c r="B379" t="s">
        <v>1786</v>
      </c>
      <c r="C379" t="s">
        <v>1787</v>
      </c>
      <c r="D379" t="s">
        <v>152</v>
      </c>
      <c r="E379">
        <v>2011</v>
      </c>
      <c r="F379" t="s">
        <v>25</v>
      </c>
      <c r="G379" t="s">
        <v>1788</v>
      </c>
      <c r="H379" t="s">
        <v>67</v>
      </c>
      <c r="I379">
        <v>26</v>
      </c>
      <c r="J379" t="b">
        <v>0</v>
      </c>
      <c r="K379" t="b">
        <v>0</v>
      </c>
      <c r="R379" t="str">
        <f t="shared" si="6"/>
        <v/>
      </c>
    </row>
    <row r="380" spans="1:18" x14ac:dyDescent="0.2">
      <c r="A380" t="s">
        <v>1789</v>
      </c>
      <c r="B380" t="s">
        <v>1790</v>
      </c>
      <c r="C380" t="s">
        <v>1791</v>
      </c>
      <c r="D380" t="s">
        <v>53</v>
      </c>
      <c r="E380">
        <v>2002</v>
      </c>
      <c r="F380" t="s">
        <v>1792</v>
      </c>
      <c r="G380" t="s">
        <v>1793</v>
      </c>
      <c r="H380" t="s">
        <v>20</v>
      </c>
      <c r="I380">
        <v>83</v>
      </c>
      <c r="J380" t="b">
        <v>0</v>
      </c>
      <c r="K380" t="b">
        <v>0</v>
      </c>
      <c r="R380" t="str">
        <f t="shared" si="6"/>
        <v/>
      </c>
    </row>
    <row r="381" spans="1:18" x14ac:dyDescent="0.2">
      <c r="A381" t="s">
        <v>1794</v>
      </c>
      <c r="B381" t="s">
        <v>1795</v>
      </c>
      <c r="C381" t="s">
        <v>1796</v>
      </c>
      <c r="D381" t="s">
        <v>24</v>
      </c>
      <c r="E381">
        <v>2005</v>
      </c>
      <c r="F381" t="s">
        <v>25</v>
      </c>
      <c r="G381" t="s">
        <v>1797</v>
      </c>
      <c r="H381" t="s">
        <v>1798</v>
      </c>
      <c r="I381">
        <v>184</v>
      </c>
      <c r="J381" t="b">
        <v>0</v>
      </c>
      <c r="K381" t="b">
        <v>1</v>
      </c>
      <c r="R381" t="str">
        <f t="shared" si="6"/>
        <v/>
      </c>
    </row>
    <row r="382" spans="1:18" x14ac:dyDescent="0.2">
      <c r="A382" t="s">
        <v>1799</v>
      </c>
      <c r="B382" t="s">
        <v>1800</v>
      </c>
      <c r="C382" t="s">
        <v>1801</v>
      </c>
      <c r="D382" t="s">
        <v>198</v>
      </c>
      <c r="E382">
        <v>2024</v>
      </c>
      <c r="F382" t="s">
        <v>25</v>
      </c>
      <c r="G382" t="s">
        <v>1802</v>
      </c>
      <c r="H382" t="s">
        <v>154</v>
      </c>
      <c r="I382">
        <v>0</v>
      </c>
      <c r="J382" t="b">
        <v>0</v>
      </c>
      <c r="K382" t="b">
        <v>0</v>
      </c>
      <c r="R382" t="str">
        <f t="shared" si="6"/>
        <v/>
      </c>
    </row>
    <row r="383" spans="1:18" x14ac:dyDescent="0.2">
      <c r="A383" t="s">
        <v>1803</v>
      </c>
      <c r="B383" t="s">
        <v>1804</v>
      </c>
      <c r="C383" t="s">
        <v>1805</v>
      </c>
      <c r="D383" t="s">
        <v>17</v>
      </c>
      <c r="E383">
        <v>2019</v>
      </c>
      <c r="F383" t="s">
        <v>1806</v>
      </c>
      <c r="G383" t="s">
        <v>1807</v>
      </c>
      <c r="H383" t="s">
        <v>20</v>
      </c>
      <c r="I383">
        <v>52</v>
      </c>
      <c r="J383" t="b">
        <v>0</v>
      </c>
      <c r="K383" t="b">
        <v>0</v>
      </c>
      <c r="R383" t="str">
        <f t="shared" si="6"/>
        <v/>
      </c>
    </row>
    <row r="384" spans="1:18" x14ac:dyDescent="0.2">
      <c r="A384" t="s">
        <v>1808</v>
      </c>
      <c r="B384" t="s">
        <v>1809</v>
      </c>
      <c r="C384" t="s">
        <v>1810</v>
      </c>
      <c r="D384" t="s">
        <v>198</v>
      </c>
      <c r="E384">
        <v>2005</v>
      </c>
      <c r="F384" t="s">
        <v>1811</v>
      </c>
      <c r="G384" t="s">
        <v>1812</v>
      </c>
      <c r="H384" t="s">
        <v>680</v>
      </c>
      <c r="I384">
        <v>34</v>
      </c>
      <c r="J384" t="b">
        <v>0</v>
      </c>
      <c r="K384" t="b">
        <v>0</v>
      </c>
      <c r="R384" t="str">
        <f t="shared" si="6"/>
        <v/>
      </c>
    </row>
    <row r="385" spans="1:18" x14ac:dyDescent="0.2">
      <c r="A385" t="s">
        <v>1813</v>
      </c>
      <c r="B385" t="s">
        <v>1814</v>
      </c>
      <c r="C385" t="s">
        <v>1815</v>
      </c>
      <c r="D385" t="s">
        <v>24</v>
      </c>
      <c r="E385">
        <v>1992</v>
      </c>
      <c r="F385" t="s">
        <v>25</v>
      </c>
      <c r="G385" t="s">
        <v>1816</v>
      </c>
      <c r="H385" t="s">
        <v>20</v>
      </c>
      <c r="I385">
        <v>64</v>
      </c>
      <c r="J385" t="b">
        <v>0</v>
      </c>
      <c r="K385" t="b">
        <v>0</v>
      </c>
      <c r="R385" t="str">
        <f t="shared" si="6"/>
        <v/>
      </c>
    </row>
    <row r="386" spans="1:18" x14ac:dyDescent="0.2">
      <c r="A386" t="s">
        <v>1817</v>
      </c>
      <c r="B386" t="s">
        <v>1818</v>
      </c>
      <c r="C386" t="s">
        <v>1819</v>
      </c>
      <c r="D386" t="s">
        <v>24</v>
      </c>
      <c r="E386">
        <v>2014</v>
      </c>
      <c r="F386" t="s">
        <v>25</v>
      </c>
      <c r="G386" t="s">
        <v>1820</v>
      </c>
      <c r="H386" t="s">
        <v>20</v>
      </c>
      <c r="I386">
        <v>90</v>
      </c>
      <c r="J386" t="b">
        <v>0</v>
      </c>
      <c r="K386" t="b">
        <v>0</v>
      </c>
      <c r="R386" t="str">
        <f t="shared" si="6"/>
        <v/>
      </c>
    </row>
    <row r="387" spans="1:18" x14ac:dyDescent="0.2">
      <c r="A387" t="s">
        <v>1821</v>
      </c>
      <c r="B387" t="s">
        <v>1822</v>
      </c>
      <c r="C387" t="s">
        <v>1823</v>
      </c>
      <c r="D387" t="s">
        <v>198</v>
      </c>
      <c r="E387">
        <v>2001</v>
      </c>
      <c r="F387" t="s">
        <v>1824</v>
      </c>
      <c r="G387" t="s">
        <v>1825</v>
      </c>
      <c r="H387" t="s">
        <v>77</v>
      </c>
      <c r="I387">
        <v>11</v>
      </c>
      <c r="J387" t="b">
        <v>0</v>
      </c>
      <c r="K387" t="b">
        <v>0</v>
      </c>
      <c r="R387" t="str">
        <f t="shared" ref="R387:R450" si="7">IF(Q387&lt;&gt;N387,"!!!","")</f>
        <v/>
      </c>
    </row>
    <row r="388" spans="1:18" x14ac:dyDescent="0.2">
      <c r="A388" t="s">
        <v>1826</v>
      </c>
      <c r="B388" t="s">
        <v>1827</v>
      </c>
      <c r="C388" t="s">
        <v>1828</v>
      </c>
      <c r="D388" t="s">
        <v>53</v>
      </c>
      <c r="E388">
        <v>2018</v>
      </c>
      <c r="F388" t="s">
        <v>1829</v>
      </c>
      <c r="G388" t="s">
        <v>1830</v>
      </c>
      <c r="H388" t="s">
        <v>154</v>
      </c>
      <c r="I388">
        <v>20</v>
      </c>
      <c r="J388" t="b">
        <v>0</v>
      </c>
      <c r="K388" t="b">
        <v>0</v>
      </c>
      <c r="R388" t="str">
        <f t="shared" si="7"/>
        <v/>
      </c>
    </row>
    <row r="389" spans="1:18" x14ac:dyDescent="0.2">
      <c r="A389" t="s">
        <v>1831</v>
      </c>
      <c r="B389" t="s">
        <v>1832</v>
      </c>
      <c r="C389" t="s">
        <v>1833</v>
      </c>
      <c r="D389" t="s">
        <v>198</v>
      </c>
      <c r="E389">
        <v>2011</v>
      </c>
      <c r="F389" t="s">
        <v>1834</v>
      </c>
      <c r="G389" t="s">
        <v>1835</v>
      </c>
      <c r="H389" t="s">
        <v>1015</v>
      </c>
      <c r="I389">
        <v>17</v>
      </c>
      <c r="J389" t="b">
        <v>0</v>
      </c>
      <c r="K389" t="b">
        <v>0</v>
      </c>
      <c r="R389" t="str">
        <f t="shared" si="7"/>
        <v/>
      </c>
    </row>
    <row r="390" spans="1:18" x14ac:dyDescent="0.2">
      <c r="A390" t="s">
        <v>1836</v>
      </c>
      <c r="B390" t="s">
        <v>1837</v>
      </c>
      <c r="C390" t="s">
        <v>1838</v>
      </c>
      <c r="D390" t="s">
        <v>24</v>
      </c>
      <c r="E390">
        <v>2003</v>
      </c>
      <c r="F390" t="s">
        <v>25</v>
      </c>
      <c r="G390" t="s">
        <v>1839</v>
      </c>
      <c r="H390" t="s">
        <v>20</v>
      </c>
      <c r="I390">
        <v>59</v>
      </c>
      <c r="J390" t="b">
        <v>0</v>
      </c>
      <c r="K390" t="b">
        <v>0</v>
      </c>
      <c r="R390" t="str">
        <f t="shared" si="7"/>
        <v/>
      </c>
    </row>
    <row r="391" spans="1:18" x14ac:dyDescent="0.2">
      <c r="A391" t="s">
        <v>1840</v>
      </c>
      <c r="B391" t="s">
        <v>1841</v>
      </c>
      <c r="C391" t="s">
        <v>1842</v>
      </c>
      <c r="D391" t="s">
        <v>85</v>
      </c>
      <c r="E391">
        <v>2004</v>
      </c>
      <c r="F391" t="s">
        <v>1843</v>
      </c>
      <c r="G391" t="s">
        <v>1844</v>
      </c>
      <c r="H391" t="s">
        <v>154</v>
      </c>
      <c r="I391">
        <v>107</v>
      </c>
      <c r="J391" t="b">
        <v>0</v>
      </c>
      <c r="K391" t="b">
        <v>0</v>
      </c>
      <c r="R391" t="str">
        <f t="shared" si="7"/>
        <v/>
      </c>
    </row>
    <row r="392" spans="1:18" x14ac:dyDescent="0.2">
      <c r="A392" t="s">
        <v>1845</v>
      </c>
      <c r="B392" t="s">
        <v>1846</v>
      </c>
      <c r="C392" t="s">
        <v>1847</v>
      </c>
      <c r="D392" t="s">
        <v>47</v>
      </c>
      <c r="E392">
        <v>2019</v>
      </c>
      <c r="F392" t="s">
        <v>25</v>
      </c>
      <c r="G392" t="s">
        <v>1848</v>
      </c>
      <c r="H392" t="s">
        <v>1849</v>
      </c>
      <c r="I392">
        <v>4</v>
      </c>
      <c r="J392" t="b">
        <v>0</v>
      </c>
      <c r="K392" t="b">
        <v>0</v>
      </c>
      <c r="R392" t="str">
        <f t="shared" si="7"/>
        <v/>
      </c>
    </row>
    <row r="393" spans="1:18" x14ac:dyDescent="0.2">
      <c r="A393" t="s">
        <v>1850</v>
      </c>
      <c r="B393" t="s">
        <v>1851</v>
      </c>
      <c r="C393" t="s">
        <v>1852</v>
      </c>
      <c r="D393" t="s">
        <v>17</v>
      </c>
      <c r="E393">
        <v>1998</v>
      </c>
      <c r="F393" t="s">
        <v>1853</v>
      </c>
      <c r="G393" t="s">
        <v>1854</v>
      </c>
      <c r="H393" t="s">
        <v>481</v>
      </c>
      <c r="I393">
        <v>61</v>
      </c>
      <c r="J393" t="b">
        <v>0</v>
      </c>
      <c r="K393" t="b">
        <v>0</v>
      </c>
      <c r="R393" t="str">
        <f t="shared" si="7"/>
        <v/>
      </c>
    </row>
    <row r="394" spans="1:18" x14ac:dyDescent="0.2">
      <c r="A394" t="s">
        <v>1855</v>
      </c>
      <c r="B394" t="s">
        <v>1856</v>
      </c>
      <c r="C394" t="s">
        <v>1857</v>
      </c>
      <c r="D394" t="s">
        <v>97</v>
      </c>
      <c r="E394">
        <v>2023</v>
      </c>
      <c r="F394" t="s">
        <v>1858</v>
      </c>
      <c r="G394" t="s">
        <v>1859</v>
      </c>
      <c r="H394" t="s">
        <v>20</v>
      </c>
      <c r="I394">
        <v>1</v>
      </c>
      <c r="J394" t="b">
        <v>0</v>
      </c>
      <c r="K394" t="b">
        <v>1</v>
      </c>
      <c r="R394" t="str">
        <f t="shared" si="7"/>
        <v/>
      </c>
    </row>
    <row r="395" spans="1:18" x14ac:dyDescent="0.2">
      <c r="A395" t="s">
        <v>1860</v>
      </c>
      <c r="B395" t="s">
        <v>1861</v>
      </c>
      <c r="C395" t="s">
        <v>1862</v>
      </c>
      <c r="D395" t="s">
        <v>152</v>
      </c>
      <c r="E395">
        <v>2011</v>
      </c>
      <c r="F395" t="s">
        <v>25</v>
      </c>
      <c r="G395" t="s">
        <v>1863</v>
      </c>
      <c r="H395" t="s">
        <v>154</v>
      </c>
      <c r="I395">
        <v>135</v>
      </c>
      <c r="J395" t="b">
        <v>0</v>
      </c>
      <c r="K395" t="b">
        <v>0</v>
      </c>
      <c r="R395" t="str">
        <f t="shared" si="7"/>
        <v/>
      </c>
    </row>
    <row r="396" spans="1:18" x14ac:dyDescent="0.2">
      <c r="A396" t="s">
        <v>1864</v>
      </c>
      <c r="B396" t="s">
        <v>1865</v>
      </c>
      <c r="C396" t="s">
        <v>1866</v>
      </c>
      <c r="D396" t="s">
        <v>47</v>
      </c>
      <c r="E396">
        <v>2010</v>
      </c>
      <c r="F396" t="s">
        <v>25</v>
      </c>
      <c r="G396" t="s">
        <v>1867</v>
      </c>
      <c r="H396" t="s">
        <v>20</v>
      </c>
      <c r="I396">
        <v>48</v>
      </c>
      <c r="J396" t="b">
        <v>0</v>
      </c>
      <c r="K396" t="b">
        <v>0</v>
      </c>
      <c r="R396" t="str">
        <f t="shared" si="7"/>
        <v/>
      </c>
    </row>
    <row r="397" spans="1:18" x14ac:dyDescent="0.2">
      <c r="A397" t="s">
        <v>1868</v>
      </c>
      <c r="B397" t="s">
        <v>1869</v>
      </c>
      <c r="C397" t="s">
        <v>1870</v>
      </c>
      <c r="D397" t="s">
        <v>24</v>
      </c>
      <c r="E397">
        <v>2012</v>
      </c>
      <c r="F397" t="s">
        <v>25</v>
      </c>
      <c r="G397" t="s">
        <v>1871</v>
      </c>
      <c r="H397" t="s">
        <v>20</v>
      </c>
      <c r="I397">
        <v>46</v>
      </c>
      <c r="J397" t="b">
        <v>0</v>
      </c>
      <c r="K397" t="b">
        <v>0</v>
      </c>
      <c r="R397" t="str">
        <f t="shared" si="7"/>
        <v/>
      </c>
    </row>
    <row r="398" spans="1:18" x14ac:dyDescent="0.2">
      <c r="A398" t="s">
        <v>1872</v>
      </c>
      <c r="B398" t="s">
        <v>1873</v>
      </c>
      <c r="C398" t="s">
        <v>1874</v>
      </c>
      <c r="D398" t="s">
        <v>198</v>
      </c>
      <c r="E398">
        <v>2005</v>
      </c>
      <c r="F398" t="s">
        <v>1875</v>
      </c>
      <c r="G398" t="s">
        <v>1876</v>
      </c>
      <c r="H398" t="s">
        <v>154</v>
      </c>
      <c r="I398">
        <v>37</v>
      </c>
      <c r="J398" t="b">
        <v>0</v>
      </c>
      <c r="K398" t="b">
        <v>1</v>
      </c>
      <c r="R398" t="str">
        <f t="shared" si="7"/>
        <v/>
      </c>
    </row>
    <row r="399" spans="1:18" x14ac:dyDescent="0.2">
      <c r="A399" t="s">
        <v>1877</v>
      </c>
      <c r="B399" t="s">
        <v>1878</v>
      </c>
      <c r="C399" t="s">
        <v>1879</v>
      </c>
      <c r="D399" t="s">
        <v>198</v>
      </c>
      <c r="E399">
        <v>2013</v>
      </c>
      <c r="F399" t="s">
        <v>25</v>
      </c>
      <c r="G399" t="s">
        <v>1880</v>
      </c>
      <c r="H399" t="s">
        <v>742</v>
      </c>
      <c r="I399">
        <v>12</v>
      </c>
      <c r="J399" t="b">
        <v>0</v>
      </c>
      <c r="K399" t="b">
        <v>0</v>
      </c>
      <c r="R399" t="str">
        <f t="shared" si="7"/>
        <v/>
      </c>
    </row>
    <row r="400" spans="1:18" x14ac:dyDescent="0.2">
      <c r="A400" t="s">
        <v>1881</v>
      </c>
      <c r="B400" t="s">
        <v>1882</v>
      </c>
      <c r="C400" t="s">
        <v>1883</v>
      </c>
      <c r="D400" t="s">
        <v>47</v>
      </c>
      <c r="E400">
        <v>2021</v>
      </c>
      <c r="F400" t="s">
        <v>25</v>
      </c>
      <c r="G400" t="s">
        <v>1884</v>
      </c>
      <c r="H400" t="s">
        <v>20</v>
      </c>
      <c r="I400">
        <v>9</v>
      </c>
      <c r="J400" t="b">
        <v>0</v>
      </c>
      <c r="K400" t="b">
        <v>1</v>
      </c>
      <c r="R400" t="str">
        <f t="shared" si="7"/>
        <v/>
      </c>
    </row>
    <row r="401" spans="1:18" x14ac:dyDescent="0.2">
      <c r="A401" t="s">
        <v>1885</v>
      </c>
      <c r="B401" t="s">
        <v>1886</v>
      </c>
      <c r="C401" t="s">
        <v>1887</v>
      </c>
      <c r="D401" t="s">
        <v>47</v>
      </c>
      <c r="E401">
        <v>2021</v>
      </c>
      <c r="F401" t="s">
        <v>25</v>
      </c>
      <c r="G401" t="s">
        <v>1888</v>
      </c>
      <c r="H401" t="s">
        <v>20</v>
      </c>
      <c r="I401">
        <v>9</v>
      </c>
      <c r="J401" t="b">
        <v>0</v>
      </c>
      <c r="K401" t="b">
        <v>1</v>
      </c>
      <c r="R401" t="str">
        <f t="shared" si="7"/>
        <v/>
      </c>
    </row>
    <row r="402" spans="1:18" x14ac:dyDescent="0.2">
      <c r="A402" t="s">
        <v>1889</v>
      </c>
      <c r="B402" t="s">
        <v>1890</v>
      </c>
      <c r="C402" t="s">
        <v>1891</v>
      </c>
      <c r="D402" t="s">
        <v>97</v>
      </c>
      <c r="E402">
        <v>2009</v>
      </c>
      <c r="F402" t="s">
        <v>1892</v>
      </c>
      <c r="G402" t="s">
        <v>1893</v>
      </c>
      <c r="H402" t="s">
        <v>389</v>
      </c>
      <c r="I402">
        <v>5</v>
      </c>
      <c r="J402" t="b">
        <v>0</v>
      </c>
      <c r="R402" t="str">
        <f t="shared" si="7"/>
        <v/>
      </c>
    </row>
    <row r="403" spans="1:18" x14ac:dyDescent="0.2">
      <c r="A403" t="s">
        <v>1894</v>
      </c>
      <c r="B403" t="s">
        <v>1895</v>
      </c>
      <c r="C403" t="s">
        <v>1896</v>
      </c>
      <c r="D403" t="s">
        <v>53</v>
      </c>
      <c r="E403">
        <v>2001</v>
      </c>
      <c r="F403" t="s">
        <v>1897</v>
      </c>
      <c r="G403" t="s">
        <v>1898</v>
      </c>
      <c r="H403" t="s">
        <v>20</v>
      </c>
      <c r="I403">
        <v>153</v>
      </c>
      <c r="J403" t="b">
        <v>0</v>
      </c>
      <c r="R403" t="str">
        <f t="shared" si="7"/>
        <v/>
      </c>
    </row>
    <row r="404" spans="1:18" x14ac:dyDescent="0.2">
      <c r="A404" t="s">
        <v>1899</v>
      </c>
      <c r="B404" t="s">
        <v>1900</v>
      </c>
      <c r="C404" t="s">
        <v>1901</v>
      </c>
      <c r="D404" t="s">
        <v>198</v>
      </c>
      <c r="E404">
        <v>2024</v>
      </c>
      <c r="F404" t="s">
        <v>25</v>
      </c>
      <c r="G404" t="s">
        <v>1902</v>
      </c>
      <c r="H404" t="s">
        <v>154</v>
      </c>
      <c r="I404">
        <v>1</v>
      </c>
      <c r="J404" t="b">
        <v>0</v>
      </c>
      <c r="R404" t="str">
        <f t="shared" si="7"/>
        <v/>
      </c>
    </row>
    <row r="405" spans="1:18" x14ac:dyDescent="0.2">
      <c r="A405" t="s">
        <v>1903</v>
      </c>
      <c r="B405" t="s">
        <v>1904</v>
      </c>
      <c r="C405" t="s">
        <v>1905</v>
      </c>
      <c r="D405" t="s">
        <v>85</v>
      </c>
      <c r="E405">
        <v>2005</v>
      </c>
      <c r="F405" t="s">
        <v>25</v>
      </c>
      <c r="G405" t="s">
        <v>1906</v>
      </c>
      <c r="H405" t="s">
        <v>154</v>
      </c>
      <c r="I405">
        <v>9</v>
      </c>
      <c r="J405" t="b">
        <v>0</v>
      </c>
      <c r="R405" t="str">
        <f t="shared" si="7"/>
        <v/>
      </c>
    </row>
    <row r="406" spans="1:18" x14ac:dyDescent="0.2">
      <c r="A406" t="s">
        <v>1907</v>
      </c>
      <c r="B406" t="s">
        <v>1908</v>
      </c>
      <c r="C406" t="s">
        <v>1909</v>
      </c>
      <c r="D406" t="s">
        <v>24</v>
      </c>
      <c r="E406">
        <v>2009</v>
      </c>
      <c r="F406" t="s">
        <v>25</v>
      </c>
      <c r="G406" t="s">
        <v>1910</v>
      </c>
      <c r="H406" t="s">
        <v>128</v>
      </c>
      <c r="I406">
        <v>39</v>
      </c>
      <c r="J406" t="b">
        <v>0</v>
      </c>
      <c r="R406" t="str">
        <f t="shared" si="7"/>
        <v/>
      </c>
    </row>
    <row r="407" spans="1:18" x14ac:dyDescent="0.2">
      <c r="A407" t="s">
        <v>1911</v>
      </c>
      <c r="B407" t="s">
        <v>1912</v>
      </c>
      <c r="C407" t="s">
        <v>1913</v>
      </c>
      <c r="D407" t="s">
        <v>152</v>
      </c>
      <c r="E407">
        <v>2005</v>
      </c>
      <c r="F407" t="s">
        <v>25</v>
      </c>
      <c r="G407" t="s">
        <v>1914</v>
      </c>
      <c r="H407" t="s">
        <v>111</v>
      </c>
      <c r="I407">
        <v>62</v>
      </c>
      <c r="J407" t="b">
        <v>0</v>
      </c>
      <c r="R407" t="str">
        <f t="shared" si="7"/>
        <v/>
      </c>
    </row>
    <row r="408" spans="1:18" x14ac:dyDescent="0.2">
      <c r="A408" t="s">
        <v>1915</v>
      </c>
      <c r="B408" t="s">
        <v>1916</v>
      </c>
      <c r="C408" t="s">
        <v>1917</v>
      </c>
      <c r="D408" t="s">
        <v>85</v>
      </c>
      <c r="E408">
        <v>2001</v>
      </c>
      <c r="F408" t="s">
        <v>1918</v>
      </c>
      <c r="G408" t="s">
        <v>1919</v>
      </c>
      <c r="H408" t="s">
        <v>20</v>
      </c>
      <c r="I408">
        <v>53</v>
      </c>
      <c r="J408" t="b">
        <v>0</v>
      </c>
      <c r="R408" t="str">
        <f t="shared" si="7"/>
        <v/>
      </c>
    </row>
    <row r="409" spans="1:18" x14ac:dyDescent="0.2">
      <c r="A409" t="s">
        <v>1920</v>
      </c>
      <c r="B409" t="s">
        <v>1921</v>
      </c>
      <c r="C409" t="s">
        <v>1922</v>
      </c>
      <c r="D409" t="s">
        <v>97</v>
      </c>
      <c r="E409">
        <v>2005</v>
      </c>
      <c r="F409" t="s">
        <v>1923</v>
      </c>
      <c r="G409" t="s">
        <v>1924</v>
      </c>
      <c r="H409" t="s">
        <v>20</v>
      </c>
      <c r="I409">
        <v>65</v>
      </c>
      <c r="J409" t="b">
        <v>0</v>
      </c>
      <c r="R409" t="str">
        <f t="shared" si="7"/>
        <v/>
      </c>
    </row>
    <row r="410" spans="1:18" x14ac:dyDescent="0.2">
      <c r="A410" t="s">
        <v>1925</v>
      </c>
      <c r="B410" t="s">
        <v>1926</v>
      </c>
      <c r="C410" t="s">
        <v>1927</v>
      </c>
      <c r="D410" t="s">
        <v>36</v>
      </c>
      <c r="E410">
        <v>2023</v>
      </c>
      <c r="F410" t="s">
        <v>25</v>
      </c>
      <c r="G410" t="s">
        <v>1928</v>
      </c>
      <c r="H410" t="s">
        <v>154</v>
      </c>
      <c r="I410">
        <v>1</v>
      </c>
      <c r="J410" t="b">
        <v>0</v>
      </c>
      <c r="R410" t="str">
        <f t="shared" si="7"/>
        <v/>
      </c>
    </row>
    <row r="411" spans="1:18" x14ac:dyDescent="0.2">
      <c r="A411" t="s">
        <v>1929</v>
      </c>
      <c r="B411" t="s">
        <v>1930</v>
      </c>
      <c r="C411" t="s">
        <v>1931</v>
      </c>
      <c r="D411" t="s">
        <v>53</v>
      </c>
      <c r="E411">
        <v>1990</v>
      </c>
      <c r="F411" t="s">
        <v>1932</v>
      </c>
      <c r="G411" t="s">
        <v>1933</v>
      </c>
      <c r="H411" t="s">
        <v>128</v>
      </c>
      <c r="I411">
        <v>33</v>
      </c>
      <c r="J411" t="b">
        <v>0</v>
      </c>
      <c r="R411" t="str">
        <f t="shared" si="7"/>
        <v/>
      </c>
    </row>
    <row r="412" spans="1:18" x14ac:dyDescent="0.2">
      <c r="A412" t="s">
        <v>1934</v>
      </c>
      <c r="B412" t="s">
        <v>1935</v>
      </c>
      <c r="C412" t="s">
        <v>1936</v>
      </c>
      <c r="D412" t="s">
        <v>53</v>
      </c>
      <c r="E412">
        <v>2005</v>
      </c>
      <c r="F412" t="s">
        <v>25</v>
      </c>
      <c r="G412" t="s">
        <v>1937</v>
      </c>
      <c r="H412" t="s">
        <v>128</v>
      </c>
      <c r="I412">
        <v>19</v>
      </c>
      <c r="J412" t="b">
        <v>0</v>
      </c>
      <c r="R412" t="str">
        <f t="shared" si="7"/>
        <v/>
      </c>
    </row>
    <row r="413" spans="1:18" x14ac:dyDescent="0.2">
      <c r="A413" t="s">
        <v>1938</v>
      </c>
      <c r="B413" t="s">
        <v>1939</v>
      </c>
      <c r="C413" t="s">
        <v>1940</v>
      </c>
      <c r="D413" t="s">
        <v>24</v>
      </c>
      <c r="E413">
        <v>1999</v>
      </c>
      <c r="F413" t="s">
        <v>25</v>
      </c>
      <c r="G413" t="s">
        <v>1941</v>
      </c>
      <c r="H413" t="s">
        <v>20</v>
      </c>
      <c r="I413">
        <v>12</v>
      </c>
      <c r="J413" t="b">
        <v>0</v>
      </c>
      <c r="R413" t="str">
        <f t="shared" si="7"/>
        <v/>
      </c>
    </row>
    <row r="414" spans="1:18" x14ac:dyDescent="0.2">
      <c r="A414" t="s">
        <v>1942</v>
      </c>
      <c r="B414" t="s">
        <v>1943</v>
      </c>
      <c r="C414" t="s">
        <v>1944</v>
      </c>
      <c r="D414" t="s">
        <v>24</v>
      </c>
      <c r="E414">
        <v>2018</v>
      </c>
      <c r="F414" t="s">
        <v>25</v>
      </c>
      <c r="G414" t="s">
        <v>1945</v>
      </c>
      <c r="H414" t="s">
        <v>20</v>
      </c>
      <c r="I414">
        <v>28</v>
      </c>
      <c r="J414" t="b">
        <v>0</v>
      </c>
      <c r="R414" t="str">
        <f t="shared" si="7"/>
        <v/>
      </c>
    </row>
    <row r="415" spans="1:18" x14ac:dyDescent="0.2">
      <c r="A415" t="s">
        <v>1946</v>
      </c>
      <c r="B415" t="s">
        <v>1947</v>
      </c>
      <c r="C415" t="s">
        <v>1948</v>
      </c>
      <c r="D415" t="s">
        <v>17</v>
      </c>
      <c r="E415">
        <v>2010</v>
      </c>
      <c r="F415" t="s">
        <v>1949</v>
      </c>
      <c r="G415" t="s">
        <v>1950</v>
      </c>
      <c r="H415" t="s">
        <v>61</v>
      </c>
      <c r="I415">
        <v>20</v>
      </c>
      <c r="J415" t="b">
        <v>0</v>
      </c>
      <c r="R415" t="str">
        <f t="shared" si="7"/>
        <v/>
      </c>
    </row>
    <row r="416" spans="1:18" x14ac:dyDescent="0.2">
      <c r="A416" t="s">
        <v>1951</v>
      </c>
      <c r="B416" t="s">
        <v>1952</v>
      </c>
      <c r="C416" t="s">
        <v>1953</v>
      </c>
      <c r="D416" t="s">
        <v>85</v>
      </c>
      <c r="E416">
        <v>2000</v>
      </c>
      <c r="F416" t="s">
        <v>1954</v>
      </c>
      <c r="G416" t="s">
        <v>1955</v>
      </c>
      <c r="H416" t="s">
        <v>1956</v>
      </c>
      <c r="I416">
        <v>135</v>
      </c>
      <c r="J416" t="b">
        <v>0</v>
      </c>
      <c r="R416" t="str">
        <f t="shared" si="7"/>
        <v/>
      </c>
    </row>
    <row r="417" spans="1:18" x14ac:dyDescent="0.2">
      <c r="A417" t="s">
        <v>1957</v>
      </c>
      <c r="B417" t="s">
        <v>1958</v>
      </c>
      <c r="C417" t="s">
        <v>1959</v>
      </c>
      <c r="D417" t="s">
        <v>24</v>
      </c>
      <c r="E417">
        <v>2016</v>
      </c>
      <c r="F417" t="s">
        <v>25</v>
      </c>
      <c r="G417" t="s">
        <v>1960</v>
      </c>
      <c r="H417" t="s">
        <v>20</v>
      </c>
      <c r="I417">
        <v>65</v>
      </c>
      <c r="J417" t="b">
        <v>0</v>
      </c>
      <c r="R417" t="str">
        <f t="shared" si="7"/>
        <v/>
      </c>
    </row>
    <row r="418" spans="1:18" x14ac:dyDescent="0.2">
      <c r="A418" t="s">
        <v>1961</v>
      </c>
      <c r="B418" t="s">
        <v>1962</v>
      </c>
      <c r="C418" t="s">
        <v>1963</v>
      </c>
      <c r="D418" t="s">
        <v>17</v>
      </c>
      <c r="E418">
        <v>2016</v>
      </c>
      <c r="F418" t="s">
        <v>1964</v>
      </c>
      <c r="G418" t="s">
        <v>1965</v>
      </c>
      <c r="H418" t="s">
        <v>154</v>
      </c>
      <c r="I418">
        <v>90</v>
      </c>
      <c r="J418" t="b">
        <v>0</v>
      </c>
      <c r="R418" t="str">
        <f t="shared" si="7"/>
        <v/>
      </c>
    </row>
    <row r="419" spans="1:18" x14ac:dyDescent="0.2">
      <c r="A419" t="s">
        <v>1966</v>
      </c>
      <c r="B419" t="s">
        <v>1967</v>
      </c>
      <c r="C419" t="s">
        <v>1968</v>
      </c>
      <c r="D419" t="s">
        <v>17</v>
      </c>
      <c r="E419">
        <v>2000</v>
      </c>
      <c r="F419" t="s">
        <v>1969</v>
      </c>
      <c r="G419" t="s">
        <v>1970</v>
      </c>
      <c r="H419" t="s">
        <v>20</v>
      </c>
      <c r="I419">
        <v>118</v>
      </c>
      <c r="J419" t="b">
        <v>0</v>
      </c>
      <c r="R419" t="str">
        <f t="shared" si="7"/>
        <v/>
      </c>
    </row>
    <row r="420" spans="1:18" x14ac:dyDescent="0.2">
      <c r="A420" t="s">
        <v>1971</v>
      </c>
      <c r="B420" t="s">
        <v>1972</v>
      </c>
      <c r="C420" t="s">
        <v>1973</v>
      </c>
      <c r="D420" t="s">
        <v>24</v>
      </c>
      <c r="E420">
        <v>1995</v>
      </c>
      <c r="F420" t="s">
        <v>25</v>
      </c>
      <c r="G420" t="s">
        <v>1974</v>
      </c>
      <c r="H420" t="s">
        <v>20</v>
      </c>
      <c r="I420">
        <v>41</v>
      </c>
      <c r="J420" t="b">
        <v>0</v>
      </c>
      <c r="R420" t="str">
        <f t="shared" si="7"/>
        <v/>
      </c>
    </row>
    <row r="421" spans="1:18" x14ac:dyDescent="0.2">
      <c r="A421" t="s">
        <v>1975</v>
      </c>
      <c r="B421" t="s">
        <v>1976</v>
      </c>
      <c r="C421" t="s">
        <v>1977</v>
      </c>
      <c r="D421" t="s">
        <v>17</v>
      </c>
      <c r="E421">
        <v>2001</v>
      </c>
      <c r="F421" t="s">
        <v>1978</v>
      </c>
      <c r="G421" t="s">
        <v>1979</v>
      </c>
      <c r="H421" t="s">
        <v>20</v>
      </c>
      <c r="I421">
        <v>482</v>
      </c>
      <c r="J421" t="b">
        <v>0</v>
      </c>
      <c r="R421" t="str">
        <f t="shared" si="7"/>
        <v/>
      </c>
    </row>
    <row r="422" spans="1:18" x14ac:dyDescent="0.2">
      <c r="A422" t="s">
        <v>1980</v>
      </c>
      <c r="B422" t="s">
        <v>1981</v>
      </c>
      <c r="C422" t="s">
        <v>1982</v>
      </c>
      <c r="D422" t="s">
        <v>152</v>
      </c>
      <c r="E422">
        <v>2013</v>
      </c>
      <c r="F422" t="s">
        <v>25</v>
      </c>
      <c r="G422" t="s">
        <v>1983</v>
      </c>
      <c r="H422" t="s">
        <v>680</v>
      </c>
      <c r="I422">
        <v>12</v>
      </c>
      <c r="J422" t="b">
        <v>0</v>
      </c>
      <c r="R422" t="str">
        <f t="shared" si="7"/>
        <v/>
      </c>
    </row>
    <row r="423" spans="1:18" x14ac:dyDescent="0.2">
      <c r="A423" t="s">
        <v>1984</v>
      </c>
      <c r="B423" t="s">
        <v>1985</v>
      </c>
      <c r="C423" t="s">
        <v>1986</v>
      </c>
      <c r="D423" t="s">
        <v>97</v>
      </c>
      <c r="E423">
        <v>2020</v>
      </c>
      <c r="F423" t="s">
        <v>1987</v>
      </c>
      <c r="G423" t="s">
        <v>1988</v>
      </c>
      <c r="H423" t="s">
        <v>20</v>
      </c>
      <c r="I423">
        <v>12</v>
      </c>
      <c r="J423" t="b">
        <v>0</v>
      </c>
      <c r="R423" t="str">
        <f t="shared" si="7"/>
        <v/>
      </c>
    </row>
    <row r="424" spans="1:18" x14ac:dyDescent="0.2">
      <c r="A424" t="s">
        <v>1989</v>
      </c>
      <c r="B424" t="s">
        <v>1990</v>
      </c>
      <c r="C424" t="s">
        <v>1991</v>
      </c>
      <c r="D424" t="s">
        <v>17</v>
      </c>
      <c r="E424">
        <v>1991</v>
      </c>
      <c r="F424" t="s">
        <v>1992</v>
      </c>
      <c r="G424" t="s">
        <v>1993</v>
      </c>
      <c r="H424" t="s">
        <v>20</v>
      </c>
      <c r="I424">
        <v>192</v>
      </c>
      <c r="J424" t="b">
        <v>0</v>
      </c>
      <c r="R424" t="str">
        <f t="shared" si="7"/>
        <v/>
      </c>
    </row>
    <row r="425" spans="1:18" x14ac:dyDescent="0.2">
      <c r="A425" t="s">
        <v>1994</v>
      </c>
      <c r="B425" t="s">
        <v>1995</v>
      </c>
      <c r="C425" t="s">
        <v>1996</v>
      </c>
      <c r="D425" t="s">
        <v>24</v>
      </c>
      <c r="E425">
        <v>2014</v>
      </c>
      <c r="F425" t="s">
        <v>25</v>
      </c>
      <c r="G425" t="s">
        <v>1997</v>
      </c>
      <c r="H425" t="s">
        <v>20</v>
      </c>
      <c r="I425">
        <v>26</v>
      </c>
      <c r="J425" t="b">
        <v>0</v>
      </c>
      <c r="R425" t="str">
        <f t="shared" si="7"/>
        <v/>
      </c>
    </row>
    <row r="426" spans="1:18" x14ac:dyDescent="0.2">
      <c r="A426" t="s">
        <v>1998</v>
      </c>
      <c r="B426" t="s">
        <v>1999</v>
      </c>
      <c r="C426" t="s">
        <v>2000</v>
      </c>
      <c r="D426" t="s">
        <v>24</v>
      </c>
      <c r="E426">
        <v>2005</v>
      </c>
      <c r="F426" t="s">
        <v>25</v>
      </c>
      <c r="G426" t="s">
        <v>2001</v>
      </c>
      <c r="H426" t="s">
        <v>20</v>
      </c>
      <c r="I426">
        <v>124</v>
      </c>
      <c r="J426" t="b">
        <v>0</v>
      </c>
      <c r="R426" t="str">
        <f t="shared" si="7"/>
        <v/>
      </c>
    </row>
    <row r="427" spans="1:18" x14ac:dyDescent="0.2">
      <c r="A427" t="s">
        <v>2002</v>
      </c>
      <c r="B427" t="s">
        <v>2003</v>
      </c>
      <c r="C427" t="s">
        <v>2004</v>
      </c>
      <c r="D427" t="s">
        <v>24</v>
      </c>
      <c r="E427">
        <v>2021</v>
      </c>
      <c r="F427" t="s">
        <v>25</v>
      </c>
      <c r="G427" t="s">
        <v>2005</v>
      </c>
      <c r="H427" t="s">
        <v>20</v>
      </c>
      <c r="I427">
        <v>8</v>
      </c>
      <c r="J427" t="b">
        <v>0</v>
      </c>
      <c r="R427" t="str">
        <f t="shared" si="7"/>
        <v/>
      </c>
    </row>
    <row r="428" spans="1:18" x14ac:dyDescent="0.2">
      <c r="A428" t="s">
        <v>2006</v>
      </c>
      <c r="B428" t="s">
        <v>2007</v>
      </c>
      <c r="C428" t="s">
        <v>2008</v>
      </c>
      <c r="D428" t="s">
        <v>17</v>
      </c>
      <c r="E428">
        <v>2010</v>
      </c>
      <c r="F428" t="s">
        <v>2009</v>
      </c>
      <c r="G428" t="s">
        <v>2010</v>
      </c>
      <c r="H428" t="s">
        <v>20</v>
      </c>
      <c r="I428">
        <v>37</v>
      </c>
      <c r="J428" t="b">
        <v>0</v>
      </c>
      <c r="R428" t="str">
        <f t="shared" si="7"/>
        <v/>
      </c>
    </row>
    <row r="429" spans="1:18" x14ac:dyDescent="0.2">
      <c r="A429" t="s">
        <v>2011</v>
      </c>
      <c r="B429" t="s">
        <v>2012</v>
      </c>
      <c r="C429" t="s">
        <v>2013</v>
      </c>
      <c r="D429" t="s">
        <v>17</v>
      </c>
      <c r="E429">
        <v>2004</v>
      </c>
      <c r="F429" t="s">
        <v>2014</v>
      </c>
      <c r="G429" t="s">
        <v>2015</v>
      </c>
      <c r="H429" t="s">
        <v>20</v>
      </c>
      <c r="I429">
        <v>34</v>
      </c>
      <c r="J429" t="b">
        <v>0</v>
      </c>
      <c r="R429" t="str">
        <f t="shared" si="7"/>
        <v/>
      </c>
    </row>
    <row r="430" spans="1:18" x14ac:dyDescent="0.2">
      <c r="A430" t="s">
        <v>2016</v>
      </c>
      <c r="B430" t="s">
        <v>2017</v>
      </c>
      <c r="C430" t="s">
        <v>2018</v>
      </c>
      <c r="D430" t="s">
        <v>85</v>
      </c>
      <c r="E430">
        <v>2019</v>
      </c>
      <c r="F430" t="s">
        <v>2019</v>
      </c>
      <c r="G430" t="s">
        <v>2020</v>
      </c>
      <c r="H430" t="s">
        <v>552</v>
      </c>
      <c r="I430">
        <v>25</v>
      </c>
      <c r="J430" t="b">
        <v>0</v>
      </c>
      <c r="R430" t="str">
        <f t="shared" si="7"/>
        <v/>
      </c>
    </row>
    <row r="431" spans="1:18" x14ac:dyDescent="0.2">
      <c r="A431" t="s">
        <v>2021</v>
      </c>
      <c r="B431" t="s">
        <v>2022</v>
      </c>
      <c r="C431" t="s">
        <v>2023</v>
      </c>
      <c r="D431" t="s">
        <v>85</v>
      </c>
      <c r="E431">
        <v>1996</v>
      </c>
      <c r="F431" t="s">
        <v>2024</v>
      </c>
      <c r="G431" t="s">
        <v>2025</v>
      </c>
      <c r="H431" t="s">
        <v>111</v>
      </c>
      <c r="I431">
        <v>394</v>
      </c>
      <c r="J431" t="b">
        <v>0</v>
      </c>
      <c r="R431" t="str">
        <f t="shared" si="7"/>
        <v/>
      </c>
    </row>
    <row r="432" spans="1:18" x14ac:dyDescent="0.2">
      <c r="A432" t="s">
        <v>2026</v>
      </c>
      <c r="B432" t="s">
        <v>2027</v>
      </c>
      <c r="C432" t="s">
        <v>2028</v>
      </c>
      <c r="D432" t="s">
        <v>198</v>
      </c>
      <c r="E432">
        <v>2014</v>
      </c>
      <c r="F432" t="s">
        <v>25</v>
      </c>
      <c r="G432" t="s">
        <v>2029</v>
      </c>
      <c r="H432" t="s">
        <v>742</v>
      </c>
      <c r="I432">
        <v>7</v>
      </c>
      <c r="J432" t="b">
        <v>0</v>
      </c>
      <c r="R432" t="str">
        <f t="shared" si="7"/>
        <v/>
      </c>
    </row>
    <row r="433" spans="1:18" x14ac:dyDescent="0.2">
      <c r="A433" t="s">
        <v>2030</v>
      </c>
      <c r="B433" t="s">
        <v>2031</v>
      </c>
      <c r="C433" t="s">
        <v>2032</v>
      </c>
      <c r="D433" t="s">
        <v>24</v>
      </c>
      <c r="E433">
        <v>2002</v>
      </c>
      <c r="F433" t="s">
        <v>25</v>
      </c>
      <c r="G433" t="s">
        <v>2033</v>
      </c>
      <c r="H433" t="s">
        <v>367</v>
      </c>
      <c r="I433">
        <v>33</v>
      </c>
      <c r="J433" t="b">
        <v>0</v>
      </c>
      <c r="R433" t="str">
        <f t="shared" si="7"/>
        <v/>
      </c>
    </row>
    <row r="434" spans="1:18" x14ac:dyDescent="0.2">
      <c r="A434" t="s">
        <v>2034</v>
      </c>
      <c r="B434" t="s">
        <v>2035</v>
      </c>
      <c r="C434" t="s">
        <v>2036</v>
      </c>
      <c r="D434" t="s">
        <v>47</v>
      </c>
      <c r="E434">
        <v>2019</v>
      </c>
      <c r="F434" t="s">
        <v>25</v>
      </c>
      <c r="G434" t="s">
        <v>2037</v>
      </c>
      <c r="H434" t="s">
        <v>20</v>
      </c>
      <c r="I434">
        <v>27</v>
      </c>
      <c r="J434" t="b">
        <v>0</v>
      </c>
      <c r="R434" t="str">
        <f t="shared" si="7"/>
        <v/>
      </c>
    </row>
    <row r="435" spans="1:18" x14ac:dyDescent="0.2">
      <c r="A435" t="s">
        <v>2038</v>
      </c>
      <c r="B435" t="s">
        <v>2039</v>
      </c>
      <c r="C435" t="s">
        <v>2040</v>
      </c>
      <c r="D435" t="s">
        <v>17</v>
      </c>
      <c r="E435">
        <v>1997</v>
      </c>
      <c r="F435" t="s">
        <v>2041</v>
      </c>
      <c r="G435" t="s">
        <v>2042</v>
      </c>
      <c r="H435" t="s">
        <v>20</v>
      </c>
      <c r="I435">
        <v>196</v>
      </c>
      <c r="J435" t="b">
        <v>0</v>
      </c>
      <c r="R435" t="str">
        <f t="shared" si="7"/>
        <v/>
      </c>
    </row>
    <row r="436" spans="1:18" x14ac:dyDescent="0.2">
      <c r="A436" t="s">
        <v>2043</v>
      </c>
      <c r="B436" t="s">
        <v>2044</v>
      </c>
      <c r="C436" t="s">
        <v>2045</v>
      </c>
      <c r="D436" t="s">
        <v>53</v>
      </c>
      <c r="E436">
        <v>2014</v>
      </c>
      <c r="F436" t="s">
        <v>25</v>
      </c>
      <c r="G436" t="s">
        <v>2046</v>
      </c>
      <c r="H436" t="s">
        <v>20</v>
      </c>
      <c r="I436">
        <v>65</v>
      </c>
      <c r="J436" t="b">
        <v>0</v>
      </c>
      <c r="R436" t="str">
        <f t="shared" si="7"/>
        <v/>
      </c>
    </row>
    <row r="437" spans="1:18" x14ac:dyDescent="0.2">
      <c r="A437" t="s">
        <v>2047</v>
      </c>
      <c r="B437" t="s">
        <v>2048</v>
      </c>
      <c r="C437" t="s">
        <v>2049</v>
      </c>
      <c r="D437" t="s">
        <v>24</v>
      </c>
      <c r="E437">
        <v>2016</v>
      </c>
      <c r="F437" t="s">
        <v>25</v>
      </c>
      <c r="G437" t="s">
        <v>2050</v>
      </c>
      <c r="H437" t="s">
        <v>20</v>
      </c>
      <c r="I437">
        <v>65</v>
      </c>
      <c r="J437" t="b">
        <v>0</v>
      </c>
      <c r="R437" t="str">
        <f t="shared" si="7"/>
        <v/>
      </c>
    </row>
    <row r="438" spans="1:18" x14ac:dyDescent="0.2">
      <c r="A438" t="s">
        <v>2051</v>
      </c>
      <c r="B438" t="s">
        <v>2052</v>
      </c>
      <c r="C438" t="s">
        <v>2053</v>
      </c>
      <c r="D438" t="s">
        <v>24</v>
      </c>
      <c r="E438">
        <v>2005</v>
      </c>
      <c r="F438" t="s">
        <v>25</v>
      </c>
      <c r="G438" t="s">
        <v>2054</v>
      </c>
      <c r="H438" t="s">
        <v>20</v>
      </c>
      <c r="I438">
        <v>261</v>
      </c>
      <c r="J438" t="b">
        <v>0</v>
      </c>
      <c r="R438" t="str">
        <f t="shared" si="7"/>
        <v/>
      </c>
    </row>
    <row r="439" spans="1:18" x14ac:dyDescent="0.2">
      <c r="A439" t="s">
        <v>2055</v>
      </c>
      <c r="B439" t="s">
        <v>2056</v>
      </c>
      <c r="C439" t="s">
        <v>2057</v>
      </c>
      <c r="D439" t="s">
        <v>24</v>
      </c>
      <c r="E439">
        <v>1996</v>
      </c>
      <c r="F439" t="s">
        <v>25</v>
      </c>
      <c r="G439" t="s">
        <v>2058</v>
      </c>
      <c r="H439" t="s">
        <v>20</v>
      </c>
      <c r="I439">
        <v>77</v>
      </c>
      <c r="J439" t="b">
        <v>0</v>
      </c>
      <c r="R439" t="str">
        <f t="shared" si="7"/>
        <v/>
      </c>
    </row>
    <row r="440" spans="1:18" x14ac:dyDescent="0.2">
      <c r="A440" t="s">
        <v>2059</v>
      </c>
      <c r="B440" t="s">
        <v>2060</v>
      </c>
      <c r="C440" t="s">
        <v>2061</v>
      </c>
      <c r="D440" t="s">
        <v>97</v>
      </c>
      <c r="E440">
        <v>2023</v>
      </c>
      <c r="F440" t="s">
        <v>2062</v>
      </c>
      <c r="G440" t="s">
        <v>2063</v>
      </c>
      <c r="H440" t="s">
        <v>254</v>
      </c>
      <c r="I440">
        <v>4</v>
      </c>
      <c r="J440" t="b">
        <v>0</v>
      </c>
      <c r="R440" t="str">
        <f t="shared" si="7"/>
        <v/>
      </c>
    </row>
    <row r="441" spans="1:18" x14ac:dyDescent="0.2">
      <c r="A441" t="s">
        <v>2064</v>
      </c>
      <c r="B441" t="s">
        <v>2065</v>
      </c>
      <c r="C441" t="s">
        <v>2066</v>
      </c>
      <c r="D441" t="s">
        <v>198</v>
      </c>
      <c r="E441">
        <v>2019</v>
      </c>
      <c r="F441" t="s">
        <v>25</v>
      </c>
      <c r="G441" t="s">
        <v>2067</v>
      </c>
      <c r="H441" t="s">
        <v>254</v>
      </c>
      <c r="I441">
        <v>3</v>
      </c>
      <c r="J441" t="b">
        <v>0</v>
      </c>
      <c r="R441" t="str">
        <f t="shared" si="7"/>
        <v/>
      </c>
    </row>
    <row r="442" spans="1:18" x14ac:dyDescent="0.2">
      <c r="A442" t="s">
        <v>2068</v>
      </c>
      <c r="B442" t="s">
        <v>2069</v>
      </c>
      <c r="C442" t="s">
        <v>2070</v>
      </c>
      <c r="D442" t="s">
        <v>24</v>
      </c>
      <c r="E442">
        <v>1992</v>
      </c>
      <c r="F442" t="s">
        <v>25</v>
      </c>
      <c r="G442" t="s">
        <v>2071</v>
      </c>
      <c r="H442" t="s">
        <v>20</v>
      </c>
      <c r="I442">
        <v>80</v>
      </c>
      <c r="J442" t="b">
        <v>0</v>
      </c>
      <c r="R442" t="str">
        <f t="shared" si="7"/>
        <v/>
      </c>
    </row>
    <row r="443" spans="1:18" x14ac:dyDescent="0.2">
      <c r="A443" t="s">
        <v>2072</v>
      </c>
      <c r="B443" t="s">
        <v>2073</v>
      </c>
      <c r="C443" t="s">
        <v>2074</v>
      </c>
      <c r="D443" t="s">
        <v>58</v>
      </c>
      <c r="E443">
        <v>2021</v>
      </c>
      <c r="F443" t="s">
        <v>2075</v>
      </c>
      <c r="G443" t="s">
        <v>2076</v>
      </c>
      <c r="H443" t="s">
        <v>128</v>
      </c>
      <c r="I443">
        <v>2</v>
      </c>
      <c r="J443" t="b">
        <v>0</v>
      </c>
      <c r="R443" t="str">
        <f t="shared" si="7"/>
        <v/>
      </c>
    </row>
    <row r="444" spans="1:18" x14ac:dyDescent="0.2">
      <c r="A444" t="s">
        <v>2077</v>
      </c>
      <c r="B444" t="s">
        <v>2078</v>
      </c>
      <c r="C444" t="s">
        <v>2079</v>
      </c>
      <c r="D444" t="s">
        <v>97</v>
      </c>
      <c r="E444">
        <v>2014</v>
      </c>
      <c r="F444" t="s">
        <v>2080</v>
      </c>
      <c r="G444" t="s">
        <v>2081</v>
      </c>
      <c r="H444" t="s">
        <v>20</v>
      </c>
      <c r="I444">
        <v>21</v>
      </c>
      <c r="J444" t="b">
        <v>0</v>
      </c>
      <c r="R444" t="str">
        <f t="shared" si="7"/>
        <v/>
      </c>
    </row>
    <row r="445" spans="1:18" x14ac:dyDescent="0.2">
      <c r="A445" t="s">
        <v>2082</v>
      </c>
      <c r="B445" t="s">
        <v>2083</v>
      </c>
      <c r="C445" t="s">
        <v>2084</v>
      </c>
      <c r="D445" t="s">
        <v>47</v>
      </c>
      <c r="E445">
        <v>2011</v>
      </c>
      <c r="F445" t="s">
        <v>25</v>
      </c>
      <c r="G445" t="s">
        <v>2085</v>
      </c>
      <c r="H445" t="s">
        <v>20</v>
      </c>
      <c r="I445">
        <v>36</v>
      </c>
      <c r="J445" t="b">
        <v>0</v>
      </c>
      <c r="R445" t="str">
        <f t="shared" si="7"/>
        <v/>
      </c>
    </row>
    <row r="446" spans="1:18" x14ac:dyDescent="0.2">
      <c r="A446" t="s">
        <v>2086</v>
      </c>
      <c r="B446" t="s">
        <v>2087</v>
      </c>
      <c r="C446" t="s">
        <v>2088</v>
      </c>
      <c r="D446" t="s">
        <v>85</v>
      </c>
      <c r="E446">
        <v>2019</v>
      </c>
      <c r="F446" t="s">
        <v>2089</v>
      </c>
      <c r="G446" t="s">
        <v>2090</v>
      </c>
      <c r="H446" t="s">
        <v>105</v>
      </c>
      <c r="I446">
        <v>31</v>
      </c>
      <c r="J446" t="b">
        <v>0</v>
      </c>
      <c r="R446" t="str">
        <f t="shared" si="7"/>
        <v/>
      </c>
    </row>
    <row r="447" spans="1:18" x14ac:dyDescent="0.2">
      <c r="A447" t="s">
        <v>2091</v>
      </c>
      <c r="B447" t="s">
        <v>2092</v>
      </c>
      <c r="C447" t="s">
        <v>2093</v>
      </c>
      <c r="D447" t="s">
        <v>24</v>
      </c>
      <c r="E447">
        <v>1998</v>
      </c>
      <c r="F447" t="s">
        <v>25</v>
      </c>
      <c r="G447" t="s">
        <v>2094</v>
      </c>
      <c r="H447" t="s">
        <v>1798</v>
      </c>
      <c r="I447">
        <v>120</v>
      </c>
      <c r="J447" t="b">
        <v>0</v>
      </c>
      <c r="R447" t="str">
        <f t="shared" si="7"/>
        <v/>
      </c>
    </row>
    <row r="448" spans="1:18" x14ac:dyDescent="0.2">
      <c r="A448" t="s">
        <v>2095</v>
      </c>
      <c r="B448" t="s">
        <v>2096</v>
      </c>
      <c r="C448" t="s">
        <v>2097</v>
      </c>
      <c r="D448" t="s">
        <v>17</v>
      </c>
      <c r="E448">
        <v>2007</v>
      </c>
      <c r="F448" t="s">
        <v>2098</v>
      </c>
      <c r="G448" t="s">
        <v>2099</v>
      </c>
      <c r="H448" t="s">
        <v>20</v>
      </c>
      <c r="I448">
        <v>198</v>
      </c>
      <c r="J448" t="b">
        <v>0</v>
      </c>
      <c r="R448" t="str">
        <f t="shared" si="7"/>
        <v/>
      </c>
    </row>
    <row r="449" spans="1:18" x14ac:dyDescent="0.2">
      <c r="A449" t="s">
        <v>2100</v>
      </c>
      <c r="B449" t="s">
        <v>2101</v>
      </c>
      <c r="C449" t="s">
        <v>2102</v>
      </c>
      <c r="D449" t="s">
        <v>97</v>
      </c>
      <c r="E449">
        <v>2017</v>
      </c>
      <c r="F449" t="s">
        <v>2103</v>
      </c>
      <c r="G449" t="s">
        <v>2104</v>
      </c>
      <c r="H449" t="s">
        <v>20</v>
      </c>
      <c r="I449">
        <v>38</v>
      </c>
      <c r="J449" t="b">
        <v>0</v>
      </c>
      <c r="R449" t="str">
        <f t="shared" si="7"/>
        <v/>
      </c>
    </row>
    <row r="450" spans="1:18" x14ac:dyDescent="0.2">
      <c r="A450" t="s">
        <v>2105</v>
      </c>
      <c r="B450" t="s">
        <v>2106</v>
      </c>
      <c r="C450" t="s">
        <v>2107</v>
      </c>
      <c r="D450" t="s">
        <v>152</v>
      </c>
      <c r="E450">
        <v>2001</v>
      </c>
      <c r="F450" t="s">
        <v>25</v>
      </c>
      <c r="G450" t="s">
        <v>2108</v>
      </c>
      <c r="H450" t="s">
        <v>77</v>
      </c>
      <c r="I450">
        <v>540</v>
      </c>
      <c r="J450" t="b">
        <v>0</v>
      </c>
      <c r="R450" t="str">
        <f t="shared" si="7"/>
        <v/>
      </c>
    </row>
    <row r="451" spans="1:18" x14ac:dyDescent="0.2">
      <c r="A451" t="s">
        <v>2109</v>
      </c>
      <c r="B451" t="s">
        <v>2110</v>
      </c>
      <c r="C451" t="s">
        <v>2111</v>
      </c>
      <c r="D451" t="s">
        <v>17</v>
      </c>
      <c r="E451">
        <v>2018</v>
      </c>
      <c r="F451" t="s">
        <v>2112</v>
      </c>
      <c r="G451" t="s">
        <v>2113</v>
      </c>
      <c r="H451" t="s">
        <v>20</v>
      </c>
      <c r="I451">
        <v>15</v>
      </c>
      <c r="J451" t="b">
        <v>0</v>
      </c>
      <c r="R451" t="str">
        <f t="shared" ref="R451:R514" si="8">IF(Q451&lt;&gt;N451,"!!!","")</f>
        <v/>
      </c>
    </row>
    <row r="452" spans="1:18" x14ac:dyDescent="0.2">
      <c r="A452" t="s">
        <v>2114</v>
      </c>
      <c r="B452" t="s">
        <v>2115</v>
      </c>
      <c r="C452" t="s">
        <v>2116</v>
      </c>
      <c r="D452" t="s">
        <v>152</v>
      </c>
      <c r="E452">
        <v>2023</v>
      </c>
      <c r="F452" t="s">
        <v>2117</v>
      </c>
      <c r="G452" t="s">
        <v>2118</v>
      </c>
      <c r="H452" t="s">
        <v>1956</v>
      </c>
      <c r="I452">
        <v>3</v>
      </c>
      <c r="J452" t="b">
        <v>0</v>
      </c>
      <c r="R452" t="str">
        <f t="shared" si="8"/>
        <v/>
      </c>
    </row>
    <row r="453" spans="1:18" x14ac:dyDescent="0.2">
      <c r="A453" t="s">
        <v>2119</v>
      </c>
      <c r="B453" t="s">
        <v>2120</v>
      </c>
      <c r="C453" t="s">
        <v>2121</v>
      </c>
      <c r="D453" t="s">
        <v>24</v>
      </c>
      <c r="E453">
        <v>1990</v>
      </c>
      <c r="F453" t="s">
        <v>25</v>
      </c>
      <c r="G453" t="s">
        <v>2122</v>
      </c>
      <c r="H453" t="s">
        <v>20</v>
      </c>
      <c r="I453">
        <v>19</v>
      </c>
      <c r="J453" t="b">
        <v>0</v>
      </c>
      <c r="R453" t="str">
        <f t="shared" si="8"/>
        <v/>
      </c>
    </row>
    <row r="454" spans="1:18" x14ac:dyDescent="0.2">
      <c r="A454" t="s">
        <v>2123</v>
      </c>
      <c r="B454" t="s">
        <v>2124</v>
      </c>
      <c r="C454" t="s">
        <v>2125</v>
      </c>
      <c r="D454" t="s">
        <v>17</v>
      </c>
      <c r="E454">
        <v>1998</v>
      </c>
      <c r="F454" t="s">
        <v>2126</v>
      </c>
      <c r="G454" t="s">
        <v>2127</v>
      </c>
      <c r="H454" t="s">
        <v>20</v>
      </c>
      <c r="I454">
        <v>50</v>
      </c>
      <c r="J454" t="b">
        <v>0</v>
      </c>
      <c r="R454" t="str">
        <f t="shared" si="8"/>
        <v/>
      </c>
    </row>
    <row r="455" spans="1:18" x14ac:dyDescent="0.2">
      <c r="A455" t="s">
        <v>2128</v>
      </c>
      <c r="B455" t="s">
        <v>2129</v>
      </c>
      <c r="C455" t="s">
        <v>2130</v>
      </c>
      <c r="D455" t="s">
        <v>24</v>
      </c>
      <c r="E455">
        <v>1990</v>
      </c>
      <c r="F455" t="s">
        <v>25</v>
      </c>
      <c r="G455" t="s">
        <v>2131</v>
      </c>
      <c r="H455" t="s">
        <v>20</v>
      </c>
      <c r="I455">
        <v>245</v>
      </c>
      <c r="J455" t="b">
        <v>0</v>
      </c>
      <c r="R455" t="str">
        <f t="shared" si="8"/>
        <v/>
      </c>
    </row>
    <row r="456" spans="1:18" x14ac:dyDescent="0.2">
      <c r="A456" t="s">
        <v>2132</v>
      </c>
      <c r="B456" t="s">
        <v>2133</v>
      </c>
      <c r="C456" t="s">
        <v>2134</v>
      </c>
      <c r="D456" t="s">
        <v>47</v>
      </c>
      <c r="E456">
        <v>2017</v>
      </c>
      <c r="F456" t="s">
        <v>25</v>
      </c>
      <c r="G456" t="s">
        <v>2135</v>
      </c>
      <c r="H456" t="s">
        <v>20</v>
      </c>
      <c r="I456">
        <v>66</v>
      </c>
      <c r="J456" t="b">
        <v>0</v>
      </c>
      <c r="R456" t="str">
        <f t="shared" si="8"/>
        <v/>
      </c>
    </row>
    <row r="457" spans="1:18" x14ac:dyDescent="0.2">
      <c r="A457" t="s">
        <v>2136</v>
      </c>
      <c r="B457" t="s">
        <v>2137</v>
      </c>
      <c r="C457" t="s">
        <v>2138</v>
      </c>
      <c r="D457" t="s">
        <v>24</v>
      </c>
      <c r="E457">
        <v>2002</v>
      </c>
      <c r="F457" t="s">
        <v>25</v>
      </c>
      <c r="G457" t="s">
        <v>2139</v>
      </c>
      <c r="H457" t="s">
        <v>20</v>
      </c>
      <c r="I457">
        <v>25</v>
      </c>
      <c r="J457" t="b">
        <v>0</v>
      </c>
      <c r="R457" t="str">
        <f t="shared" si="8"/>
        <v/>
      </c>
    </row>
    <row r="458" spans="1:18" x14ac:dyDescent="0.2">
      <c r="A458" t="s">
        <v>2140</v>
      </c>
      <c r="B458" t="s">
        <v>2141</v>
      </c>
      <c r="C458" t="s">
        <v>2142</v>
      </c>
      <c r="D458" t="s">
        <v>198</v>
      </c>
      <c r="E458">
        <v>2020</v>
      </c>
      <c r="F458" t="s">
        <v>25</v>
      </c>
      <c r="G458" t="s">
        <v>2143</v>
      </c>
      <c r="H458" t="s">
        <v>481</v>
      </c>
      <c r="I458">
        <v>7</v>
      </c>
      <c r="J458" t="b">
        <v>0</v>
      </c>
      <c r="R458" t="str">
        <f t="shared" si="8"/>
        <v/>
      </c>
    </row>
    <row r="459" spans="1:18" x14ac:dyDescent="0.2">
      <c r="A459" t="s">
        <v>2144</v>
      </c>
      <c r="B459" t="s">
        <v>2145</v>
      </c>
      <c r="C459" t="s">
        <v>2146</v>
      </c>
      <c r="D459" t="s">
        <v>97</v>
      </c>
      <c r="E459">
        <v>2001</v>
      </c>
      <c r="F459" t="s">
        <v>2147</v>
      </c>
      <c r="G459" t="s">
        <v>2148</v>
      </c>
      <c r="H459" t="s">
        <v>20</v>
      </c>
      <c r="I459">
        <v>45</v>
      </c>
      <c r="J459" t="b">
        <v>0</v>
      </c>
      <c r="R459" t="str">
        <f t="shared" si="8"/>
        <v/>
      </c>
    </row>
    <row r="460" spans="1:18" x14ac:dyDescent="0.2">
      <c r="A460" t="s">
        <v>2149</v>
      </c>
      <c r="B460" t="s">
        <v>2150</v>
      </c>
      <c r="C460" t="s">
        <v>2151</v>
      </c>
      <c r="D460" t="s">
        <v>47</v>
      </c>
      <c r="E460">
        <v>2007</v>
      </c>
      <c r="F460" t="s">
        <v>25</v>
      </c>
      <c r="G460" t="s">
        <v>2152</v>
      </c>
      <c r="H460" t="s">
        <v>20</v>
      </c>
      <c r="I460">
        <v>15</v>
      </c>
      <c r="J460" t="b">
        <v>0</v>
      </c>
      <c r="R460" t="str">
        <f t="shared" si="8"/>
        <v/>
      </c>
    </row>
    <row r="461" spans="1:18" x14ac:dyDescent="0.2">
      <c r="A461" t="s">
        <v>2153</v>
      </c>
      <c r="B461" t="s">
        <v>2154</v>
      </c>
      <c r="C461" t="s">
        <v>2155</v>
      </c>
      <c r="D461" t="s">
        <v>97</v>
      </c>
      <c r="E461">
        <v>2006</v>
      </c>
      <c r="F461" t="s">
        <v>2156</v>
      </c>
      <c r="G461" t="s">
        <v>2157</v>
      </c>
      <c r="H461" t="s">
        <v>20</v>
      </c>
      <c r="I461">
        <v>64</v>
      </c>
      <c r="J461" t="b">
        <v>0</v>
      </c>
      <c r="R461" t="str">
        <f t="shared" si="8"/>
        <v/>
      </c>
    </row>
    <row r="462" spans="1:18" x14ac:dyDescent="0.2">
      <c r="A462" t="s">
        <v>2158</v>
      </c>
      <c r="B462" t="s">
        <v>2159</v>
      </c>
      <c r="C462" t="s">
        <v>2160</v>
      </c>
      <c r="D462" t="s">
        <v>47</v>
      </c>
      <c r="E462">
        <v>2024</v>
      </c>
      <c r="F462" t="s">
        <v>25</v>
      </c>
      <c r="G462" t="s">
        <v>2161</v>
      </c>
      <c r="H462" t="s">
        <v>20</v>
      </c>
      <c r="I462">
        <v>1</v>
      </c>
      <c r="J462" t="b">
        <v>0</v>
      </c>
      <c r="R462" t="str">
        <f t="shared" si="8"/>
        <v/>
      </c>
    </row>
    <row r="463" spans="1:18" x14ac:dyDescent="0.2">
      <c r="A463" t="s">
        <v>2162</v>
      </c>
      <c r="B463" t="s">
        <v>2163</v>
      </c>
      <c r="C463" t="s">
        <v>2164</v>
      </c>
      <c r="D463" t="s">
        <v>24</v>
      </c>
      <c r="E463">
        <v>1994</v>
      </c>
      <c r="F463" t="s">
        <v>25</v>
      </c>
      <c r="G463" t="s">
        <v>2165</v>
      </c>
      <c r="H463" t="s">
        <v>20</v>
      </c>
      <c r="I463">
        <v>232</v>
      </c>
      <c r="J463" t="b">
        <v>0</v>
      </c>
      <c r="R463" t="str">
        <f t="shared" si="8"/>
        <v/>
      </c>
    </row>
    <row r="464" spans="1:18" x14ac:dyDescent="0.2">
      <c r="A464" t="s">
        <v>2166</v>
      </c>
      <c r="B464" t="s">
        <v>2167</v>
      </c>
      <c r="C464" t="s">
        <v>2168</v>
      </c>
      <c r="D464" t="s">
        <v>53</v>
      </c>
      <c r="E464">
        <v>2005</v>
      </c>
      <c r="F464" t="s">
        <v>25</v>
      </c>
      <c r="G464" t="s">
        <v>2169</v>
      </c>
      <c r="H464" t="s">
        <v>20</v>
      </c>
      <c r="I464">
        <v>139</v>
      </c>
      <c r="J464" t="b">
        <v>0</v>
      </c>
      <c r="R464" t="str">
        <f t="shared" si="8"/>
        <v/>
      </c>
    </row>
    <row r="465" spans="1:18" x14ac:dyDescent="0.2">
      <c r="A465" t="s">
        <v>2170</v>
      </c>
      <c r="B465" t="s">
        <v>2171</v>
      </c>
      <c r="C465" t="s">
        <v>2172</v>
      </c>
      <c r="D465" t="s">
        <v>47</v>
      </c>
      <c r="E465">
        <v>2018</v>
      </c>
      <c r="F465" t="s">
        <v>25</v>
      </c>
      <c r="G465" t="s">
        <v>2173</v>
      </c>
      <c r="H465" t="s">
        <v>20</v>
      </c>
      <c r="I465">
        <v>5</v>
      </c>
      <c r="J465" t="b">
        <v>0</v>
      </c>
      <c r="R465" t="str">
        <f t="shared" si="8"/>
        <v/>
      </c>
    </row>
    <row r="466" spans="1:18" x14ac:dyDescent="0.2">
      <c r="A466" t="s">
        <v>2174</v>
      </c>
      <c r="B466" t="s">
        <v>2175</v>
      </c>
      <c r="C466" t="s">
        <v>2176</v>
      </c>
      <c r="D466" t="s">
        <v>36</v>
      </c>
      <c r="E466">
        <v>2022</v>
      </c>
      <c r="F466" t="s">
        <v>25</v>
      </c>
      <c r="G466" t="s">
        <v>2177</v>
      </c>
      <c r="H466" t="s">
        <v>680</v>
      </c>
      <c r="I466">
        <v>14</v>
      </c>
      <c r="J466" t="b">
        <v>0</v>
      </c>
      <c r="R466" t="str">
        <f t="shared" si="8"/>
        <v/>
      </c>
    </row>
    <row r="467" spans="1:18" x14ac:dyDescent="0.2">
      <c r="A467" t="s">
        <v>2178</v>
      </c>
      <c r="B467" t="s">
        <v>2179</v>
      </c>
      <c r="C467" t="s">
        <v>2180</v>
      </c>
      <c r="D467" t="s">
        <v>85</v>
      </c>
      <c r="E467">
        <v>1990</v>
      </c>
      <c r="F467" t="s">
        <v>25</v>
      </c>
      <c r="G467" t="s">
        <v>2181</v>
      </c>
      <c r="H467" t="s">
        <v>154</v>
      </c>
      <c r="I467">
        <v>14</v>
      </c>
      <c r="J467" t="b">
        <v>0</v>
      </c>
      <c r="R467" t="str">
        <f t="shared" si="8"/>
        <v/>
      </c>
    </row>
    <row r="468" spans="1:18" x14ac:dyDescent="0.2">
      <c r="A468" t="s">
        <v>2182</v>
      </c>
      <c r="B468" t="s">
        <v>2183</v>
      </c>
      <c r="C468" t="s">
        <v>2184</v>
      </c>
      <c r="D468" t="s">
        <v>53</v>
      </c>
      <c r="E468">
        <v>2021</v>
      </c>
      <c r="F468" t="s">
        <v>2185</v>
      </c>
      <c r="G468" t="s">
        <v>2186</v>
      </c>
      <c r="H468" t="s">
        <v>20</v>
      </c>
      <c r="I468">
        <v>61</v>
      </c>
      <c r="J468" t="b">
        <v>0</v>
      </c>
      <c r="R468" t="str">
        <f t="shared" si="8"/>
        <v/>
      </c>
    </row>
    <row r="469" spans="1:18" x14ac:dyDescent="0.2">
      <c r="A469" t="s">
        <v>2187</v>
      </c>
      <c r="B469" t="s">
        <v>2188</v>
      </c>
      <c r="C469" t="s">
        <v>2189</v>
      </c>
      <c r="D469" t="s">
        <v>53</v>
      </c>
      <c r="E469">
        <v>2015</v>
      </c>
      <c r="F469" t="s">
        <v>25</v>
      </c>
      <c r="G469" t="s">
        <v>2190</v>
      </c>
      <c r="H469" t="s">
        <v>20</v>
      </c>
      <c r="I469">
        <v>52</v>
      </c>
      <c r="J469" t="b">
        <v>0</v>
      </c>
      <c r="R469" t="str">
        <f t="shared" si="8"/>
        <v/>
      </c>
    </row>
    <row r="470" spans="1:18" x14ac:dyDescent="0.2">
      <c r="A470" t="s">
        <v>2191</v>
      </c>
      <c r="B470" t="s">
        <v>2192</v>
      </c>
      <c r="C470" t="s">
        <v>2193</v>
      </c>
      <c r="D470" t="s">
        <v>47</v>
      </c>
      <c r="E470">
        <v>2013</v>
      </c>
      <c r="F470" t="s">
        <v>25</v>
      </c>
      <c r="G470" t="s">
        <v>2194</v>
      </c>
      <c r="H470" t="s">
        <v>20</v>
      </c>
      <c r="I470">
        <v>9</v>
      </c>
      <c r="J470" t="b">
        <v>0</v>
      </c>
      <c r="R470" t="str">
        <f t="shared" si="8"/>
        <v/>
      </c>
    </row>
    <row r="471" spans="1:18" x14ac:dyDescent="0.2">
      <c r="A471" t="s">
        <v>2195</v>
      </c>
      <c r="B471" t="s">
        <v>2196</v>
      </c>
      <c r="C471" t="s">
        <v>2197</v>
      </c>
      <c r="D471" t="s">
        <v>17</v>
      </c>
      <c r="E471">
        <v>2009</v>
      </c>
      <c r="F471" t="s">
        <v>2198</v>
      </c>
      <c r="G471" t="s">
        <v>2199</v>
      </c>
      <c r="H471" t="s">
        <v>61</v>
      </c>
      <c r="I471">
        <v>64</v>
      </c>
      <c r="J471" t="b">
        <v>0</v>
      </c>
      <c r="R471" t="str">
        <f t="shared" si="8"/>
        <v/>
      </c>
    </row>
    <row r="472" spans="1:18" x14ac:dyDescent="0.2">
      <c r="A472" t="s">
        <v>2200</v>
      </c>
      <c r="B472" t="s">
        <v>2201</v>
      </c>
      <c r="C472" t="s">
        <v>2202</v>
      </c>
      <c r="D472" t="s">
        <v>47</v>
      </c>
      <c r="E472">
        <v>2023</v>
      </c>
      <c r="F472" t="s">
        <v>25</v>
      </c>
      <c r="G472" t="s">
        <v>2203</v>
      </c>
      <c r="H472" t="s">
        <v>20</v>
      </c>
      <c r="I472">
        <v>3</v>
      </c>
      <c r="J472" t="b">
        <v>0</v>
      </c>
      <c r="R472" t="str">
        <f t="shared" si="8"/>
        <v/>
      </c>
    </row>
    <row r="473" spans="1:18" x14ac:dyDescent="0.2">
      <c r="A473" t="s">
        <v>2204</v>
      </c>
      <c r="B473" t="s">
        <v>2205</v>
      </c>
      <c r="C473" t="s">
        <v>2206</v>
      </c>
      <c r="D473" t="s">
        <v>47</v>
      </c>
      <c r="E473">
        <v>2015</v>
      </c>
      <c r="F473" t="s">
        <v>25</v>
      </c>
      <c r="G473" t="s">
        <v>2207</v>
      </c>
      <c r="H473" t="s">
        <v>20</v>
      </c>
      <c r="I473">
        <v>17</v>
      </c>
      <c r="J473" t="b">
        <v>0</v>
      </c>
      <c r="R473" t="str">
        <f t="shared" si="8"/>
        <v/>
      </c>
    </row>
    <row r="474" spans="1:18" x14ac:dyDescent="0.2">
      <c r="A474" t="s">
        <v>2208</v>
      </c>
      <c r="B474" t="s">
        <v>2209</v>
      </c>
      <c r="C474" t="s">
        <v>2210</v>
      </c>
      <c r="D474" t="s">
        <v>17</v>
      </c>
      <c r="E474">
        <v>1990</v>
      </c>
      <c r="F474" t="s">
        <v>2211</v>
      </c>
      <c r="G474" t="s">
        <v>2212</v>
      </c>
      <c r="H474" t="s">
        <v>20</v>
      </c>
      <c r="I474">
        <v>80</v>
      </c>
      <c r="J474" t="b">
        <v>0</v>
      </c>
      <c r="R474" t="str">
        <f t="shared" si="8"/>
        <v/>
      </c>
    </row>
    <row r="475" spans="1:18" x14ac:dyDescent="0.2">
      <c r="A475" t="s">
        <v>2213</v>
      </c>
      <c r="B475" t="s">
        <v>2214</v>
      </c>
      <c r="C475" t="s">
        <v>2215</v>
      </c>
      <c r="D475" t="s">
        <v>97</v>
      </c>
      <c r="E475">
        <v>2016</v>
      </c>
      <c r="F475" t="s">
        <v>2216</v>
      </c>
      <c r="G475" t="s">
        <v>2217</v>
      </c>
      <c r="H475" t="s">
        <v>20</v>
      </c>
      <c r="I475">
        <v>17</v>
      </c>
      <c r="J475" t="b">
        <v>0</v>
      </c>
      <c r="R475" t="str">
        <f t="shared" si="8"/>
        <v/>
      </c>
    </row>
    <row r="476" spans="1:18" x14ac:dyDescent="0.2">
      <c r="A476" t="s">
        <v>2218</v>
      </c>
      <c r="B476" t="s">
        <v>2219</v>
      </c>
      <c r="C476" t="s">
        <v>2220</v>
      </c>
      <c r="D476" t="s">
        <v>17</v>
      </c>
      <c r="E476">
        <v>2022</v>
      </c>
      <c r="F476" t="s">
        <v>2221</v>
      </c>
      <c r="G476" t="s">
        <v>2222</v>
      </c>
      <c r="H476" t="s">
        <v>20</v>
      </c>
      <c r="I476">
        <v>6</v>
      </c>
      <c r="J476" t="b">
        <v>0</v>
      </c>
      <c r="R476" t="str">
        <f t="shared" si="8"/>
        <v/>
      </c>
    </row>
    <row r="477" spans="1:18" x14ac:dyDescent="0.2">
      <c r="A477" t="s">
        <v>2223</v>
      </c>
      <c r="B477" t="s">
        <v>2224</v>
      </c>
      <c r="C477" t="s">
        <v>2225</v>
      </c>
      <c r="D477" t="s">
        <v>97</v>
      </c>
      <c r="E477">
        <v>2009</v>
      </c>
      <c r="F477" t="s">
        <v>2226</v>
      </c>
      <c r="G477" t="s">
        <v>2227</v>
      </c>
      <c r="H477" t="s">
        <v>154</v>
      </c>
      <c r="I477">
        <v>45</v>
      </c>
      <c r="J477" t="b">
        <v>0</v>
      </c>
      <c r="R477" t="str">
        <f t="shared" si="8"/>
        <v/>
      </c>
    </row>
    <row r="478" spans="1:18" x14ac:dyDescent="0.2">
      <c r="A478" t="s">
        <v>2228</v>
      </c>
      <c r="B478" t="s">
        <v>2229</v>
      </c>
      <c r="C478" t="s">
        <v>2230</v>
      </c>
      <c r="D478" t="s">
        <v>17</v>
      </c>
      <c r="E478">
        <v>2013</v>
      </c>
      <c r="F478" t="s">
        <v>2231</v>
      </c>
      <c r="G478" t="s">
        <v>2232</v>
      </c>
      <c r="H478" t="s">
        <v>61</v>
      </c>
      <c r="I478">
        <v>97</v>
      </c>
      <c r="J478" t="b">
        <v>0</v>
      </c>
      <c r="R478" t="str">
        <f t="shared" si="8"/>
        <v/>
      </c>
    </row>
    <row r="479" spans="1:18" x14ac:dyDescent="0.2">
      <c r="A479" t="s">
        <v>2233</v>
      </c>
      <c r="B479" t="s">
        <v>2234</v>
      </c>
      <c r="C479" t="s">
        <v>2235</v>
      </c>
      <c r="D479" t="s">
        <v>24</v>
      </c>
      <c r="E479">
        <v>2016</v>
      </c>
      <c r="F479" t="s">
        <v>25</v>
      </c>
      <c r="G479" t="s">
        <v>2236</v>
      </c>
      <c r="H479" t="s">
        <v>20</v>
      </c>
      <c r="I479">
        <v>19</v>
      </c>
      <c r="J479" t="b">
        <v>0</v>
      </c>
      <c r="R479" t="str">
        <f t="shared" si="8"/>
        <v/>
      </c>
    </row>
    <row r="480" spans="1:18" x14ac:dyDescent="0.2">
      <c r="A480" t="s">
        <v>2237</v>
      </c>
      <c r="B480" t="s">
        <v>2238</v>
      </c>
      <c r="C480" t="s">
        <v>2239</v>
      </c>
      <c r="D480" t="s">
        <v>17</v>
      </c>
      <c r="E480">
        <v>2005</v>
      </c>
      <c r="F480" t="s">
        <v>2240</v>
      </c>
      <c r="G480" t="s">
        <v>2241</v>
      </c>
      <c r="H480" t="s">
        <v>20</v>
      </c>
      <c r="I480">
        <v>186</v>
      </c>
      <c r="J480" t="b">
        <v>0</v>
      </c>
      <c r="R480" t="str">
        <f t="shared" si="8"/>
        <v/>
      </c>
    </row>
    <row r="481" spans="1:18" x14ac:dyDescent="0.2">
      <c r="A481" t="s">
        <v>2242</v>
      </c>
      <c r="B481" t="s">
        <v>2243</v>
      </c>
      <c r="C481" t="s">
        <v>2244</v>
      </c>
      <c r="D481" t="s">
        <v>53</v>
      </c>
      <c r="E481">
        <v>1992</v>
      </c>
      <c r="F481" t="s">
        <v>2245</v>
      </c>
      <c r="G481" t="s">
        <v>2246</v>
      </c>
      <c r="H481" t="s">
        <v>20</v>
      </c>
      <c r="I481">
        <v>20</v>
      </c>
      <c r="J481" t="b">
        <v>0</v>
      </c>
      <c r="R481" t="str">
        <f t="shared" si="8"/>
        <v/>
      </c>
    </row>
    <row r="482" spans="1:18" x14ac:dyDescent="0.2">
      <c r="A482" t="s">
        <v>2247</v>
      </c>
      <c r="B482" t="s">
        <v>2248</v>
      </c>
      <c r="C482" t="s">
        <v>2249</v>
      </c>
      <c r="D482" t="s">
        <v>24</v>
      </c>
      <c r="E482">
        <v>1995</v>
      </c>
      <c r="F482" t="s">
        <v>25</v>
      </c>
      <c r="G482" t="s">
        <v>2250</v>
      </c>
      <c r="H482" t="s">
        <v>20</v>
      </c>
      <c r="I482">
        <v>43</v>
      </c>
      <c r="J482" t="b">
        <v>0</v>
      </c>
      <c r="R482" t="str">
        <f t="shared" si="8"/>
        <v/>
      </c>
    </row>
    <row r="483" spans="1:18" x14ac:dyDescent="0.2">
      <c r="A483" t="s">
        <v>2251</v>
      </c>
      <c r="B483" t="s">
        <v>2252</v>
      </c>
      <c r="C483" t="s">
        <v>2253</v>
      </c>
      <c r="D483" t="s">
        <v>24</v>
      </c>
      <c r="E483">
        <v>2017</v>
      </c>
      <c r="F483" t="s">
        <v>25</v>
      </c>
      <c r="G483" t="s">
        <v>2254</v>
      </c>
      <c r="H483" t="s">
        <v>20</v>
      </c>
      <c r="I483">
        <v>27</v>
      </c>
      <c r="J483" t="b">
        <v>0</v>
      </c>
      <c r="R483" t="str">
        <f t="shared" si="8"/>
        <v/>
      </c>
    </row>
    <row r="484" spans="1:18" x14ac:dyDescent="0.2">
      <c r="A484" t="s">
        <v>2255</v>
      </c>
      <c r="B484" t="s">
        <v>2256</v>
      </c>
      <c r="C484" t="s">
        <v>2257</v>
      </c>
      <c r="D484" t="s">
        <v>198</v>
      </c>
      <c r="E484">
        <v>2015</v>
      </c>
      <c r="F484" t="s">
        <v>25</v>
      </c>
      <c r="G484" t="s">
        <v>2258</v>
      </c>
      <c r="H484" t="s">
        <v>154</v>
      </c>
      <c r="I484">
        <v>16</v>
      </c>
      <c r="J484" t="b">
        <v>0</v>
      </c>
      <c r="R484" t="str">
        <f t="shared" si="8"/>
        <v/>
      </c>
    </row>
    <row r="485" spans="1:18" x14ac:dyDescent="0.2">
      <c r="A485" t="s">
        <v>2259</v>
      </c>
      <c r="B485" t="s">
        <v>2260</v>
      </c>
      <c r="C485" t="s">
        <v>2261</v>
      </c>
      <c r="D485" t="s">
        <v>58</v>
      </c>
      <c r="E485">
        <v>1998</v>
      </c>
      <c r="F485" t="s">
        <v>2262</v>
      </c>
      <c r="G485" t="s">
        <v>2263</v>
      </c>
      <c r="H485" t="s">
        <v>647</v>
      </c>
      <c r="I485">
        <v>35</v>
      </c>
      <c r="J485" t="b">
        <v>0</v>
      </c>
      <c r="R485" t="str">
        <f t="shared" si="8"/>
        <v/>
      </c>
    </row>
    <row r="486" spans="1:18" x14ac:dyDescent="0.2">
      <c r="A486" t="s">
        <v>2264</v>
      </c>
      <c r="B486" t="s">
        <v>2265</v>
      </c>
      <c r="C486" t="s">
        <v>2266</v>
      </c>
      <c r="D486" t="s">
        <v>97</v>
      </c>
      <c r="E486">
        <v>2016</v>
      </c>
      <c r="F486" t="s">
        <v>2267</v>
      </c>
      <c r="G486" t="s">
        <v>2268</v>
      </c>
      <c r="H486" t="s">
        <v>20</v>
      </c>
      <c r="I486">
        <v>21</v>
      </c>
      <c r="J486" t="b">
        <v>0</v>
      </c>
      <c r="R486" t="str">
        <f t="shared" si="8"/>
        <v/>
      </c>
    </row>
    <row r="487" spans="1:18" x14ac:dyDescent="0.2">
      <c r="A487" t="s">
        <v>2269</v>
      </c>
      <c r="B487" t="s">
        <v>2270</v>
      </c>
      <c r="C487" t="s">
        <v>2271</v>
      </c>
      <c r="D487" t="s">
        <v>24</v>
      </c>
      <c r="E487">
        <v>1990</v>
      </c>
      <c r="F487" t="s">
        <v>25</v>
      </c>
      <c r="G487" t="s">
        <v>2272</v>
      </c>
      <c r="H487" t="s">
        <v>20</v>
      </c>
      <c r="I487">
        <v>72</v>
      </c>
      <c r="J487" t="b">
        <v>0</v>
      </c>
      <c r="R487" t="str">
        <f t="shared" si="8"/>
        <v/>
      </c>
    </row>
    <row r="488" spans="1:18" x14ac:dyDescent="0.2">
      <c r="A488" t="s">
        <v>2273</v>
      </c>
      <c r="B488" t="s">
        <v>2274</v>
      </c>
      <c r="C488" t="s">
        <v>2275</v>
      </c>
      <c r="D488" t="s">
        <v>58</v>
      </c>
      <c r="E488">
        <v>1999</v>
      </c>
      <c r="F488" t="s">
        <v>2276</v>
      </c>
      <c r="G488" t="s">
        <v>2277</v>
      </c>
      <c r="H488" t="s">
        <v>105</v>
      </c>
      <c r="I488">
        <v>32</v>
      </c>
      <c r="J488" t="b">
        <v>0</v>
      </c>
      <c r="R488" t="str">
        <f t="shared" si="8"/>
        <v/>
      </c>
    </row>
    <row r="489" spans="1:18" x14ac:dyDescent="0.2">
      <c r="A489" t="s">
        <v>2278</v>
      </c>
      <c r="B489" t="s">
        <v>2279</v>
      </c>
      <c r="C489" t="s">
        <v>2280</v>
      </c>
      <c r="D489" t="s">
        <v>24</v>
      </c>
      <c r="E489">
        <v>1996</v>
      </c>
      <c r="F489" t="s">
        <v>25</v>
      </c>
      <c r="G489" t="s">
        <v>2281</v>
      </c>
      <c r="H489" t="s">
        <v>111</v>
      </c>
      <c r="I489">
        <v>13</v>
      </c>
      <c r="J489" t="b">
        <v>0</v>
      </c>
      <c r="R489" t="str">
        <f t="shared" si="8"/>
        <v/>
      </c>
    </row>
    <row r="490" spans="1:18" x14ac:dyDescent="0.2">
      <c r="A490" t="s">
        <v>2282</v>
      </c>
      <c r="B490" t="s">
        <v>2283</v>
      </c>
      <c r="C490" t="s">
        <v>2284</v>
      </c>
      <c r="D490" t="s">
        <v>24</v>
      </c>
      <c r="E490">
        <v>2015</v>
      </c>
      <c r="F490" t="s">
        <v>25</v>
      </c>
      <c r="G490" t="s">
        <v>2285</v>
      </c>
      <c r="H490" t="s">
        <v>20</v>
      </c>
      <c r="I490">
        <v>43</v>
      </c>
      <c r="J490" t="b">
        <v>0</v>
      </c>
      <c r="R490" t="str">
        <f t="shared" si="8"/>
        <v/>
      </c>
    </row>
    <row r="491" spans="1:18" x14ac:dyDescent="0.2">
      <c r="A491" t="s">
        <v>2286</v>
      </c>
      <c r="B491" t="s">
        <v>2287</v>
      </c>
      <c r="C491" t="s">
        <v>2288</v>
      </c>
      <c r="D491" t="s">
        <v>47</v>
      </c>
      <c r="E491">
        <v>2017</v>
      </c>
      <c r="F491" t="s">
        <v>25</v>
      </c>
      <c r="G491" t="s">
        <v>2289</v>
      </c>
      <c r="H491" t="s">
        <v>20</v>
      </c>
      <c r="I491">
        <v>116</v>
      </c>
      <c r="J491" t="b">
        <v>0</v>
      </c>
      <c r="R491" t="str">
        <f t="shared" si="8"/>
        <v/>
      </c>
    </row>
    <row r="492" spans="1:18" x14ac:dyDescent="0.2">
      <c r="A492" t="s">
        <v>2290</v>
      </c>
      <c r="B492" t="s">
        <v>2291</v>
      </c>
      <c r="C492" t="s">
        <v>2292</v>
      </c>
      <c r="D492" t="s">
        <v>53</v>
      </c>
      <c r="E492">
        <v>2001</v>
      </c>
      <c r="F492" t="s">
        <v>2293</v>
      </c>
      <c r="G492" t="s">
        <v>2294</v>
      </c>
      <c r="H492" t="s">
        <v>77</v>
      </c>
      <c r="I492">
        <v>89</v>
      </c>
      <c r="J492" t="b">
        <v>0</v>
      </c>
      <c r="R492" t="str">
        <f t="shared" si="8"/>
        <v/>
      </c>
    </row>
    <row r="493" spans="1:18" x14ac:dyDescent="0.2">
      <c r="A493" t="s">
        <v>2295</v>
      </c>
      <c r="B493" t="s">
        <v>2296</v>
      </c>
      <c r="C493" t="s">
        <v>2297</v>
      </c>
      <c r="D493" t="s">
        <v>24</v>
      </c>
      <c r="E493">
        <v>2011</v>
      </c>
      <c r="F493" t="s">
        <v>25</v>
      </c>
      <c r="G493" t="s">
        <v>2298</v>
      </c>
      <c r="H493" t="s">
        <v>20</v>
      </c>
      <c r="I493">
        <v>58</v>
      </c>
      <c r="J493" t="b">
        <v>0</v>
      </c>
      <c r="R493" t="str">
        <f t="shared" si="8"/>
        <v/>
      </c>
    </row>
    <row r="494" spans="1:18" x14ac:dyDescent="0.2">
      <c r="A494" t="s">
        <v>2299</v>
      </c>
      <c r="B494" t="s">
        <v>2300</v>
      </c>
      <c r="C494" t="s">
        <v>2301</v>
      </c>
      <c r="D494" t="s">
        <v>97</v>
      </c>
      <c r="E494">
        <v>2023</v>
      </c>
      <c r="F494" t="s">
        <v>2302</v>
      </c>
      <c r="G494" t="s">
        <v>2303</v>
      </c>
      <c r="H494" t="s">
        <v>20</v>
      </c>
      <c r="I494">
        <v>20</v>
      </c>
      <c r="J494" t="b">
        <v>0</v>
      </c>
      <c r="R494" t="str">
        <f t="shared" si="8"/>
        <v/>
      </c>
    </row>
    <row r="495" spans="1:18" x14ac:dyDescent="0.2">
      <c r="A495" t="s">
        <v>2304</v>
      </c>
      <c r="B495" t="s">
        <v>2305</v>
      </c>
      <c r="C495" t="s">
        <v>2306</v>
      </c>
      <c r="D495" t="s">
        <v>53</v>
      </c>
      <c r="E495">
        <v>2023</v>
      </c>
      <c r="F495" t="s">
        <v>2307</v>
      </c>
      <c r="G495" t="s">
        <v>2308</v>
      </c>
      <c r="H495" t="s">
        <v>20</v>
      </c>
      <c r="I495">
        <v>3</v>
      </c>
      <c r="J495" t="b">
        <v>0</v>
      </c>
      <c r="R495" t="str">
        <f t="shared" si="8"/>
        <v/>
      </c>
    </row>
    <row r="496" spans="1:18" x14ac:dyDescent="0.2">
      <c r="A496" t="s">
        <v>2309</v>
      </c>
      <c r="B496" t="s">
        <v>2310</v>
      </c>
      <c r="C496" t="s">
        <v>2311</v>
      </c>
      <c r="D496" t="s">
        <v>17</v>
      </c>
      <c r="E496">
        <v>2005</v>
      </c>
      <c r="F496" t="s">
        <v>2312</v>
      </c>
      <c r="G496" t="s">
        <v>2313</v>
      </c>
      <c r="H496" t="s">
        <v>20</v>
      </c>
      <c r="I496">
        <v>51</v>
      </c>
      <c r="J496" t="b">
        <v>0</v>
      </c>
      <c r="R496" t="str">
        <f t="shared" si="8"/>
        <v/>
      </c>
    </row>
    <row r="497" spans="1:18" x14ac:dyDescent="0.2">
      <c r="A497" t="s">
        <v>2314</v>
      </c>
      <c r="B497" t="s">
        <v>2315</v>
      </c>
      <c r="C497" t="s">
        <v>2316</v>
      </c>
      <c r="D497" t="s">
        <v>24</v>
      </c>
      <c r="E497">
        <v>2021</v>
      </c>
      <c r="F497" t="s">
        <v>25</v>
      </c>
      <c r="G497" t="s">
        <v>2317</v>
      </c>
      <c r="H497" t="s">
        <v>20</v>
      </c>
      <c r="I497">
        <v>18</v>
      </c>
      <c r="J497" t="b">
        <v>0</v>
      </c>
      <c r="R497" t="str">
        <f t="shared" si="8"/>
        <v/>
      </c>
    </row>
    <row r="498" spans="1:18" x14ac:dyDescent="0.2">
      <c r="A498" t="s">
        <v>2318</v>
      </c>
      <c r="B498" t="s">
        <v>2319</v>
      </c>
      <c r="C498" t="s">
        <v>2320</v>
      </c>
      <c r="D498" t="s">
        <v>24</v>
      </c>
      <c r="E498">
        <v>2016</v>
      </c>
      <c r="F498" t="s">
        <v>25</v>
      </c>
      <c r="G498" t="s">
        <v>2321</v>
      </c>
      <c r="H498" t="s">
        <v>20</v>
      </c>
      <c r="I498">
        <v>6</v>
      </c>
      <c r="J498" t="b">
        <v>0</v>
      </c>
      <c r="R498" t="str">
        <f t="shared" si="8"/>
        <v/>
      </c>
    </row>
    <row r="499" spans="1:18" x14ac:dyDescent="0.2">
      <c r="A499" t="s">
        <v>2322</v>
      </c>
      <c r="B499" t="s">
        <v>2323</v>
      </c>
      <c r="C499" t="s">
        <v>2324</v>
      </c>
      <c r="D499" t="s">
        <v>152</v>
      </c>
      <c r="E499">
        <v>1997</v>
      </c>
      <c r="F499" t="s">
        <v>25</v>
      </c>
      <c r="G499" t="s">
        <v>2325</v>
      </c>
      <c r="H499" t="s">
        <v>111</v>
      </c>
      <c r="I499">
        <v>21</v>
      </c>
      <c r="J499" t="b">
        <v>0</v>
      </c>
      <c r="R499" t="str">
        <f t="shared" si="8"/>
        <v/>
      </c>
    </row>
    <row r="500" spans="1:18" x14ac:dyDescent="0.2">
      <c r="A500" t="s">
        <v>2326</v>
      </c>
      <c r="B500" t="s">
        <v>2327</v>
      </c>
      <c r="C500" t="s">
        <v>2328</v>
      </c>
      <c r="D500" t="s">
        <v>152</v>
      </c>
      <c r="E500">
        <v>1994</v>
      </c>
      <c r="F500" t="s">
        <v>25</v>
      </c>
      <c r="G500" t="s">
        <v>2329</v>
      </c>
      <c r="H500" t="s">
        <v>154</v>
      </c>
      <c r="I500">
        <v>41</v>
      </c>
      <c r="J500" t="b">
        <v>0</v>
      </c>
      <c r="R500" t="str">
        <f t="shared" si="8"/>
        <v/>
      </c>
    </row>
    <row r="501" spans="1:18" x14ac:dyDescent="0.2">
      <c r="A501" t="s">
        <v>2330</v>
      </c>
      <c r="B501" t="s">
        <v>2331</v>
      </c>
      <c r="C501" t="s">
        <v>2332</v>
      </c>
      <c r="D501" t="s">
        <v>97</v>
      </c>
      <c r="E501">
        <v>2014</v>
      </c>
      <c r="F501" t="s">
        <v>2333</v>
      </c>
      <c r="G501" t="s">
        <v>2334</v>
      </c>
      <c r="H501" t="s">
        <v>20</v>
      </c>
      <c r="I501">
        <v>12</v>
      </c>
      <c r="J501" t="b">
        <v>0</v>
      </c>
      <c r="R501" t="str">
        <f t="shared" si="8"/>
        <v/>
      </c>
    </row>
    <row r="502" spans="1:18" x14ac:dyDescent="0.2">
      <c r="A502" t="s">
        <v>2335</v>
      </c>
      <c r="B502" t="s">
        <v>2336</v>
      </c>
      <c r="C502" t="s">
        <v>2337</v>
      </c>
      <c r="D502" t="s">
        <v>17</v>
      </c>
      <c r="E502">
        <v>1992</v>
      </c>
      <c r="F502" t="s">
        <v>2338</v>
      </c>
      <c r="G502" t="s">
        <v>2339</v>
      </c>
      <c r="H502" t="s">
        <v>1386</v>
      </c>
      <c r="I502">
        <v>47</v>
      </c>
      <c r="J502" t="b">
        <v>0</v>
      </c>
      <c r="R502" t="str">
        <f t="shared" si="8"/>
        <v/>
      </c>
    </row>
    <row r="503" spans="1:18" x14ac:dyDescent="0.2">
      <c r="A503" t="s">
        <v>2340</v>
      </c>
      <c r="B503" t="s">
        <v>2341</v>
      </c>
      <c r="C503" t="s">
        <v>2342</v>
      </c>
      <c r="D503" t="s">
        <v>97</v>
      </c>
      <c r="E503">
        <v>1998</v>
      </c>
      <c r="F503" t="s">
        <v>2343</v>
      </c>
      <c r="G503" t="s">
        <v>2344</v>
      </c>
      <c r="H503" t="s">
        <v>20</v>
      </c>
      <c r="I503">
        <v>87</v>
      </c>
      <c r="J503" t="b">
        <v>0</v>
      </c>
      <c r="R503" t="str">
        <f t="shared" si="8"/>
        <v/>
      </c>
    </row>
    <row r="504" spans="1:18" x14ac:dyDescent="0.2">
      <c r="A504" t="s">
        <v>2345</v>
      </c>
      <c r="B504" t="s">
        <v>2346</v>
      </c>
      <c r="C504" t="s">
        <v>2347</v>
      </c>
      <c r="D504" t="s">
        <v>24</v>
      </c>
      <c r="E504">
        <v>1995</v>
      </c>
      <c r="F504" t="s">
        <v>25</v>
      </c>
      <c r="G504" t="s">
        <v>2348</v>
      </c>
      <c r="H504" t="s">
        <v>20</v>
      </c>
      <c r="I504">
        <v>77</v>
      </c>
      <c r="J504" t="b">
        <v>0</v>
      </c>
      <c r="R504" t="str">
        <f t="shared" si="8"/>
        <v/>
      </c>
    </row>
    <row r="505" spans="1:18" x14ac:dyDescent="0.2">
      <c r="A505" t="s">
        <v>2349</v>
      </c>
      <c r="B505" t="s">
        <v>2350</v>
      </c>
      <c r="C505" t="s">
        <v>2351</v>
      </c>
      <c r="D505" t="s">
        <v>47</v>
      </c>
      <c r="E505">
        <v>2013</v>
      </c>
      <c r="F505" t="s">
        <v>25</v>
      </c>
      <c r="G505" t="s">
        <v>2352</v>
      </c>
      <c r="H505" t="s">
        <v>20</v>
      </c>
      <c r="I505">
        <v>42</v>
      </c>
      <c r="J505" t="b">
        <v>0</v>
      </c>
      <c r="R505" t="str">
        <f t="shared" si="8"/>
        <v/>
      </c>
    </row>
    <row r="506" spans="1:18" x14ac:dyDescent="0.2">
      <c r="A506" t="s">
        <v>2353</v>
      </c>
      <c r="B506" t="s">
        <v>2354</v>
      </c>
      <c r="C506" t="s">
        <v>2355</v>
      </c>
      <c r="D506" t="s">
        <v>97</v>
      </c>
      <c r="E506">
        <v>2013</v>
      </c>
      <c r="F506" t="s">
        <v>2356</v>
      </c>
      <c r="G506" t="s">
        <v>2357</v>
      </c>
      <c r="H506" t="s">
        <v>254</v>
      </c>
      <c r="I506">
        <v>36</v>
      </c>
      <c r="J506" t="b">
        <v>0</v>
      </c>
      <c r="R506" t="str">
        <f t="shared" si="8"/>
        <v/>
      </c>
    </row>
    <row r="507" spans="1:18" x14ac:dyDescent="0.2">
      <c r="A507" t="s">
        <v>2358</v>
      </c>
      <c r="B507" t="s">
        <v>2359</v>
      </c>
      <c r="C507" t="s">
        <v>2360</v>
      </c>
      <c r="D507" t="s">
        <v>24</v>
      </c>
      <c r="E507">
        <v>1991</v>
      </c>
      <c r="F507" t="s">
        <v>25</v>
      </c>
      <c r="G507" t="s">
        <v>2361</v>
      </c>
      <c r="H507" t="s">
        <v>1505</v>
      </c>
      <c r="I507">
        <v>5</v>
      </c>
      <c r="J507" t="b">
        <v>0</v>
      </c>
      <c r="R507" t="str">
        <f t="shared" si="8"/>
        <v/>
      </c>
    </row>
    <row r="508" spans="1:18" x14ac:dyDescent="0.2">
      <c r="A508" t="s">
        <v>2362</v>
      </c>
      <c r="B508" t="s">
        <v>2363</v>
      </c>
      <c r="C508" t="s">
        <v>2364</v>
      </c>
      <c r="D508" t="s">
        <v>47</v>
      </c>
      <c r="E508">
        <v>2006</v>
      </c>
      <c r="F508" t="s">
        <v>25</v>
      </c>
      <c r="G508" t="s">
        <v>2365</v>
      </c>
      <c r="H508" t="s">
        <v>20</v>
      </c>
      <c r="I508">
        <v>95</v>
      </c>
      <c r="J508" t="b">
        <v>0</v>
      </c>
      <c r="R508" t="str">
        <f t="shared" si="8"/>
        <v/>
      </c>
    </row>
    <row r="509" spans="1:18" x14ac:dyDescent="0.2">
      <c r="A509" t="s">
        <v>2366</v>
      </c>
      <c r="B509" t="s">
        <v>2367</v>
      </c>
      <c r="C509" t="s">
        <v>2368</v>
      </c>
      <c r="D509" t="s">
        <v>47</v>
      </c>
      <c r="E509">
        <v>2007</v>
      </c>
      <c r="F509" t="s">
        <v>25</v>
      </c>
      <c r="G509" t="s">
        <v>2369</v>
      </c>
      <c r="H509" t="s">
        <v>20</v>
      </c>
      <c r="I509">
        <v>20</v>
      </c>
      <c r="J509" t="b">
        <v>0</v>
      </c>
      <c r="R509" t="str">
        <f t="shared" si="8"/>
        <v/>
      </c>
    </row>
    <row r="510" spans="1:18" x14ac:dyDescent="0.2">
      <c r="A510" t="s">
        <v>2370</v>
      </c>
      <c r="B510" t="s">
        <v>2371</v>
      </c>
      <c r="C510" t="s">
        <v>2372</v>
      </c>
      <c r="D510" t="s">
        <v>152</v>
      </c>
      <c r="E510">
        <v>2018</v>
      </c>
      <c r="F510" t="s">
        <v>25</v>
      </c>
      <c r="G510" t="s">
        <v>2373</v>
      </c>
      <c r="H510" t="s">
        <v>254</v>
      </c>
      <c r="I510">
        <v>12</v>
      </c>
      <c r="J510" t="b">
        <v>0</v>
      </c>
      <c r="R510" t="str">
        <f t="shared" si="8"/>
        <v/>
      </c>
    </row>
    <row r="511" spans="1:18" x14ac:dyDescent="0.2">
      <c r="A511" t="s">
        <v>2374</v>
      </c>
      <c r="B511" t="s">
        <v>2375</v>
      </c>
      <c r="C511" t="s">
        <v>2376</v>
      </c>
      <c r="D511" t="s">
        <v>85</v>
      </c>
      <c r="E511">
        <v>2000</v>
      </c>
      <c r="F511" t="s">
        <v>2377</v>
      </c>
      <c r="G511" t="s">
        <v>2378</v>
      </c>
      <c r="H511" t="s">
        <v>20</v>
      </c>
      <c r="I511">
        <v>128</v>
      </c>
      <c r="J511" t="b">
        <v>0</v>
      </c>
      <c r="R511" t="str">
        <f t="shared" si="8"/>
        <v/>
      </c>
    </row>
    <row r="512" spans="1:18" x14ac:dyDescent="0.2">
      <c r="A512" t="s">
        <v>2379</v>
      </c>
      <c r="B512" t="s">
        <v>2380</v>
      </c>
      <c r="C512" t="s">
        <v>2381</v>
      </c>
      <c r="D512" t="s">
        <v>198</v>
      </c>
      <c r="E512">
        <v>2015</v>
      </c>
      <c r="F512" t="s">
        <v>25</v>
      </c>
      <c r="G512" t="s">
        <v>2382</v>
      </c>
      <c r="H512" t="s">
        <v>254</v>
      </c>
      <c r="I512">
        <v>76</v>
      </c>
      <c r="J512" t="b">
        <v>0</v>
      </c>
      <c r="R512" t="str">
        <f t="shared" si="8"/>
        <v/>
      </c>
    </row>
    <row r="513" spans="1:18" x14ac:dyDescent="0.2">
      <c r="A513" t="s">
        <v>2383</v>
      </c>
      <c r="B513" t="s">
        <v>2384</v>
      </c>
      <c r="C513" t="s">
        <v>2385</v>
      </c>
      <c r="D513" t="s">
        <v>97</v>
      </c>
      <c r="E513">
        <v>2019</v>
      </c>
      <c r="F513" t="s">
        <v>2386</v>
      </c>
      <c r="G513" t="s">
        <v>2387</v>
      </c>
      <c r="H513" t="s">
        <v>20</v>
      </c>
      <c r="I513">
        <v>37</v>
      </c>
      <c r="J513" t="b">
        <v>0</v>
      </c>
      <c r="R513" t="str">
        <f t="shared" si="8"/>
        <v/>
      </c>
    </row>
    <row r="514" spans="1:18" x14ac:dyDescent="0.2">
      <c r="A514" t="s">
        <v>2388</v>
      </c>
      <c r="B514" t="s">
        <v>2389</v>
      </c>
      <c r="C514" t="s">
        <v>2390</v>
      </c>
      <c r="D514" t="s">
        <v>47</v>
      </c>
      <c r="E514">
        <v>2010</v>
      </c>
      <c r="F514" t="s">
        <v>25</v>
      </c>
      <c r="G514" t="s">
        <v>2391</v>
      </c>
      <c r="H514" t="s">
        <v>20</v>
      </c>
      <c r="I514">
        <v>22</v>
      </c>
      <c r="J514" t="b">
        <v>0</v>
      </c>
      <c r="R514" t="str">
        <f t="shared" si="8"/>
        <v/>
      </c>
    </row>
    <row r="515" spans="1:18" x14ac:dyDescent="0.2">
      <c r="A515" t="s">
        <v>2392</v>
      </c>
      <c r="B515" t="s">
        <v>2393</v>
      </c>
      <c r="C515" t="s">
        <v>2394</v>
      </c>
      <c r="D515" t="s">
        <v>85</v>
      </c>
      <c r="E515">
        <v>2001</v>
      </c>
      <c r="F515" t="s">
        <v>2395</v>
      </c>
      <c r="G515" t="s">
        <v>2396</v>
      </c>
      <c r="H515" t="s">
        <v>254</v>
      </c>
      <c r="I515">
        <v>149</v>
      </c>
      <c r="J515" t="b">
        <v>0</v>
      </c>
      <c r="R515" t="str">
        <f t="shared" ref="R515:R578" si="9">IF(Q515&lt;&gt;N515,"!!!","")</f>
        <v/>
      </c>
    </row>
    <row r="516" spans="1:18" x14ac:dyDescent="0.2">
      <c r="A516" t="s">
        <v>2397</v>
      </c>
      <c r="B516" t="s">
        <v>2398</v>
      </c>
      <c r="C516" t="s">
        <v>2399</v>
      </c>
      <c r="D516" t="s">
        <v>198</v>
      </c>
      <c r="E516">
        <v>2017</v>
      </c>
      <c r="F516" t="s">
        <v>25</v>
      </c>
      <c r="G516" t="s">
        <v>2400</v>
      </c>
      <c r="H516" t="s">
        <v>2401</v>
      </c>
      <c r="I516">
        <v>6</v>
      </c>
      <c r="J516" t="b">
        <v>0</v>
      </c>
      <c r="R516" t="str">
        <f t="shared" si="9"/>
        <v/>
      </c>
    </row>
    <row r="517" spans="1:18" x14ac:dyDescent="0.2">
      <c r="A517" t="s">
        <v>2402</v>
      </c>
      <c r="B517" t="s">
        <v>2403</v>
      </c>
      <c r="C517" t="s">
        <v>2404</v>
      </c>
      <c r="D517" t="s">
        <v>47</v>
      </c>
      <c r="E517">
        <v>2017</v>
      </c>
      <c r="F517" t="s">
        <v>25</v>
      </c>
      <c r="G517" t="s">
        <v>2405</v>
      </c>
      <c r="H517" t="s">
        <v>20</v>
      </c>
      <c r="I517">
        <v>23</v>
      </c>
      <c r="J517" t="b">
        <v>0</v>
      </c>
      <c r="R517" t="str">
        <f t="shared" si="9"/>
        <v/>
      </c>
    </row>
    <row r="518" spans="1:18" x14ac:dyDescent="0.2">
      <c r="A518" t="s">
        <v>2406</v>
      </c>
      <c r="B518" t="s">
        <v>2407</v>
      </c>
      <c r="C518" t="s">
        <v>2408</v>
      </c>
      <c r="D518" t="s">
        <v>85</v>
      </c>
      <c r="E518">
        <v>2007</v>
      </c>
      <c r="F518" t="s">
        <v>2409</v>
      </c>
      <c r="G518" t="s">
        <v>2410</v>
      </c>
      <c r="H518" t="s">
        <v>20</v>
      </c>
      <c r="I518">
        <v>28</v>
      </c>
      <c r="J518" t="b">
        <v>0</v>
      </c>
      <c r="R518" t="str">
        <f t="shared" si="9"/>
        <v/>
      </c>
    </row>
    <row r="519" spans="1:18" x14ac:dyDescent="0.2">
      <c r="A519" t="s">
        <v>2411</v>
      </c>
      <c r="B519" t="s">
        <v>2412</v>
      </c>
      <c r="C519" t="s">
        <v>2413</v>
      </c>
      <c r="D519" t="s">
        <v>152</v>
      </c>
      <c r="E519">
        <v>2000</v>
      </c>
      <c r="F519" t="s">
        <v>25</v>
      </c>
      <c r="G519" t="s">
        <v>2414</v>
      </c>
      <c r="H519" t="s">
        <v>2415</v>
      </c>
      <c r="I519">
        <v>72</v>
      </c>
      <c r="J519" t="b">
        <v>0</v>
      </c>
      <c r="R519" t="str">
        <f t="shared" si="9"/>
        <v/>
      </c>
    </row>
    <row r="520" spans="1:18" x14ac:dyDescent="0.2">
      <c r="A520" t="s">
        <v>2416</v>
      </c>
      <c r="B520" t="s">
        <v>2417</v>
      </c>
      <c r="C520" t="s">
        <v>2418</v>
      </c>
      <c r="D520" t="s">
        <v>17</v>
      </c>
      <c r="E520">
        <v>2014</v>
      </c>
      <c r="F520" t="s">
        <v>2419</v>
      </c>
      <c r="G520" t="s">
        <v>2420</v>
      </c>
      <c r="H520" t="s">
        <v>20</v>
      </c>
      <c r="I520">
        <v>119</v>
      </c>
      <c r="J520" t="b">
        <v>0</v>
      </c>
      <c r="R520" t="str">
        <f t="shared" si="9"/>
        <v/>
      </c>
    </row>
    <row r="521" spans="1:18" x14ac:dyDescent="0.2">
      <c r="A521" t="s">
        <v>2421</v>
      </c>
      <c r="B521" t="s">
        <v>2422</v>
      </c>
      <c r="C521" t="s">
        <v>2423</v>
      </c>
      <c r="D521" t="s">
        <v>85</v>
      </c>
      <c r="E521">
        <v>1990</v>
      </c>
      <c r="F521" t="s">
        <v>25</v>
      </c>
      <c r="G521" t="s">
        <v>2424</v>
      </c>
      <c r="H521" t="s">
        <v>1956</v>
      </c>
      <c r="I521">
        <v>12</v>
      </c>
      <c r="J521" t="b">
        <v>0</v>
      </c>
      <c r="R521" t="str">
        <f t="shared" si="9"/>
        <v/>
      </c>
    </row>
    <row r="522" spans="1:18" x14ac:dyDescent="0.2">
      <c r="A522" t="s">
        <v>2425</v>
      </c>
      <c r="B522" t="s">
        <v>2426</v>
      </c>
      <c r="C522" t="s">
        <v>2427</v>
      </c>
      <c r="D522" t="s">
        <v>17</v>
      </c>
      <c r="E522">
        <v>2009</v>
      </c>
      <c r="F522" t="s">
        <v>2428</v>
      </c>
      <c r="G522" t="s">
        <v>2429</v>
      </c>
      <c r="H522" t="s">
        <v>20</v>
      </c>
      <c r="I522">
        <v>57</v>
      </c>
      <c r="J522" t="b">
        <v>0</v>
      </c>
      <c r="R522" t="str">
        <f t="shared" si="9"/>
        <v/>
      </c>
    </row>
    <row r="523" spans="1:18" x14ac:dyDescent="0.2">
      <c r="A523" t="s">
        <v>2430</v>
      </c>
      <c r="B523" t="s">
        <v>2431</v>
      </c>
      <c r="C523" t="s">
        <v>2432</v>
      </c>
      <c r="D523" t="s">
        <v>17</v>
      </c>
      <c r="E523">
        <v>2006</v>
      </c>
      <c r="F523" t="s">
        <v>2433</v>
      </c>
      <c r="G523" t="s">
        <v>2434</v>
      </c>
      <c r="H523" t="s">
        <v>20</v>
      </c>
      <c r="I523">
        <v>49</v>
      </c>
      <c r="J523" t="b">
        <v>0</v>
      </c>
      <c r="R523" t="str">
        <f t="shared" si="9"/>
        <v/>
      </c>
    </row>
    <row r="524" spans="1:18" x14ac:dyDescent="0.2">
      <c r="A524" t="s">
        <v>2435</v>
      </c>
      <c r="B524" t="s">
        <v>2436</v>
      </c>
      <c r="C524" t="s">
        <v>2437</v>
      </c>
      <c r="D524" t="s">
        <v>17</v>
      </c>
      <c r="E524">
        <v>2006</v>
      </c>
      <c r="F524" t="s">
        <v>2438</v>
      </c>
      <c r="G524" t="s">
        <v>2439</v>
      </c>
      <c r="H524" t="s">
        <v>20</v>
      </c>
      <c r="I524">
        <v>48</v>
      </c>
      <c r="J524" t="b">
        <v>0</v>
      </c>
      <c r="R524" t="str">
        <f t="shared" si="9"/>
        <v/>
      </c>
    </row>
    <row r="525" spans="1:18" x14ac:dyDescent="0.2">
      <c r="A525" t="s">
        <v>2440</v>
      </c>
      <c r="B525" t="s">
        <v>2441</v>
      </c>
      <c r="C525" t="s">
        <v>2442</v>
      </c>
      <c r="D525" t="s">
        <v>97</v>
      </c>
      <c r="E525">
        <v>2008</v>
      </c>
      <c r="F525" t="s">
        <v>2443</v>
      </c>
      <c r="G525" t="s">
        <v>2444</v>
      </c>
      <c r="H525" t="s">
        <v>111</v>
      </c>
      <c r="I525">
        <v>34</v>
      </c>
      <c r="J525" t="b">
        <v>0</v>
      </c>
      <c r="R525" t="str">
        <f t="shared" si="9"/>
        <v/>
      </c>
    </row>
    <row r="526" spans="1:18" x14ac:dyDescent="0.2">
      <c r="A526" t="s">
        <v>2445</v>
      </c>
      <c r="B526" t="s">
        <v>2446</v>
      </c>
      <c r="C526" t="s">
        <v>2447</v>
      </c>
      <c r="D526" t="s">
        <v>24</v>
      </c>
      <c r="E526">
        <v>1994</v>
      </c>
      <c r="F526" t="s">
        <v>25</v>
      </c>
      <c r="G526" t="s">
        <v>2448</v>
      </c>
      <c r="H526" t="s">
        <v>20</v>
      </c>
      <c r="I526">
        <v>47</v>
      </c>
      <c r="J526" t="b">
        <v>0</v>
      </c>
      <c r="R526" t="str">
        <f t="shared" si="9"/>
        <v/>
      </c>
    </row>
    <row r="527" spans="1:18" x14ac:dyDescent="0.2">
      <c r="A527" t="s">
        <v>2449</v>
      </c>
      <c r="B527" t="s">
        <v>2450</v>
      </c>
      <c r="C527" t="s">
        <v>2451</v>
      </c>
      <c r="D527" t="s">
        <v>97</v>
      </c>
      <c r="E527">
        <v>2021</v>
      </c>
      <c r="F527" t="s">
        <v>2452</v>
      </c>
      <c r="G527" t="s">
        <v>2453</v>
      </c>
      <c r="H527" t="s">
        <v>20</v>
      </c>
      <c r="I527">
        <v>7</v>
      </c>
      <c r="J527" t="b">
        <v>0</v>
      </c>
      <c r="R527" t="str">
        <f t="shared" si="9"/>
        <v/>
      </c>
    </row>
    <row r="528" spans="1:18" x14ac:dyDescent="0.2">
      <c r="A528" t="s">
        <v>2454</v>
      </c>
      <c r="B528" t="s">
        <v>2455</v>
      </c>
      <c r="C528" t="s">
        <v>2456</v>
      </c>
      <c r="D528" t="s">
        <v>53</v>
      </c>
      <c r="E528">
        <v>1999</v>
      </c>
      <c r="F528" t="s">
        <v>2457</v>
      </c>
      <c r="G528" t="s">
        <v>2458</v>
      </c>
      <c r="H528" t="s">
        <v>20</v>
      </c>
      <c r="I528">
        <v>43</v>
      </c>
      <c r="J528" t="b">
        <v>0</v>
      </c>
      <c r="R528" t="str">
        <f t="shared" si="9"/>
        <v/>
      </c>
    </row>
    <row r="529" spans="1:18" x14ac:dyDescent="0.2">
      <c r="A529" t="s">
        <v>2459</v>
      </c>
      <c r="B529" t="s">
        <v>2460</v>
      </c>
      <c r="C529" t="s">
        <v>2461</v>
      </c>
      <c r="D529" t="s">
        <v>24</v>
      </c>
      <c r="E529">
        <v>2014</v>
      </c>
      <c r="F529" t="s">
        <v>25</v>
      </c>
      <c r="G529" t="s">
        <v>2462</v>
      </c>
      <c r="H529" t="s">
        <v>20</v>
      </c>
      <c r="I529">
        <v>91</v>
      </c>
      <c r="J529" t="b">
        <v>0</v>
      </c>
      <c r="R529" t="str">
        <f t="shared" si="9"/>
        <v/>
      </c>
    </row>
    <row r="530" spans="1:18" x14ac:dyDescent="0.2">
      <c r="A530" t="s">
        <v>2463</v>
      </c>
      <c r="B530" t="s">
        <v>2464</v>
      </c>
      <c r="C530" t="s">
        <v>2465</v>
      </c>
      <c r="D530" t="s">
        <v>58</v>
      </c>
      <c r="E530">
        <v>1997</v>
      </c>
      <c r="F530" t="s">
        <v>2466</v>
      </c>
      <c r="G530" t="s">
        <v>2467</v>
      </c>
      <c r="H530" t="s">
        <v>647</v>
      </c>
      <c r="I530">
        <v>24</v>
      </c>
      <c r="J530" t="b">
        <v>0</v>
      </c>
      <c r="R530" t="str">
        <f t="shared" si="9"/>
        <v/>
      </c>
    </row>
    <row r="531" spans="1:18" x14ac:dyDescent="0.2">
      <c r="A531" t="s">
        <v>2468</v>
      </c>
      <c r="B531" t="s">
        <v>2469</v>
      </c>
      <c r="C531" t="s">
        <v>2470</v>
      </c>
      <c r="D531" t="s">
        <v>17</v>
      </c>
      <c r="E531">
        <v>2010</v>
      </c>
      <c r="F531" t="s">
        <v>2471</v>
      </c>
      <c r="G531" t="s">
        <v>2472</v>
      </c>
      <c r="H531" t="s">
        <v>20</v>
      </c>
      <c r="I531">
        <v>21</v>
      </c>
      <c r="J531" t="b">
        <v>0</v>
      </c>
      <c r="R531" t="str">
        <f t="shared" si="9"/>
        <v/>
      </c>
    </row>
    <row r="532" spans="1:18" x14ac:dyDescent="0.2">
      <c r="A532" t="s">
        <v>2473</v>
      </c>
      <c r="B532" t="s">
        <v>2474</v>
      </c>
      <c r="C532" t="s">
        <v>2475</v>
      </c>
      <c r="D532" t="s">
        <v>152</v>
      </c>
      <c r="E532">
        <v>2014</v>
      </c>
      <c r="F532" t="s">
        <v>25</v>
      </c>
      <c r="G532" t="s">
        <v>2476</v>
      </c>
      <c r="H532" t="s">
        <v>154</v>
      </c>
      <c r="I532">
        <v>349</v>
      </c>
      <c r="J532" t="b">
        <v>0</v>
      </c>
      <c r="R532" t="str">
        <f t="shared" si="9"/>
        <v/>
      </c>
    </row>
    <row r="533" spans="1:18" x14ac:dyDescent="0.2">
      <c r="A533" t="s">
        <v>2477</v>
      </c>
      <c r="B533" t="s">
        <v>2478</v>
      </c>
      <c r="C533" t="s">
        <v>2479</v>
      </c>
      <c r="D533" t="s">
        <v>152</v>
      </c>
      <c r="E533">
        <v>2021</v>
      </c>
      <c r="F533" t="s">
        <v>2480</v>
      </c>
      <c r="G533" t="s">
        <v>2481</v>
      </c>
      <c r="H533" t="s">
        <v>128</v>
      </c>
      <c r="I533">
        <v>6</v>
      </c>
      <c r="J533" t="b">
        <v>0</v>
      </c>
      <c r="R533" t="str">
        <f t="shared" si="9"/>
        <v/>
      </c>
    </row>
    <row r="534" spans="1:18" x14ac:dyDescent="0.2">
      <c r="A534" t="s">
        <v>2482</v>
      </c>
      <c r="B534" t="s">
        <v>2483</v>
      </c>
      <c r="C534" t="s">
        <v>2484</v>
      </c>
      <c r="D534" t="s">
        <v>152</v>
      </c>
      <c r="E534">
        <v>1990</v>
      </c>
      <c r="F534" t="s">
        <v>2485</v>
      </c>
      <c r="G534" t="s">
        <v>2486</v>
      </c>
      <c r="H534" t="s">
        <v>111</v>
      </c>
      <c r="I534">
        <v>49</v>
      </c>
      <c r="J534" t="b">
        <v>0</v>
      </c>
      <c r="R534" t="str">
        <f t="shared" si="9"/>
        <v/>
      </c>
    </row>
    <row r="535" spans="1:18" x14ac:dyDescent="0.2">
      <c r="A535" t="s">
        <v>2487</v>
      </c>
      <c r="B535" t="s">
        <v>2488</v>
      </c>
      <c r="C535" t="s">
        <v>2489</v>
      </c>
      <c r="D535" t="s">
        <v>85</v>
      </c>
      <c r="E535">
        <v>1995</v>
      </c>
      <c r="F535" t="s">
        <v>25</v>
      </c>
      <c r="G535" t="s">
        <v>2490</v>
      </c>
      <c r="H535" t="s">
        <v>1133</v>
      </c>
      <c r="I535">
        <v>36</v>
      </c>
      <c r="J535" t="b">
        <v>0</v>
      </c>
      <c r="R535" t="str">
        <f t="shared" si="9"/>
        <v/>
      </c>
    </row>
    <row r="536" spans="1:18" x14ac:dyDescent="0.2">
      <c r="A536" t="s">
        <v>2491</v>
      </c>
      <c r="B536" t="s">
        <v>2492</v>
      </c>
      <c r="C536" t="s">
        <v>2493</v>
      </c>
      <c r="D536" t="s">
        <v>198</v>
      </c>
      <c r="E536">
        <v>2021</v>
      </c>
      <c r="F536" t="s">
        <v>25</v>
      </c>
      <c r="G536" t="s">
        <v>2494</v>
      </c>
      <c r="H536" t="s">
        <v>154</v>
      </c>
      <c r="I536">
        <v>1</v>
      </c>
      <c r="J536" t="b">
        <v>0</v>
      </c>
      <c r="R536" t="str">
        <f t="shared" si="9"/>
        <v/>
      </c>
    </row>
    <row r="537" spans="1:18" x14ac:dyDescent="0.2">
      <c r="A537" t="s">
        <v>2495</v>
      </c>
      <c r="B537" t="s">
        <v>2496</v>
      </c>
      <c r="C537" t="s">
        <v>2497</v>
      </c>
      <c r="D537" t="s">
        <v>198</v>
      </c>
      <c r="E537">
        <v>2012</v>
      </c>
      <c r="F537" t="s">
        <v>25</v>
      </c>
      <c r="G537" t="s">
        <v>2498</v>
      </c>
      <c r="H537" t="s">
        <v>322</v>
      </c>
      <c r="I537">
        <v>76</v>
      </c>
      <c r="J537" t="b">
        <v>0</v>
      </c>
      <c r="R537" t="str">
        <f t="shared" si="9"/>
        <v/>
      </c>
    </row>
    <row r="538" spans="1:18" x14ac:dyDescent="0.2">
      <c r="A538" t="s">
        <v>2499</v>
      </c>
      <c r="B538" t="s">
        <v>2500</v>
      </c>
      <c r="C538" t="s">
        <v>2501</v>
      </c>
      <c r="D538" t="s">
        <v>152</v>
      </c>
      <c r="E538">
        <v>2005</v>
      </c>
      <c r="F538" t="s">
        <v>25</v>
      </c>
      <c r="G538" t="s">
        <v>2502</v>
      </c>
      <c r="H538" t="s">
        <v>128</v>
      </c>
      <c r="I538">
        <v>91</v>
      </c>
      <c r="J538" t="b">
        <v>0</v>
      </c>
      <c r="R538" t="str">
        <f t="shared" si="9"/>
        <v/>
      </c>
    </row>
    <row r="539" spans="1:18" x14ac:dyDescent="0.2">
      <c r="A539" t="s">
        <v>2503</v>
      </c>
      <c r="B539" t="s">
        <v>2504</v>
      </c>
      <c r="C539" t="s">
        <v>2505</v>
      </c>
      <c r="D539" t="s">
        <v>17</v>
      </c>
      <c r="E539">
        <v>2006</v>
      </c>
      <c r="F539" t="s">
        <v>2506</v>
      </c>
      <c r="G539" t="s">
        <v>2507</v>
      </c>
      <c r="H539" t="s">
        <v>154</v>
      </c>
      <c r="I539">
        <v>68</v>
      </c>
      <c r="J539" t="b">
        <v>0</v>
      </c>
      <c r="R539" t="str">
        <f t="shared" si="9"/>
        <v/>
      </c>
    </row>
    <row r="540" spans="1:18" x14ac:dyDescent="0.2">
      <c r="A540" t="s">
        <v>2508</v>
      </c>
      <c r="B540" t="s">
        <v>2509</v>
      </c>
      <c r="C540" t="s">
        <v>2510</v>
      </c>
      <c r="D540" t="s">
        <v>17</v>
      </c>
      <c r="E540">
        <v>2008</v>
      </c>
      <c r="F540" t="s">
        <v>2511</v>
      </c>
      <c r="G540" t="s">
        <v>2512</v>
      </c>
      <c r="H540" t="s">
        <v>154</v>
      </c>
      <c r="I540">
        <v>168</v>
      </c>
      <c r="J540" t="b">
        <v>0</v>
      </c>
      <c r="R540" t="str">
        <f t="shared" si="9"/>
        <v/>
      </c>
    </row>
    <row r="541" spans="1:18" x14ac:dyDescent="0.2">
      <c r="A541" t="s">
        <v>2513</v>
      </c>
      <c r="B541" t="s">
        <v>2514</v>
      </c>
      <c r="C541" t="s">
        <v>2515</v>
      </c>
      <c r="D541" t="s">
        <v>152</v>
      </c>
      <c r="E541">
        <v>1994</v>
      </c>
      <c r="F541" t="s">
        <v>25</v>
      </c>
      <c r="G541" t="s">
        <v>2516</v>
      </c>
      <c r="H541" t="s">
        <v>154</v>
      </c>
      <c r="I541">
        <v>69</v>
      </c>
      <c r="J541" t="b">
        <v>0</v>
      </c>
      <c r="R541" t="str">
        <f t="shared" si="9"/>
        <v/>
      </c>
    </row>
    <row r="542" spans="1:18" x14ac:dyDescent="0.2">
      <c r="A542" t="s">
        <v>2517</v>
      </c>
      <c r="B542" t="s">
        <v>2518</v>
      </c>
      <c r="C542" t="s">
        <v>2519</v>
      </c>
      <c r="D542" t="s">
        <v>24</v>
      </c>
      <c r="E542">
        <v>2013</v>
      </c>
      <c r="F542" t="s">
        <v>25</v>
      </c>
      <c r="G542" t="s">
        <v>2520</v>
      </c>
      <c r="H542" t="s">
        <v>20</v>
      </c>
      <c r="I542">
        <v>14</v>
      </c>
      <c r="J542" t="b">
        <v>0</v>
      </c>
      <c r="R542" t="str">
        <f t="shared" si="9"/>
        <v/>
      </c>
    </row>
    <row r="543" spans="1:18" x14ac:dyDescent="0.2">
      <c r="A543" t="s">
        <v>2521</v>
      </c>
      <c r="B543" t="s">
        <v>2522</v>
      </c>
      <c r="C543" t="s">
        <v>2523</v>
      </c>
      <c r="D543" t="s">
        <v>97</v>
      </c>
      <c r="E543">
        <v>2021</v>
      </c>
      <c r="F543" t="s">
        <v>2524</v>
      </c>
      <c r="G543" t="s">
        <v>2525</v>
      </c>
      <c r="H543" t="s">
        <v>20</v>
      </c>
      <c r="I543">
        <v>10</v>
      </c>
      <c r="J543" t="b">
        <v>0</v>
      </c>
      <c r="R543" t="str">
        <f t="shared" si="9"/>
        <v/>
      </c>
    </row>
    <row r="544" spans="1:18" x14ac:dyDescent="0.2">
      <c r="A544" t="s">
        <v>2526</v>
      </c>
      <c r="B544" t="s">
        <v>2527</v>
      </c>
      <c r="C544" t="s">
        <v>2528</v>
      </c>
      <c r="D544" t="s">
        <v>24</v>
      </c>
      <c r="E544">
        <v>2011</v>
      </c>
      <c r="F544" t="s">
        <v>25</v>
      </c>
      <c r="G544" t="s">
        <v>2529</v>
      </c>
      <c r="H544" t="s">
        <v>742</v>
      </c>
      <c r="I544">
        <v>60</v>
      </c>
      <c r="J544" t="b">
        <v>0</v>
      </c>
      <c r="R544" t="str">
        <f t="shared" si="9"/>
        <v/>
      </c>
    </row>
    <row r="545" spans="1:18" x14ac:dyDescent="0.2">
      <c r="A545" t="s">
        <v>2530</v>
      </c>
      <c r="B545" t="s">
        <v>2531</v>
      </c>
      <c r="C545" t="s">
        <v>2532</v>
      </c>
      <c r="D545" t="s">
        <v>24</v>
      </c>
      <c r="E545">
        <v>2012</v>
      </c>
      <c r="F545" t="s">
        <v>25</v>
      </c>
      <c r="G545" t="s">
        <v>2533</v>
      </c>
      <c r="H545" t="s">
        <v>20</v>
      </c>
      <c r="I545">
        <v>71</v>
      </c>
      <c r="J545" t="b">
        <v>0</v>
      </c>
      <c r="R545" t="str">
        <f t="shared" si="9"/>
        <v/>
      </c>
    </row>
    <row r="546" spans="1:18" x14ac:dyDescent="0.2">
      <c r="A546" t="s">
        <v>2534</v>
      </c>
      <c r="B546" t="s">
        <v>2535</v>
      </c>
      <c r="C546" t="s">
        <v>2536</v>
      </c>
      <c r="D546" t="s">
        <v>152</v>
      </c>
      <c r="E546">
        <v>1992</v>
      </c>
      <c r="F546" t="s">
        <v>25</v>
      </c>
      <c r="G546" t="s">
        <v>2537</v>
      </c>
      <c r="H546" t="s">
        <v>680</v>
      </c>
      <c r="I546">
        <v>214</v>
      </c>
      <c r="J546" t="b">
        <v>0</v>
      </c>
      <c r="R546" t="str">
        <f t="shared" si="9"/>
        <v/>
      </c>
    </row>
    <row r="547" spans="1:18" x14ac:dyDescent="0.2">
      <c r="A547" t="s">
        <v>2538</v>
      </c>
      <c r="B547" t="s">
        <v>2539</v>
      </c>
      <c r="C547" t="s">
        <v>2540</v>
      </c>
      <c r="D547" t="s">
        <v>53</v>
      </c>
      <c r="E547">
        <v>2016</v>
      </c>
      <c r="F547" t="s">
        <v>25</v>
      </c>
      <c r="G547" t="s">
        <v>2541</v>
      </c>
      <c r="H547" t="s">
        <v>154</v>
      </c>
      <c r="I547">
        <v>9</v>
      </c>
      <c r="J547" t="b">
        <v>0</v>
      </c>
      <c r="R547" t="str">
        <f t="shared" si="9"/>
        <v/>
      </c>
    </row>
    <row r="548" spans="1:18" x14ac:dyDescent="0.2">
      <c r="A548" t="s">
        <v>2542</v>
      </c>
      <c r="B548" t="s">
        <v>2543</v>
      </c>
      <c r="C548" t="s">
        <v>2544</v>
      </c>
      <c r="D548" t="s">
        <v>24</v>
      </c>
      <c r="E548">
        <v>2022</v>
      </c>
      <c r="F548" t="s">
        <v>25</v>
      </c>
      <c r="G548" t="s">
        <v>2545</v>
      </c>
      <c r="H548" t="s">
        <v>128</v>
      </c>
      <c r="I548">
        <v>14</v>
      </c>
      <c r="J548" t="b">
        <v>0</v>
      </c>
      <c r="R548" t="str">
        <f t="shared" si="9"/>
        <v/>
      </c>
    </row>
    <row r="549" spans="1:18" x14ac:dyDescent="0.2">
      <c r="A549" t="s">
        <v>2546</v>
      </c>
      <c r="B549" t="s">
        <v>2547</v>
      </c>
      <c r="C549" t="s">
        <v>2548</v>
      </c>
      <c r="D549" t="s">
        <v>97</v>
      </c>
      <c r="E549">
        <v>2006</v>
      </c>
      <c r="F549" t="s">
        <v>2549</v>
      </c>
      <c r="G549" t="s">
        <v>2550</v>
      </c>
      <c r="H549" t="s">
        <v>154</v>
      </c>
      <c r="I549">
        <v>88</v>
      </c>
      <c r="J549" t="b">
        <v>0</v>
      </c>
      <c r="R549" t="str">
        <f t="shared" si="9"/>
        <v/>
      </c>
    </row>
    <row r="550" spans="1:18" x14ac:dyDescent="0.2">
      <c r="A550" t="s">
        <v>2551</v>
      </c>
      <c r="B550" t="s">
        <v>2552</v>
      </c>
      <c r="C550" t="s">
        <v>2553</v>
      </c>
      <c r="D550" t="s">
        <v>53</v>
      </c>
      <c r="E550">
        <v>1998</v>
      </c>
      <c r="F550" t="s">
        <v>2554</v>
      </c>
      <c r="G550" t="s">
        <v>2555</v>
      </c>
      <c r="H550" t="s">
        <v>20</v>
      </c>
      <c r="I550">
        <v>89</v>
      </c>
      <c r="J550" t="b">
        <v>0</v>
      </c>
      <c r="R550" t="str">
        <f t="shared" si="9"/>
        <v/>
      </c>
    </row>
    <row r="551" spans="1:18" x14ac:dyDescent="0.2">
      <c r="A551" t="s">
        <v>2556</v>
      </c>
      <c r="B551" t="s">
        <v>2557</v>
      </c>
      <c r="C551" t="s">
        <v>2558</v>
      </c>
      <c r="D551" t="s">
        <v>24</v>
      </c>
      <c r="E551">
        <v>2021</v>
      </c>
      <c r="F551" t="s">
        <v>25</v>
      </c>
      <c r="G551" t="s">
        <v>2559</v>
      </c>
      <c r="H551" t="s">
        <v>20</v>
      </c>
      <c r="I551">
        <v>4</v>
      </c>
      <c r="J551" t="b">
        <v>0</v>
      </c>
      <c r="R551" t="str">
        <f t="shared" si="9"/>
        <v/>
      </c>
    </row>
    <row r="552" spans="1:18" x14ac:dyDescent="0.2">
      <c r="A552" t="s">
        <v>2560</v>
      </c>
      <c r="B552" t="s">
        <v>2561</v>
      </c>
      <c r="C552" t="s">
        <v>2562</v>
      </c>
      <c r="D552" t="s">
        <v>58</v>
      </c>
      <c r="E552">
        <v>2016</v>
      </c>
      <c r="F552" t="s">
        <v>2563</v>
      </c>
      <c r="G552" t="s">
        <v>2564</v>
      </c>
      <c r="H552" t="s">
        <v>20</v>
      </c>
      <c r="I552">
        <v>9</v>
      </c>
      <c r="J552" t="b">
        <v>0</v>
      </c>
      <c r="R552" t="str">
        <f t="shared" si="9"/>
        <v/>
      </c>
    </row>
    <row r="553" spans="1:18" x14ac:dyDescent="0.2">
      <c r="A553" t="s">
        <v>2565</v>
      </c>
      <c r="B553" t="s">
        <v>2566</v>
      </c>
      <c r="C553" t="s">
        <v>2567</v>
      </c>
      <c r="D553" t="s">
        <v>24</v>
      </c>
      <c r="E553">
        <v>1990</v>
      </c>
      <c r="F553" t="s">
        <v>25</v>
      </c>
      <c r="G553" t="s">
        <v>2568</v>
      </c>
      <c r="H553" t="s">
        <v>20</v>
      </c>
      <c r="I553">
        <v>42</v>
      </c>
      <c r="J553" t="b">
        <v>0</v>
      </c>
      <c r="R553" t="str">
        <f t="shared" si="9"/>
        <v/>
      </c>
    </row>
    <row r="554" spans="1:18" x14ac:dyDescent="0.2">
      <c r="A554" t="s">
        <v>2569</v>
      </c>
      <c r="B554" t="s">
        <v>2570</v>
      </c>
      <c r="C554" t="s">
        <v>2571</v>
      </c>
      <c r="D554" t="s">
        <v>152</v>
      </c>
      <c r="E554">
        <v>2019</v>
      </c>
      <c r="F554" t="s">
        <v>2572</v>
      </c>
      <c r="G554" t="s">
        <v>2573</v>
      </c>
      <c r="H554" t="s">
        <v>254</v>
      </c>
      <c r="I554">
        <v>25</v>
      </c>
      <c r="J554" t="b">
        <v>0</v>
      </c>
      <c r="R554" t="str">
        <f t="shared" si="9"/>
        <v/>
      </c>
    </row>
    <row r="555" spans="1:18" x14ac:dyDescent="0.2">
      <c r="A555" t="s">
        <v>2574</v>
      </c>
      <c r="B555" t="s">
        <v>2575</v>
      </c>
      <c r="C555" t="s">
        <v>2576</v>
      </c>
      <c r="D555" t="s">
        <v>58</v>
      </c>
      <c r="E555">
        <v>2010</v>
      </c>
      <c r="F555" t="s">
        <v>2577</v>
      </c>
      <c r="G555" t="s">
        <v>2578</v>
      </c>
      <c r="H555" t="s">
        <v>154</v>
      </c>
      <c r="I555">
        <v>59</v>
      </c>
      <c r="J555" t="b">
        <v>0</v>
      </c>
      <c r="R555" t="str">
        <f t="shared" si="9"/>
        <v/>
      </c>
    </row>
    <row r="556" spans="1:18" x14ac:dyDescent="0.2">
      <c r="A556" t="s">
        <v>2579</v>
      </c>
      <c r="B556" t="s">
        <v>2580</v>
      </c>
      <c r="C556" t="s">
        <v>2581</v>
      </c>
      <c r="D556" t="s">
        <v>17</v>
      </c>
      <c r="E556">
        <v>2005</v>
      </c>
      <c r="F556" t="s">
        <v>2582</v>
      </c>
      <c r="G556" t="s">
        <v>2583</v>
      </c>
      <c r="H556" t="s">
        <v>2584</v>
      </c>
      <c r="I556">
        <v>79</v>
      </c>
      <c r="J556" t="b">
        <v>0</v>
      </c>
      <c r="R556" t="str">
        <f t="shared" si="9"/>
        <v/>
      </c>
    </row>
    <row r="557" spans="1:18" x14ac:dyDescent="0.2">
      <c r="A557" t="s">
        <v>2585</v>
      </c>
      <c r="B557" t="s">
        <v>2586</v>
      </c>
      <c r="C557" t="s">
        <v>2587</v>
      </c>
      <c r="D557" t="s">
        <v>198</v>
      </c>
      <c r="E557">
        <v>2012</v>
      </c>
      <c r="F557" t="s">
        <v>25</v>
      </c>
      <c r="G557" t="s">
        <v>2588</v>
      </c>
      <c r="H557" t="s">
        <v>647</v>
      </c>
      <c r="I557">
        <v>17</v>
      </c>
      <c r="J557" t="b">
        <v>0</v>
      </c>
      <c r="R557" t="str">
        <f t="shared" si="9"/>
        <v/>
      </c>
    </row>
    <row r="558" spans="1:18" x14ac:dyDescent="0.2">
      <c r="A558" t="s">
        <v>2589</v>
      </c>
      <c r="B558" t="s">
        <v>2590</v>
      </c>
      <c r="C558" t="s">
        <v>2591</v>
      </c>
      <c r="D558" t="s">
        <v>47</v>
      </c>
      <c r="E558">
        <v>2013</v>
      </c>
      <c r="F558" t="s">
        <v>25</v>
      </c>
      <c r="G558" t="s">
        <v>2592</v>
      </c>
      <c r="H558" t="s">
        <v>20</v>
      </c>
      <c r="I558">
        <v>14</v>
      </c>
      <c r="J558" t="b">
        <v>0</v>
      </c>
      <c r="R558" t="str">
        <f t="shared" si="9"/>
        <v/>
      </c>
    </row>
    <row r="559" spans="1:18" x14ac:dyDescent="0.2">
      <c r="A559" t="s">
        <v>2593</v>
      </c>
      <c r="B559" t="s">
        <v>2594</v>
      </c>
      <c r="C559" t="s">
        <v>2595</v>
      </c>
      <c r="D559" t="s">
        <v>85</v>
      </c>
      <c r="E559">
        <v>2005</v>
      </c>
      <c r="F559" t="s">
        <v>2596</v>
      </c>
      <c r="G559" t="s">
        <v>2597</v>
      </c>
      <c r="H559" t="s">
        <v>154</v>
      </c>
      <c r="I559">
        <v>36</v>
      </c>
      <c r="J559" t="b">
        <v>0</v>
      </c>
      <c r="R559" t="str">
        <f t="shared" si="9"/>
        <v/>
      </c>
    </row>
    <row r="560" spans="1:18" x14ac:dyDescent="0.2">
      <c r="A560" t="s">
        <v>2598</v>
      </c>
      <c r="B560" t="s">
        <v>2599</v>
      </c>
      <c r="C560" t="s">
        <v>2600</v>
      </c>
      <c r="D560" t="s">
        <v>17</v>
      </c>
      <c r="E560">
        <v>2004</v>
      </c>
      <c r="F560" t="s">
        <v>2601</v>
      </c>
      <c r="G560" t="s">
        <v>2602</v>
      </c>
      <c r="H560" t="s">
        <v>111</v>
      </c>
      <c r="I560">
        <v>19</v>
      </c>
      <c r="J560" t="b">
        <v>0</v>
      </c>
      <c r="R560" t="str">
        <f t="shared" si="9"/>
        <v/>
      </c>
    </row>
    <row r="561" spans="1:18" x14ac:dyDescent="0.2">
      <c r="A561" t="s">
        <v>2603</v>
      </c>
      <c r="B561" t="s">
        <v>2604</v>
      </c>
      <c r="C561" t="s">
        <v>2605</v>
      </c>
      <c r="D561" t="s">
        <v>97</v>
      </c>
      <c r="E561">
        <v>1997</v>
      </c>
      <c r="F561" t="s">
        <v>2606</v>
      </c>
      <c r="G561" t="s">
        <v>2607</v>
      </c>
      <c r="H561" t="s">
        <v>77</v>
      </c>
      <c r="I561">
        <v>63</v>
      </c>
      <c r="J561" t="b">
        <v>0</v>
      </c>
      <c r="R561" t="str">
        <f t="shared" si="9"/>
        <v/>
      </c>
    </row>
    <row r="562" spans="1:18" x14ac:dyDescent="0.2">
      <c r="A562" t="s">
        <v>2608</v>
      </c>
      <c r="B562" t="s">
        <v>2609</v>
      </c>
      <c r="C562" t="s">
        <v>2610</v>
      </c>
      <c r="D562" t="s">
        <v>152</v>
      </c>
      <c r="E562">
        <v>2024</v>
      </c>
      <c r="F562" t="s">
        <v>25</v>
      </c>
      <c r="G562" t="s">
        <v>2611</v>
      </c>
      <c r="H562" t="s">
        <v>2612</v>
      </c>
      <c r="I562">
        <v>1</v>
      </c>
      <c r="J562" t="b">
        <v>0</v>
      </c>
      <c r="R562" t="str">
        <f t="shared" si="9"/>
        <v/>
      </c>
    </row>
    <row r="563" spans="1:18" x14ac:dyDescent="0.2">
      <c r="A563" t="s">
        <v>2613</v>
      </c>
      <c r="B563" t="s">
        <v>2614</v>
      </c>
      <c r="C563" t="s">
        <v>2615</v>
      </c>
      <c r="D563" t="s">
        <v>97</v>
      </c>
      <c r="E563">
        <v>2018</v>
      </c>
      <c r="F563" t="s">
        <v>2616</v>
      </c>
      <c r="G563" t="s">
        <v>2617</v>
      </c>
      <c r="H563" t="s">
        <v>20</v>
      </c>
      <c r="I563">
        <v>9</v>
      </c>
      <c r="J563" t="b">
        <v>0</v>
      </c>
      <c r="R563" t="str">
        <f t="shared" si="9"/>
        <v/>
      </c>
    </row>
    <row r="564" spans="1:18" x14ac:dyDescent="0.2">
      <c r="A564" t="s">
        <v>2618</v>
      </c>
      <c r="B564" t="s">
        <v>2619</v>
      </c>
      <c r="C564" t="s">
        <v>2620</v>
      </c>
      <c r="D564" t="s">
        <v>58</v>
      </c>
      <c r="E564">
        <v>2001</v>
      </c>
      <c r="F564" t="s">
        <v>2621</v>
      </c>
      <c r="G564" t="s">
        <v>2622</v>
      </c>
      <c r="H564" t="s">
        <v>105</v>
      </c>
      <c r="I564">
        <v>44</v>
      </c>
      <c r="J564" t="b">
        <v>0</v>
      </c>
      <c r="R564" t="str">
        <f t="shared" si="9"/>
        <v/>
      </c>
    </row>
    <row r="565" spans="1:18" x14ac:dyDescent="0.2">
      <c r="A565" t="s">
        <v>2623</v>
      </c>
      <c r="B565" t="s">
        <v>2624</v>
      </c>
      <c r="C565" t="s">
        <v>2625</v>
      </c>
      <c r="D565" t="s">
        <v>85</v>
      </c>
      <c r="E565">
        <v>1993</v>
      </c>
      <c r="F565" t="s">
        <v>25</v>
      </c>
      <c r="G565" t="s">
        <v>2626</v>
      </c>
      <c r="H565" t="s">
        <v>190</v>
      </c>
      <c r="I565">
        <v>23</v>
      </c>
      <c r="J565" t="b">
        <v>0</v>
      </c>
      <c r="R565" t="str">
        <f t="shared" si="9"/>
        <v/>
      </c>
    </row>
    <row r="566" spans="1:18" x14ac:dyDescent="0.2">
      <c r="A566" t="s">
        <v>2627</v>
      </c>
      <c r="B566" t="s">
        <v>2628</v>
      </c>
      <c r="C566" t="s">
        <v>2629</v>
      </c>
      <c r="D566" t="s">
        <v>24</v>
      </c>
      <c r="E566">
        <v>2012</v>
      </c>
      <c r="F566" t="s">
        <v>25</v>
      </c>
      <c r="G566" t="s">
        <v>2630</v>
      </c>
      <c r="H566" t="s">
        <v>154</v>
      </c>
      <c r="I566">
        <v>41</v>
      </c>
      <c r="J566" t="b">
        <v>0</v>
      </c>
      <c r="R566" t="str">
        <f t="shared" si="9"/>
        <v/>
      </c>
    </row>
    <row r="567" spans="1:18" x14ac:dyDescent="0.2">
      <c r="A567" t="s">
        <v>2631</v>
      </c>
      <c r="B567" t="s">
        <v>2632</v>
      </c>
      <c r="C567" t="s">
        <v>2633</v>
      </c>
      <c r="D567" t="s">
        <v>17</v>
      </c>
      <c r="E567">
        <v>2012</v>
      </c>
      <c r="F567" t="s">
        <v>2634</v>
      </c>
      <c r="G567" t="s">
        <v>2635</v>
      </c>
      <c r="H567" t="s">
        <v>20</v>
      </c>
      <c r="I567">
        <v>88</v>
      </c>
      <c r="J567" t="b">
        <v>0</v>
      </c>
      <c r="R567" t="str">
        <f t="shared" si="9"/>
        <v/>
      </c>
    </row>
    <row r="568" spans="1:18" x14ac:dyDescent="0.2">
      <c r="A568" t="s">
        <v>2636</v>
      </c>
      <c r="B568" t="s">
        <v>2637</v>
      </c>
      <c r="C568" t="s">
        <v>2638</v>
      </c>
      <c r="D568" t="s">
        <v>85</v>
      </c>
      <c r="E568">
        <v>2008</v>
      </c>
      <c r="F568" t="s">
        <v>2639</v>
      </c>
      <c r="G568" t="s">
        <v>2640</v>
      </c>
      <c r="H568" t="s">
        <v>105</v>
      </c>
      <c r="I568">
        <v>375</v>
      </c>
      <c r="J568" t="b">
        <v>0</v>
      </c>
      <c r="R568" t="str">
        <f t="shared" si="9"/>
        <v/>
      </c>
    </row>
    <row r="569" spans="1:18" x14ac:dyDescent="0.2">
      <c r="A569" t="s">
        <v>2641</v>
      </c>
      <c r="B569" t="s">
        <v>2642</v>
      </c>
      <c r="C569" t="s">
        <v>2643</v>
      </c>
      <c r="D569" t="s">
        <v>47</v>
      </c>
      <c r="E569">
        <v>1993</v>
      </c>
      <c r="F569" t="s">
        <v>25</v>
      </c>
      <c r="G569" t="s">
        <v>2644</v>
      </c>
      <c r="H569" t="s">
        <v>20</v>
      </c>
      <c r="I569">
        <v>17</v>
      </c>
      <c r="J569" t="b">
        <v>0</v>
      </c>
      <c r="R569" t="str">
        <f t="shared" si="9"/>
        <v/>
      </c>
    </row>
    <row r="570" spans="1:18" x14ac:dyDescent="0.2">
      <c r="A570" t="s">
        <v>2645</v>
      </c>
      <c r="B570" t="s">
        <v>2646</v>
      </c>
      <c r="C570" t="s">
        <v>2647</v>
      </c>
      <c r="D570" t="s">
        <v>97</v>
      </c>
      <c r="E570">
        <v>2005</v>
      </c>
      <c r="F570" t="s">
        <v>2648</v>
      </c>
      <c r="G570" t="s">
        <v>2649</v>
      </c>
      <c r="H570" t="s">
        <v>647</v>
      </c>
      <c r="I570">
        <v>5</v>
      </c>
      <c r="J570" t="b">
        <v>0</v>
      </c>
      <c r="R570" t="str">
        <f t="shared" si="9"/>
        <v/>
      </c>
    </row>
    <row r="571" spans="1:18" x14ac:dyDescent="0.2">
      <c r="A571" t="s">
        <v>2650</v>
      </c>
      <c r="B571" t="s">
        <v>2651</v>
      </c>
      <c r="C571" t="s">
        <v>2652</v>
      </c>
      <c r="D571" t="s">
        <v>17</v>
      </c>
      <c r="E571">
        <v>2004</v>
      </c>
      <c r="F571" t="s">
        <v>2653</v>
      </c>
      <c r="G571" t="s">
        <v>2654</v>
      </c>
      <c r="H571" t="s">
        <v>20</v>
      </c>
      <c r="I571">
        <v>53</v>
      </c>
      <c r="J571" t="b">
        <v>0</v>
      </c>
      <c r="R571" t="str">
        <f t="shared" si="9"/>
        <v/>
      </c>
    </row>
    <row r="572" spans="1:18" x14ac:dyDescent="0.2">
      <c r="A572" t="s">
        <v>2655</v>
      </c>
      <c r="B572" t="s">
        <v>2656</v>
      </c>
      <c r="C572" t="s">
        <v>2657</v>
      </c>
      <c r="D572" t="s">
        <v>97</v>
      </c>
      <c r="E572">
        <v>2007</v>
      </c>
      <c r="F572" t="s">
        <v>2658</v>
      </c>
      <c r="G572" t="s">
        <v>2659</v>
      </c>
      <c r="H572" t="s">
        <v>20</v>
      </c>
      <c r="I572">
        <v>20</v>
      </c>
      <c r="J572" t="b">
        <v>0</v>
      </c>
      <c r="R572" t="str">
        <f t="shared" si="9"/>
        <v/>
      </c>
    </row>
    <row r="573" spans="1:18" x14ac:dyDescent="0.2">
      <c r="A573" t="s">
        <v>2660</v>
      </c>
      <c r="B573" t="s">
        <v>2661</v>
      </c>
      <c r="C573" t="s">
        <v>2662</v>
      </c>
      <c r="D573" t="s">
        <v>17</v>
      </c>
      <c r="E573">
        <v>2000</v>
      </c>
      <c r="F573" t="s">
        <v>2663</v>
      </c>
      <c r="G573" t="s">
        <v>2664</v>
      </c>
      <c r="H573" t="s">
        <v>154</v>
      </c>
      <c r="I573">
        <v>145</v>
      </c>
      <c r="J573" t="b">
        <v>0</v>
      </c>
      <c r="R573" t="str">
        <f t="shared" si="9"/>
        <v/>
      </c>
    </row>
    <row r="574" spans="1:18" x14ac:dyDescent="0.2">
      <c r="A574" t="s">
        <v>2665</v>
      </c>
      <c r="B574" t="s">
        <v>2666</v>
      </c>
      <c r="C574" t="s">
        <v>2667</v>
      </c>
      <c r="D574" t="s">
        <v>53</v>
      </c>
      <c r="E574">
        <v>2022</v>
      </c>
      <c r="F574" t="s">
        <v>2668</v>
      </c>
      <c r="G574" t="s">
        <v>2669</v>
      </c>
      <c r="H574" t="s">
        <v>20</v>
      </c>
      <c r="I574">
        <v>6</v>
      </c>
      <c r="J574" t="b">
        <v>0</v>
      </c>
      <c r="R574" t="str">
        <f t="shared" si="9"/>
        <v/>
      </c>
    </row>
    <row r="575" spans="1:18" x14ac:dyDescent="0.2">
      <c r="A575" t="s">
        <v>2670</v>
      </c>
      <c r="B575" t="s">
        <v>2671</v>
      </c>
      <c r="C575" t="s">
        <v>2672</v>
      </c>
      <c r="D575" t="s">
        <v>17</v>
      </c>
      <c r="E575">
        <v>1991</v>
      </c>
      <c r="F575" t="s">
        <v>2673</v>
      </c>
      <c r="G575" t="s">
        <v>2674</v>
      </c>
      <c r="H575" t="s">
        <v>20</v>
      </c>
      <c r="I575">
        <v>33</v>
      </c>
      <c r="J575" t="b">
        <v>0</v>
      </c>
      <c r="R575" t="str">
        <f t="shared" si="9"/>
        <v/>
      </c>
    </row>
    <row r="576" spans="1:18" x14ac:dyDescent="0.2">
      <c r="A576" t="s">
        <v>2675</v>
      </c>
      <c r="B576" t="s">
        <v>2676</v>
      </c>
      <c r="C576" t="s">
        <v>2677</v>
      </c>
      <c r="D576" t="s">
        <v>17</v>
      </c>
      <c r="E576">
        <v>2024</v>
      </c>
      <c r="F576" t="s">
        <v>2678</v>
      </c>
      <c r="G576" t="s">
        <v>2679</v>
      </c>
      <c r="H576" t="s">
        <v>20</v>
      </c>
      <c r="I576">
        <v>0</v>
      </c>
      <c r="J576" t="b">
        <v>0</v>
      </c>
      <c r="R576" t="str">
        <f t="shared" si="9"/>
        <v/>
      </c>
    </row>
    <row r="577" spans="1:18" x14ac:dyDescent="0.2">
      <c r="A577" t="s">
        <v>2680</v>
      </c>
      <c r="B577" t="s">
        <v>2681</v>
      </c>
      <c r="C577" t="s">
        <v>2682</v>
      </c>
      <c r="D577" t="s">
        <v>24</v>
      </c>
      <c r="E577">
        <v>2008</v>
      </c>
      <c r="F577" t="s">
        <v>25</v>
      </c>
      <c r="G577" t="s">
        <v>2683</v>
      </c>
      <c r="H577" t="s">
        <v>20</v>
      </c>
      <c r="I577">
        <v>203</v>
      </c>
      <c r="J577" t="b">
        <v>0</v>
      </c>
      <c r="R577" t="str">
        <f t="shared" si="9"/>
        <v/>
      </c>
    </row>
    <row r="578" spans="1:18" x14ac:dyDescent="0.2">
      <c r="A578" t="s">
        <v>2684</v>
      </c>
      <c r="B578" t="s">
        <v>2685</v>
      </c>
      <c r="C578" t="s">
        <v>2686</v>
      </c>
      <c r="D578" t="s">
        <v>97</v>
      </c>
      <c r="E578">
        <v>2003</v>
      </c>
      <c r="F578" t="s">
        <v>2687</v>
      </c>
      <c r="G578" t="s">
        <v>2688</v>
      </c>
      <c r="H578" t="s">
        <v>20</v>
      </c>
      <c r="I578">
        <v>80</v>
      </c>
      <c r="J578" t="b">
        <v>0</v>
      </c>
      <c r="R578" t="str">
        <f t="shared" si="9"/>
        <v/>
      </c>
    </row>
    <row r="579" spans="1:18" x14ac:dyDescent="0.2">
      <c r="A579" t="s">
        <v>2689</v>
      </c>
      <c r="B579" t="s">
        <v>2690</v>
      </c>
      <c r="C579" t="s">
        <v>2691</v>
      </c>
      <c r="D579" t="s">
        <v>58</v>
      </c>
      <c r="E579">
        <v>1997</v>
      </c>
      <c r="F579" t="s">
        <v>2692</v>
      </c>
      <c r="G579" t="s">
        <v>2693</v>
      </c>
      <c r="H579" t="s">
        <v>2694</v>
      </c>
      <c r="I579">
        <v>10</v>
      </c>
      <c r="J579" t="b">
        <v>0</v>
      </c>
      <c r="R579" t="str">
        <f t="shared" ref="R579:R642" si="10">IF(Q579&lt;&gt;N579,"!!!","")</f>
        <v/>
      </c>
    </row>
    <row r="580" spans="1:18" x14ac:dyDescent="0.2">
      <c r="A580" t="s">
        <v>2695</v>
      </c>
      <c r="B580" t="s">
        <v>2696</v>
      </c>
      <c r="C580" t="s">
        <v>2697</v>
      </c>
      <c r="D580" t="s">
        <v>152</v>
      </c>
      <c r="E580">
        <v>1990</v>
      </c>
      <c r="F580" t="s">
        <v>25</v>
      </c>
      <c r="G580" t="s">
        <v>2698</v>
      </c>
      <c r="H580" t="s">
        <v>154</v>
      </c>
      <c r="I580">
        <v>36</v>
      </c>
      <c r="J580" t="b">
        <v>0</v>
      </c>
      <c r="R580" t="str">
        <f t="shared" si="10"/>
        <v/>
      </c>
    </row>
    <row r="581" spans="1:18" x14ac:dyDescent="0.2">
      <c r="A581" t="s">
        <v>2699</v>
      </c>
      <c r="B581" t="s">
        <v>2700</v>
      </c>
      <c r="C581" t="s">
        <v>2701</v>
      </c>
      <c r="D581" t="s">
        <v>24</v>
      </c>
      <c r="E581">
        <v>2009</v>
      </c>
      <c r="F581" t="s">
        <v>25</v>
      </c>
      <c r="G581" t="s">
        <v>2702</v>
      </c>
      <c r="H581" t="s">
        <v>20</v>
      </c>
      <c r="I581">
        <v>75</v>
      </c>
      <c r="J581" t="b">
        <v>0</v>
      </c>
      <c r="R581" t="str">
        <f t="shared" si="10"/>
        <v/>
      </c>
    </row>
    <row r="582" spans="1:18" x14ac:dyDescent="0.2">
      <c r="A582" t="s">
        <v>2703</v>
      </c>
      <c r="B582" t="s">
        <v>2704</v>
      </c>
      <c r="C582" t="s">
        <v>2705</v>
      </c>
      <c r="D582" t="s">
        <v>17</v>
      </c>
      <c r="E582">
        <v>2011</v>
      </c>
      <c r="F582" t="s">
        <v>2706</v>
      </c>
      <c r="G582" t="s">
        <v>2707</v>
      </c>
      <c r="H582" t="s">
        <v>20</v>
      </c>
      <c r="I582">
        <v>9</v>
      </c>
      <c r="J582" t="b">
        <v>0</v>
      </c>
      <c r="R582" t="str">
        <f t="shared" si="10"/>
        <v/>
      </c>
    </row>
    <row r="583" spans="1:18" x14ac:dyDescent="0.2">
      <c r="A583" t="s">
        <v>2708</v>
      </c>
      <c r="B583" t="s">
        <v>2709</v>
      </c>
      <c r="C583" t="s">
        <v>2710</v>
      </c>
      <c r="D583" t="s">
        <v>17</v>
      </c>
      <c r="E583">
        <v>2021</v>
      </c>
      <c r="F583" t="s">
        <v>2711</v>
      </c>
      <c r="G583" t="s">
        <v>2712</v>
      </c>
      <c r="H583" t="s">
        <v>20</v>
      </c>
      <c r="I583">
        <v>11</v>
      </c>
      <c r="J583" t="b">
        <v>0</v>
      </c>
      <c r="R583" t="str">
        <f t="shared" si="10"/>
        <v/>
      </c>
    </row>
    <row r="584" spans="1:18" x14ac:dyDescent="0.2">
      <c r="A584" t="s">
        <v>2713</v>
      </c>
      <c r="B584" t="s">
        <v>2714</v>
      </c>
      <c r="C584" t="s">
        <v>2715</v>
      </c>
      <c r="D584" t="s">
        <v>24</v>
      </c>
      <c r="E584">
        <v>2010</v>
      </c>
      <c r="F584" t="s">
        <v>25</v>
      </c>
      <c r="G584" t="s">
        <v>2716</v>
      </c>
      <c r="H584" t="s">
        <v>20</v>
      </c>
      <c r="I584">
        <v>33</v>
      </c>
      <c r="J584" t="b">
        <v>0</v>
      </c>
      <c r="R584" t="str">
        <f t="shared" si="10"/>
        <v/>
      </c>
    </row>
    <row r="585" spans="1:18" x14ac:dyDescent="0.2">
      <c r="A585" t="s">
        <v>2717</v>
      </c>
      <c r="B585" t="s">
        <v>2718</v>
      </c>
      <c r="C585" t="s">
        <v>2719</v>
      </c>
      <c r="D585" t="s">
        <v>152</v>
      </c>
      <c r="E585">
        <v>2003</v>
      </c>
      <c r="F585" t="s">
        <v>25</v>
      </c>
      <c r="G585" t="s">
        <v>2720</v>
      </c>
      <c r="H585" t="s">
        <v>20</v>
      </c>
      <c r="I585">
        <v>1140</v>
      </c>
      <c r="J585" t="b">
        <v>0</v>
      </c>
      <c r="R585" t="str">
        <f t="shared" si="10"/>
        <v/>
      </c>
    </row>
    <row r="586" spans="1:18" x14ac:dyDescent="0.2">
      <c r="A586" t="s">
        <v>2721</v>
      </c>
      <c r="B586" t="s">
        <v>2722</v>
      </c>
      <c r="C586" t="s">
        <v>2723</v>
      </c>
      <c r="D586" t="s">
        <v>24</v>
      </c>
      <c r="E586">
        <v>1999</v>
      </c>
      <c r="F586" t="s">
        <v>25</v>
      </c>
      <c r="G586" t="s">
        <v>2724</v>
      </c>
      <c r="H586" t="s">
        <v>20</v>
      </c>
      <c r="I586">
        <v>30</v>
      </c>
      <c r="J586" t="b">
        <v>0</v>
      </c>
      <c r="R586" t="str">
        <f t="shared" si="10"/>
        <v/>
      </c>
    </row>
    <row r="587" spans="1:18" x14ac:dyDescent="0.2">
      <c r="A587" t="s">
        <v>2725</v>
      </c>
      <c r="B587" t="s">
        <v>2726</v>
      </c>
      <c r="C587" t="s">
        <v>2727</v>
      </c>
      <c r="D587" t="s">
        <v>198</v>
      </c>
      <c r="E587">
        <v>2012</v>
      </c>
      <c r="F587" t="s">
        <v>25</v>
      </c>
      <c r="G587" t="s">
        <v>2728</v>
      </c>
      <c r="H587" t="s">
        <v>154</v>
      </c>
      <c r="I587">
        <v>44</v>
      </c>
      <c r="J587" t="b">
        <v>0</v>
      </c>
      <c r="R587" t="str">
        <f t="shared" si="10"/>
        <v/>
      </c>
    </row>
    <row r="588" spans="1:18" x14ac:dyDescent="0.2">
      <c r="A588" t="s">
        <v>2729</v>
      </c>
      <c r="B588" t="s">
        <v>2730</v>
      </c>
      <c r="C588" t="s">
        <v>2731</v>
      </c>
      <c r="D588" t="s">
        <v>58</v>
      </c>
      <c r="E588">
        <v>2006</v>
      </c>
      <c r="F588" t="s">
        <v>2732</v>
      </c>
      <c r="G588" t="s">
        <v>2733</v>
      </c>
      <c r="H588" t="s">
        <v>61</v>
      </c>
      <c r="I588">
        <v>12</v>
      </c>
      <c r="J588" t="b">
        <v>0</v>
      </c>
      <c r="R588" t="str">
        <f t="shared" si="10"/>
        <v/>
      </c>
    </row>
    <row r="589" spans="1:18" x14ac:dyDescent="0.2">
      <c r="A589" t="s">
        <v>2734</v>
      </c>
      <c r="B589" t="s">
        <v>2735</v>
      </c>
      <c r="C589" t="s">
        <v>2736</v>
      </c>
      <c r="D589" t="s">
        <v>152</v>
      </c>
      <c r="E589">
        <v>2013</v>
      </c>
      <c r="F589" t="s">
        <v>25</v>
      </c>
      <c r="G589" t="s">
        <v>2737</v>
      </c>
      <c r="H589" t="s">
        <v>322</v>
      </c>
      <c r="I589">
        <v>18</v>
      </c>
      <c r="J589" t="b">
        <v>0</v>
      </c>
      <c r="R589" t="str">
        <f t="shared" si="10"/>
        <v/>
      </c>
    </row>
    <row r="590" spans="1:18" x14ac:dyDescent="0.2">
      <c r="A590" t="s">
        <v>2738</v>
      </c>
      <c r="B590" t="s">
        <v>2739</v>
      </c>
      <c r="C590" t="s">
        <v>2740</v>
      </c>
      <c r="D590" t="s">
        <v>97</v>
      </c>
      <c r="E590">
        <v>2018</v>
      </c>
      <c r="F590" t="s">
        <v>2741</v>
      </c>
      <c r="G590" t="s">
        <v>2742</v>
      </c>
      <c r="H590" t="s">
        <v>20</v>
      </c>
      <c r="I590">
        <v>28</v>
      </c>
      <c r="J590" t="b">
        <v>0</v>
      </c>
      <c r="R590" t="str">
        <f t="shared" si="10"/>
        <v/>
      </c>
    </row>
    <row r="591" spans="1:18" x14ac:dyDescent="0.2">
      <c r="A591" t="s">
        <v>2743</v>
      </c>
      <c r="B591" t="s">
        <v>2744</v>
      </c>
      <c r="C591" t="s">
        <v>2745</v>
      </c>
      <c r="D591" t="s">
        <v>24</v>
      </c>
      <c r="E591">
        <v>2008</v>
      </c>
      <c r="F591" t="s">
        <v>25</v>
      </c>
      <c r="G591" t="s">
        <v>2746</v>
      </c>
      <c r="H591" t="s">
        <v>20</v>
      </c>
      <c r="I591">
        <v>11</v>
      </c>
      <c r="J591" t="b">
        <v>0</v>
      </c>
      <c r="R591" t="str">
        <f t="shared" si="10"/>
        <v/>
      </c>
    </row>
    <row r="592" spans="1:18" x14ac:dyDescent="0.2">
      <c r="A592" t="s">
        <v>2747</v>
      </c>
      <c r="B592" t="s">
        <v>2748</v>
      </c>
      <c r="C592" t="s">
        <v>2749</v>
      </c>
      <c r="D592" t="s">
        <v>17</v>
      </c>
      <c r="E592">
        <v>2019</v>
      </c>
      <c r="F592" t="s">
        <v>2750</v>
      </c>
      <c r="G592" t="s">
        <v>2751</v>
      </c>
      <c r="H592" t="s">
        <v>20</v>
      </c>
      <c r="I592">
        <v>53</v>
      </c>
      <c r="J592" t="b">
        <v>0</v>
      </c>
      <c r="R592" t="str">
        <f t="shared" si="10"/>
        <v/>
      </c>
    </row>
    <row r="593" spans="1:18" x14ac:dyDescent="0.2">
      <c r="A593" t="s">
        <v>2752</v>
      </c>
      <c r="B593" t="s">
        <v>2753</v>
      </c>
      <c r="C593" t="s">
        <v>2754</v>
      </c>
      <c r="D593" t="s">
        <v>17</v>
      </c>
      <c r="E593">
        <v>2008</v>
      </c>
      <c r="F593" t="s">
        <v>2755</v>
      </c>
      <c r="G593" t="s">
        <v>2756</v>
      </c>
      <c r="H593" t="s">
        <v>154</v>
      </c>
      <c r="I593">
        <v>66</v>
      </c>
      <c r="J593" t="b">
        <v>0</v>
      </c>
      <c r="R593" t="str">
        <f t="shared" si="10"/>
        <v/>
      </c>
    </row>
    <row r="594" spans="1:18" x14ac:dyDescent="0.2">
      <c r="A594" t="s">
        <v>2757</v>
      </c>
      <c r="B594" t="s">
        <v>2758</v>
      </c>
      <c r="C594" t="s">
        <v>2759</v>
      </c>
      <c r="D594" t="s">
        <v>47</v>
      </c>
      <c r="E594">
        <v>2014</v>
      </c>
      <c r="F594" t="s">
        <v>25</v>
      </c>
      <c r="G594" t="s">
        <v>2760</v>
      </c>
      <c r="H594" t="s">
        <v>105</v>
      </c>
      <c r="I594">
        <v>36</v>
      </c>
      <c r="J594" t="b">
        <v>0</v>
      </c>
      <c r="R594" t="str">
        <f t="shared" si="10"/>
        <v/>
      </c>
    </row>
    <row r="595" spans="1:18" x14ac:dyDescent="0.2">
      <c r="A595" t="s">
        <v>2761</v>
      </c>
      <c r="B595" t="s">
        <v>2762</v>
      </c>
      <c r="C595" t="s">
        <v>2763</v>
      </c>
      <c r="D595" t="s">
        <v>97</v>
      </c>
      <c r="E595">
        <v>2018</v>
      </c>
      <c r="F595" t="s">
        <v>2764</v>
      </c>
      <c r="G595" t="s">
        <v>2765</v>
      </c>
      <c r="H595" t="s">
        <v>322</v>
      </c>
      <c r="I595">
        <v>130</v>
      </c>
      <c r="J595" t="b">
        <v>0</v>
      </c>
      <c r="R595" t="str">
        <f t="shared" si="10"/>
        <v/>
      </c>
    </row>
    <row r="596" spans="1:18" x14ac:dyDescent="0.2">
      <c r="A596" t="s">
        <v>2766</v>
      </c>
      <c r="B596" t="s">
        <v>2767</v>
      </c>
      <c r="C596" t="s">
        <v>2768</v>
      </c>
      <c r="D596" t="s">
        <v>198</v>
      </c>
      <c r="E596">
        <v>1993</v>
      </c>
      <c r="F596" t="s">
        <v>2769</v>
      </c>
      <c r="G596" t="s">
        <v>2770</v>
      </c>
      <c r="H596" t="s">
        <v>680</v>
      </c>
      <c r="I596">
        <v>3</v>
      </c>
      <c r="J596" t="b">
        <v>0</v>
      </c>
      <c r="R596" t="str">
        <f t="shared" si="10"/>
        <v/>
      </c>
    </row>
    <row r="597" spans="1:18" x14ac:dyDescent="0.2">
      <c r="A597" t="s">
        <v>2771</v>
      </c>
      <c r="B597" t="s">
        <v>2772</v>
      </c>
      <c r="C597" t="s">
        <v>2773</v>
      </c>
      <c r="D597" t="s">
        <v>47</v>
      </c>
      <c r="E597">
        <v>1995</v>
      </c>
      <c r="F597" t="s">
        <v>25</v>
      </c>
      <c r="G597" t="s">
        <v>2774</v>
      </c>
      <c r="H597" t="s">
        <v>20</v>
      </c>
      <c r="I597">
        <v>18</v>
      </c>
      <c r="J597" t="b">
        <v>0</v>
      </c>
      <c r="R597" t="str">
        <f t="shared" si="10"/>
        <v/>
      </c>
    </row>
    <row r="598" spans="1:18" x14ac:dyDescent="0.2">
      <c r="A598" t="s">
        <v>2775</v>
      </c>
      <c r="B598" t="s">
        <v>2776</v>
      </c>
      <c r="C598" t="s">
        <v>2777</v>
      </c>
      <c r="D598" t="s">
        <v>152</v>
      </c>
      <c r="E598">
        <v>2022</v>
      </c>
      <c r="F598" t="s">
        <v>25</v>
      </c>
      <c r="G598" t="s">
        <v>2778</v>
      </c>
      <c r="H598" t="s">
        <v>111</v>
      </c>
      <c r="I598">
        <v>18</v>
      </c>
      <c r="J598" t="b">
        <v>0</v>
      </c>
      <c r="R598" t="str">
        <f t="shared" si="10"/>
        <v/>
      </c>
    </row>
    <row r="599" spans="1:18" x14ac:dyDescent="0.2">
      <c r="A599" t="s">
        <v>2779</v>
      </c>
      <c r="B599" t="s">
        <v>2780</v>
      </c>
      <c r="C599" t="s">
        <v>2781</v>
      </c>
      <c r="D599" t="s">
        <v>17</v>
      </c>
      <c r="E599">
        <v>2004</v>
      </c>
      <c r="F599" t="s">
        <v>2782</v>
      </c>
      <c r="G599" t="s">
        <v>2783</v>
      </c>
      <c r="H599" t="s">
        <v>20</v>
      </c>
      <c r="I599">
        <v>49</v>
      </c>
      <c r="J599" t="b">
        <v>0</v>
      </c>
      <c r="R599" t="str">
        <f t="shared" si="10"/>
        <v/>
      </c>
    </row>
    <row r="600" spans="1:18" x14ac:dyDescent="0.2">
      <c r="A600" t="s">
        <v>2784</v>
      </c>
      <c r="B600" t="s">
        <v>2785</v>
      </c>
      <c r="C600" t="s">
        <v>2786</v>
      </c>
      <c r="D600" t="s">
        <v>198</v>
      </c>
      <c r="E600">
        <v>2022</v>
      </c>
      <c r="F600" t="s">
        <v>25</v>
      </c>
      <c r="G600" t="s">
        <v>2787</v>
      </c>
      <c r="H600" t="s">
        <v>154</v>
      </c>
      <c r="I600">
        <v>1</v>
      </c>
      <c r="J600" t="b">
        <v>0</v>
      </c>
      <c r="R600" t="str">
        <f t="shared" si="10"/>
        <v/>
      </c>
    </row>
    <row r="601" spans="1:18" x14ac:dyDescent="0.2">
      <c r="A601" t="s">
        <v>2788</v>
      </c>
      <c r="B601" t="s">
        <v>2789</v>
      </c>
      <c r="C601" t="s">
        <v>2790</v>
      </c>
      <c r="D601" t="s">
        <v>24</v>
      </c>
      <c r="E601">
        <v>2006</v>
      </c>
      <c r="F601" t="s">
        <v>25</v>
      </c>
      <c r="G601" t="s">
        <v>2791</v>
      </c>
      <c r="H601" t="s">
        <v>20</v>
      </c>
      <c r="I601">
        <v>95</v>
      </c>
      <c r="J601" t="b">
        <v>0</v>
      </c>
      <c r="R601" t="str">
        <f t="shared" si="10"/>
        <v/>
      </c>
    </row>
    <row r="602" spans="1:18" x14ac:dyDescent="0.2">
      <c r="A602" t="s">
        <v>2792</v>
      </c>
      <c r="B602" t="s">
        <v>2793</v>
      </c>
      <c r="C602" t="s">
        <v>2794</v>
      </c>
      <c r="D602" t="s">
        <v>97</v>
      </c>
      <c r="E602">
        <v>2013</v>
      </c>
      <c r="F602" t="s">
        <v>2795</v>
      </c>
      <c r="G602" t="s">
        <v>2796</v>
      </c>
      <c r="H602" t="s">
        <v>552</v>
      </c>
      <c r="I602">
        <v>22</v>
      </c>
      <c r="J602" t="b">
        <v>0</v>
      </c>
      <c r="R602" t="str">
        <f t="shared" si="10"/>
        <v/>
      </c>
    </row>
    <row r="603" spans="1:18" x14ac:dyDescent="0.2">
      <c r="A603" t="s">
        <v>2797</v>
      </c>
      <c r="B603" t="s">
        <v>2798</v>
      </c>
      <c r="C603" t="s">
        <v>2799</v>
      </c>
      <c r="D603" t="s">
        <v>152</v>
      </c>
      <c r="E603">
        <v>2018</v>
      </c>
      <c r="F603" t="s">
        <v>2800</v>
      </c>
      <c r="G603" t="s">
        <v>2801</v>
      </c>
      <c r="H603" t="s">
        <v>61</v>
      </c>
      <c r="I603">
        <v>15</v>
      </c>
      <c r="J603" t="b">
        <v>0</v>
      </c>
      <c r="R603" t="str">
        <f t="shared" si="10"/>
        <v/>
      </c>
    </row>
    <row r="604" spans="1:18" x14ac:dyDescent="0.2">
      <c r="A604" t="s">
        <v>2802</v>
      </c>
      <c r="B604" t="s">
        <v>2803</v>
      </c>
      <c r="C604" t="s">
        <v>2804</v>
      </c>
      <c r="D604" t="s">
        <v>17</v>
      </c>
      <c r="E604">
        <v>2017</v>
      </c>
      <c r="F604" t="s">
        <v>2805</v>
      </c>
      <c r="G604" t="s">
        <v>2806</v>
      </c>
      <c r="H604" t="s">
        <v>77</v>
      </c>
      <c r="I604">
        <v>4</v>
      </c>
      <c r="J604" t="b">
        <v>0</v>
      </c>
      <c r="R604" t="str">
        <f t="shared" si="10"/>
        <v/>
      </c>
    </row>
    <row r="605" spans="1:18" x14ac:dyDescent="0.2">
      <c r="A605" t="s">
        <v>2807</v>
      </c>
      <c r="B605" t="s">
        <v>2808</v>
      </c>
      <c r="C605" t="s">
        <v>2809</v>
      </c>
      <c r="D605" t="s">
        <v>58</v>
      </c>
      <c r="E605">
        <v>2015</v>
      </c>
      <c r="F605" t="s">
        <v>2810</v>
      </c>
      <c r="G605" t="s">
        <v>2811</v>
      </c>
      <c r="H605" t="s">
        <v>254</v>
      </c>
      <c r="I605">
        <v>93</v>
      </c>
      <c r="J605" t="b">
        <v>0</v>
      </c>
      <c r="R605" t="str">
        <f t="shared" si="10"/>
        <v/>
      </c>
    </row>
    <row r="606" spans="1:18" x14ac:dyDescent="0.2">
      <c r="A606" t="s">
        <v>2812</v>
      </c>
      <c r="B606" t="s">
        <v>2813</v>
      </c>
      <c r="C606" t="s">
        <v>2814</v>
      </c>
      <c r="D606" t="s">
        <v>198</v>
      </c>
      <c r="E606">
        <v>2023</v>
      </c>
      <c r="F606" t="s">
        <v>25</v>
      </c>
      <c r="G606" t="s">
        <v>2815</v>
      </c>
      <c r="H606" t="s">
        <v>105</v>
      </c>
      <c r="I606">
        <v>8</v>
      </c>
      <c r="J606" t="b">
        <v>0</v>
      </c>
      <c r="R606" t="str">
        <f t="shared" si="10"/>
        <v/>
      </c>
    </row>
    <row r="607" spans="1:18" x14ac:dyDescent="0.2">
      <c r="A607" t="s">
        <v>2816</v>
      </c>
      <c r="B607" t="s">
        <v>2817</v>
      </c>
      <c r="C607" t="s">
        <v>2818</v>
      </c>
      <c r="D607" t="s">
        <v>24</v>
      </c>
      <c r="E607">
        <v>2018</v>
      </c>
      <c r="F607" t="s">
        <v>25</v>
      </c>
      <c r="G607" t="s">
        <v>2819</v>
      </c>
      <c r="H607" t="s">
        <v>20</v>
      </c>
      <c r="I607">
        <v>35</v>
      </c>
      <c r="J607" t="b">
        <v>0</v>
      </c>
      <c r="R607" t="str">
        <f t="shared" si="10"/>
        <v/>
      </c>
    </row>
    <row r="608" spans="1:18" x14ac:dyDescent="0.2">
      <c r="A608" t="s">
        <v>2820</v>
      </c>
      <c r="B608" t="s">
        <v>2821</v>
      </c>
      <c r="C608" t="s">
        <v>2822</v>
      </c>
      <c r="D608" t="s">
        <v>198</v>
      </c>
      <c r="E608">
        <v>2008</v>
      </c>
      <c r="F608" t="s">
        <v>2823</v>
      </c>
      <c r="G608" t="s">
        <v>2824</v>
      </c>
      <c r="H608" t="s">
        <v>742</v>
      </c>
      <c r="I608">
        <v>51</v>
      </c>
      <c r="J608" t="b">
        <v>0</v>
      </c>
      <c r="R608" t="str">
        <f t="shared" si="10"/>
        <v/>
      </c>
    </row>
    <row r="609" spans="1:18" x14ac:dyDescent="0.2">
      <c r="A609" t="s">
        <v>2825</v>
      </c>
      <c r="B609" t="s">
        <v>2826</v>
      </c>
      <c r="C609" t="s">
        <v>2827</v>
      </c>
      <c r="D609" t="s">
        <v>17</v>
      </c>
      <c r="E609">
        <v>2009</v>
      </c>
      <c r="F609" t="s">
        <v>2828</v>
      </c>
      <c r="G609" t="s">
        <v>2829</v>
      </c>
      <c r="H609" t="s">
        <v>322</v>
      </c>
      <c r="I609">
        <v>278</v>
      </c>
      <c r="J609" t="b">
        <v>0</v>
      </c>
      <c r="R609" t="str">
        <f t="shared" si="10"/>
        <v/>
      </c>
    </row>
    <row r="610" spans="1:18" x14ac:dyDescent="0.2">
      <c r="A610" t="s">
        <v>2830</v>
      </c>
      <c r="B610" t="s">
        <v>2831</v>
      </c>
      <c r="C610" t="s">
        <v>2832</v>
      </c>
      <c r="D610" t="s">
        <v>85</v>
      </c>
      <c r="E610">
        <v>2015</v>
      </c>
      <c r="F610" t="s">
        <v>25</v>
      </c>
      <c r="G610" t="s">
        <v>2833</v>
      </c>
      <c r="H610" t="s">
        <v>274</v>
      </c>
      <c r="I610">
        <v>44</v>
      </c>
      <c r="J610" t="b">
        <v>0</v>
      </c>
      <c r="R610" t="str">
        <f t="shared" si="10"/>
        <v/>
      </c>
    </row>
    <row r="611" spans="1:18" x14ac:dyDescent="0.2">
      <c r="A611" t="s">
        <v>2834</v>
      </c>
      <c r="B611" t="s">
        <v>2835</v>
      </c>
      <c r="C611" t="s">
        <v>2836</v>
      </c>
      <c r="D611" t="s">
        <v>24</v>
      </c>
      <c r="E611">
        <v>1996</v>
      </c>
      <c r="F611" t="s">
        <v>25</v>
      </c>
      <c r="G611" t="s">
        <v>2837</v>
      </c>
      <c r="H611" t="s">
        <v>20</v>
      </c>
      <c r="I611">
        <v>107</v>
      </c>
      <c r="J611" t="b">
        <v>0</v>
      </c>
      <c r="R611" t="str">
        <f t="shared" si="10"/>
        <v/>
      </c>
    </row>
    <row r="612" spans="1:18" x14ac:dyDescent="0.2">
      <c r="A612" t="s">
        <v>2838</v>
      </c>
      <c r="B612" t="s">
        <v>2839</v>
      </c>
      <c r="C612" t="s">
        <v>2840</v>
      </c>
      <c r="D612" t="s">
        <v>97</v>
      </c>
      <c r="E612">
        <v>2007</v>
      </c>
      <c r="F612" t="s">
        <v>2841</v>
      </c>
      <c r="G612" t="s">
        <v>2842</v>
      </c>
      <c r="H612" t="s">
        <v>20</v>
      </c>
      <c r="I612">
        <v>12</v>
      </c>
      <c r="J612" t="b">
        <v>0</v>
      </c>
      <c r="R612" t="str">
        <f t="shared" si="10"/>
        <v/>
      </c>
    </row>
    <row r="613" spans="1:18" x14ac:dyDescent="0.2">
      <c r="A613" t="s">
        <v>2843</v>
      </c>
      <c r="B613" t="s">
        <v>2844</v>
      </c>
      <c r="C613" t="s">
        <v>2845</v>
      </c>
      <c r="D613" t="s">
        <v>24</v>
      </c>
      <c r="E613">
        <v>2016</v>
      </c>
      <c r="F613" t="s">
        <v>25</v>
      </c>
      <c r="G613" t="s">
        <v>2846</v>
      </c>
      <c r="H613" t="s">
        <v>20</v>
      </c>
      <c r="I613">
        <v>101</v>
      </c>
      <c r="J613" t="b">
        <v>0</v>
      </c>
      <c r="R613" t="str">
        <f t="shared" si="10"/>
        <v/>
      </c>
    </row>
    <row r="614" spans="1:18" x14ac:dyDescent="0.2">
      <c r="A614" t="s">
        <v>2847</v>
      </c>
      <c r="B614" t="s">
        <v>2848</v>
      </c>
      <c r="C614" t="s">
        <v>2849</v>
      </c>
      <c r="D614" t="s">
        <v>17</v>
      </c>
      <c r="E614">
        <v>2003</v>
      </c>
      <c r="F614" t="s">
        <v>2850</v>
      </c>
      <c r="G614" t="s">
        <v>2851</v>
      </c>
      <c r="H614" t="s">
        <v>154</v>
      </c>
      <c r="I614">
        <v>89</v>
      </c>
      <c r="J614" t="b">
        <v>1</v>
      </c>
      <c r="R614" t="str">
        <f t="shared" si="10"/>
        <v/>
      </c>
    </row>
    <row r="615" spans="1:18" x14ac:dyDescent="0.2">
      <c r="A615" t="s">
        <v>2852</v>
      </c>
      <c r="B615" t="s">
        <v>2853</v>
      </c>
      <c r="C615" t="s">
        <v>2854</v>
      </c>
      <c r="D615" t="s">
        <v>17</v>
      </c>
      <c r="E615">
        <v>2010</v>
      </c>
      <c r="F615" t="s">
        <v>2855</v>
      </c>
      <c r="G615" t="s">
        <v>2856</v>
      </c>
      <c r="H615" t="s">
        <v>154</v>
      </c>
      <c r="I615">
        <v>185</v>
      </c>
      <c r="J615" t="b">
        <v>0</v>
      </c>
      <c r="R615" t="str">
        <f t="shared" si="10"/>
        <v/>
      </c>
    </row>
    <row r="616" spans="1:18" x14ac:dyDescent="0.2">
      <c r="A616" t="s">
        <v>2857</v>
      </c>
      <c r="B616" t="s">
        <v>2858</v>
      </c>
      <c r="C616" t="s">
        <v>2859</v>
      </c>
      <c r="D616" t="s">
        <v>24</v>
      </c>
      <c r="E616">
        <v>2015</v>
      </c>
      <c r="F616" t="s">
        <v>25</v>
      </c>
      <c r="G616" t="s">
        <v>2860</v>
      </c>
      <c r="H616" t="s">
        <v>20</v>
      </c>
      <c r="I616">
        <v>40</v>
      </c>
      <c r="J616" t="b">
        <v>0</v>
      </c>
      <c r="R616" t="str">
        <f t="shared" si="10"/>
        <v/>
      </c>
    </row>
    <row r="617" spans="1:18" x14ac:dyDescent="0.2">
      <c r="A617" t="s">
        <v>2861</v>
      </c>
      <c r="B617" t="s">
        <v>2862</v>
      </c>
      <c r="C617" t="s">
        <v>2863</v>
      </c>
      <c r="D617" t="s">
        <v>85</v>
      </c>
      <c r="E617">
        <v>2003</v>
      </c>
      <c r="F617" t="s">
        <v>25</v>
      </c>
      <c r="G617" t="s">
        <v>2864</v>
      </c>
      <c r="H617" t="s">
        <v>20</v>
      </c>
      <c r="I617">
        <v>108</v>
      </c>
      <c r="J617" t="b">
        <v>0</v>
      </c>
      <c r="R617" t="str">
        <f t="shared" si="10"/>
        <v/>
      </c>
    </row>
    <row r="618" spans="1:18" x14ac:dyDescent="0.2">
      <c r="A618" t="s">
        <v>2865</v>
      </c>
      <c r="B618" t="s">
        <v>2866</v>
      </c>
      <c r="C618" t="s">
        <v>2867</v>
      </c>
      <c r="D618" t="s">
        <v>24</v>
      </c>
      <c r="E618">
        <v>2012</v>
      </c>
      <c r="F618" t="s">
        <v>25</v>
      </c>
      <c r="G618" t="s">
        <v>2868</v>
      </c>
      <c r="H618" t="s">
        <v>128</v>
      </c>
      <c r="I618">
        <v>60</v>
      </c>
      <c r="J618" t="b">
        <v>0</v>
      </c>
      <c r="R618" t="str">
        <f t="shared" si="10"/>
        <v/>
      </c>
    </row>
    <row r="619" spans="1:18" x14ac:dyDescent="0.2">
      <c r="A619" t="s">
        <v>2869</v>
      </c>
      <c r="B619" t="s">
        <v>2870</v>
      </c>
      <c r="C619" t="s">
        <v>2871</v>
      </c>
      <c r="D619" t="s">
        <v>152</v>
      </c>
      <c r="E619">
        <v>2001</v>
      </c>
      <c r="F619" t="s">
        <v>25</v>
      </c>
      <c r="G619" t="s">
        <v>2872</v>
      </c>
      <c r="H619" t="s">
        <v>481</v>
      </c>
      <c r="I619">
        <v>64</v>
      </c>
      <c r="J619" t="b">
        <v>0</v>
      </c>
      <c r="R619" t="str">
        <f t="shared" si="10"/>
        <v/>
      </c>
    </row>
    <row r="620" spans="1:18" x14ac:dyDescent="0.2">
      <c r="A620" t="s">
        <v>2873</v>
      </c>
      <c r="B620" t="s">
        <v>2874</v>
      </c>
      <c r="C620" t="s">
        <v>2875</v>
      </c>
      <c r="D620" t="s">
        <v>17</v>
      </c>
      <c r="E620">
        <v>2001</v>
      </c>
      <c r="F620" t="s">
        <v>2876</v>
      </c>
      <c r="G620" t="s">
        <v>2877</v>
      </c>
      <c r="H620" t="s">
        <v>20</v>
      </c>
      <c r="I620">
        <v>85</v>
      </c>
      <c r="J620" t="b">
        <v>0</v>
      </c>
      <c r="R620" t="str">
        <f t="shared" si="10"/>
        <v/>
      </c>
    </row>
    <row r="621" spans="1:18" x14ac:dyDescent="0.2">
      <c r="A621" t="s">
        <v>2878</v>
      </c>
      <c r="B621" t="s">
        <v>2879</v>
      </c>
      <c r="C621" t="s">
        <v>2880</v>
      </c>
      <c r="D621" t="s">
        <v>198</v>
      </c>
      <c r="E621">
        <v>2013</v>
      </c>
      <c r="F621" t="s">
        <v>25</v>
      </c>
      <c r="G621" t="s">
        <v>2881</v>
      </c>
      <c r="H621" t="s">
        <v>254</v>
      </c>
      <c r="I621">
        <v>21</v>
      </c>
      <c r="J621" t="b">
        <v>0</v>
      </c>
      <c r="R621" t="str">
        <f t="shared" si="10"/>
        <v/>
      </c>
    </row>
    <row r="622" spans="1:18" x14ac:dyDescent="0.2">
      <c r="A622" t="s">
        <v>2882</v>
      </c>
      <c r="B622" t="s">
        <v>2883</v>
      </c>
      <c r="C622" t="s">
        <v>2884</v>
      </c>
      <c r="D622" t="s">
        <v>47</v>
      </c>
      <c r="E622">
        <v>2021</v>
      </c>
      <c r="F622" t="s">
        <v>25</v>
      </c>
      <c r="G622" t="s">
        <v>2885</v>
      </c>
      <c r="H622" t="s">
        <v>20</v>
      </c>
      <c r="I622">
        <v>5</v>
      </c>
      <c r="J622" t="b">
        <v>0</v>
      </c>
      <c r="R622" t="str">
        <f t="shared" si="10"/>
        <v/>
      </c>
    </row>
    <row r="623" spans="1:18" x14ac:dyDescent="0.2">
      <c r="A623" t="s">
        <v>2886</v>
      </c>
      <c r="B623" t="s">
        <v>2887</v>
      </c>
      <c r="C623" t="s">
        <v>2888</v>
      </c>
      <c r="D623" t="s">
        <v>17</v>
      </c>
      <c r="E623">
        <v>1993</v>
      </c>
      <c r="F623" t="s">
        <v>2889</v>
      </c>
      <c r="G623" t="s">
        <v>2890</v>
      </c>
      <c r="H623" t="s">
        <v>20</v>
      </c>
      <c r="I623">
        <v>46</v>
      </c>
      <c r="J623" t="b">
        <v>0</v>
      </c>
      <c r="R623" t="str">
        <f t="shared" si="10"/>
        <v/>
      </c>
    </row>
    <row r="624" spans="1:18" x14ac:dyDescent="0.2">
      <c r="A624" t="s">
        <v>2891</v>
      </c>
      <c r="B624" t="s">
        <v>2892</v>
      </c>
      <c r="C624" t="s">
        <v>2893</v>
      </c>
      <c r="D624" t="s">
        <v>24</v>
      </c>
      <c r="E624">
        <v>2008</v>
      </c>
      <c r="F624" t="s">
        <v>25</v>
      </c>
      <c r="G624" t="s">
        <v>2894</v>
      </c>
      <c r="H624" t="s">
        <v>1730</v>
      </c>
      <c r="I624">
        <v>44</v>
      </c>
      <c r="J624" t="b">
        <v>0</v>
      </c>
      <c r="R624" t="str">
        <f t="shared" si="10"/>
        <v/>
      </c>
    </row>
    <row r="625" spans="1:18" x14ac:dyDescent="0.2">
      <c r="A625" t="s">
        <v>2895</v>
      </c>
      <c r="B625" t="s">
        <v>2896</v>
      </c>
      <c r="C625" t="s">
        <v>2897</v>
      </c>
      <c r="D625" t="s">
        <v>97</v>
      </c>
      <c r="E625">
        <v>2016</v>
      </c>
      <c r="F625" t="s">
        <v>2898</v>
      </c>
      <c r="G625" t="s">
        <v>2899</v>
      </c>
      <c r="H625" t="s">
        <v>20</v>
      </c>
      <c r="I625">
        <v>10</v>
      </c>
      <c r="J625" t="b">
        <v>0</v>
      </c>
      <c r="R625" t="str">
        <f t="shared" si="10"/>
        <v/>
      </c>
    </row>
    <row r="626" spans="1:18" x14ac:dyDescent="0.2">
      <c r="A626" t="s">
        <v>2900</v>
      </c>
      <c r="B626" t="s">
        <v>2901</v>
      </c>
      <c r="C626" t="s">
        <v>2902</v>
      </c>
      <c r="D626" t="s">
        <v>198</v>
      </c>
      <c r="E626">
        <v>1997</v>
      </c>
      <c r="F626" t="s">
        <v>2903</v>
      </c>
      <c r="G626" t="s">
        <v>2904</v>
      </c>
      <c r="H626" t="s">
        <v>254</v>
      </c>
      <c r="I626">
        <v>2</v>
      </c>
      <c r="J626" t="b">
        <v>0</v>
      </c>
      <c r="R626" t="str">
        <f t="shared" si="10"/>
        <v/>
      </c>
    </row>
    <row r="627" spans="1:18" x14ac:dyDescent="0.2">
      <c r="A627" t="s">
        <v>2905</v>
      </c>
      <c r="B627" t="s">
        <v>2906</v>
      </c>
      <c r="C627" t="s">
        <v>2907</v>
      </c>
      <c r="D627" t="s">
        <v>17</v>
      </c>
      <c r="E627">
        <v>2005</v>
      </c>
      <c r="F627" t="s">
        <v>2908</v>
      </c>
      <c r="G627" t="s">
        <v>2909</v>
      </c>
      <c r="H627" t="s">
        <v>254</v>
      </c>
      <c r="I627">
        <v>35</v>
      </c>
      <c r="J627" t="b">
        <v>0</v>
      </c>
      <c r="R627" t="str">
        <f t="shared" si="10"/>
        <v/>
      </c>
    </row>
    <row r="628" spans="1:18" x14ac:dyDescent="0.2">
      <c r="A628" t="s">
        <v>2910</v>
      </c>
      <c r="B628" t="s">
        <v>2911</v>
      </c>
      <c r="C628" t="s">
        <v>2912</v>
      </c>
      <c r="D628" t="s">
        <v>24</v>
      </c>
      <c r="E628">
        <v>2004</v>
      </c>
      <c r="F628" t="s">
        <v>25</v>
      </c>
      <c r="G628" t="s">
        <v>2913</v>
      </c>
      <c r="H628" t="s">
        <v>20</v>
      </c>
      <c r="I628">
        <v>97</v>
      </c>
      <c r="J628" t="b">
        <v>0</v>
      </c>
      <c r="R628" t="str">
        <f t="shared" si="10"/>
        <v/>
      </c>
    </row>
    <row r="629" spans="1:18" x14ac:dyDescent="0.2">
      <c r="A629" t="s">
        <v>2914</v>
      </c>
      <c r="B629" t="s">
        <v>2915</v>
      </c>
      <c r="C629" t="s">
        <v>2916</v>
      </c>
      <c r="D629" t="s">
        <v>47</v>
      </c>
      <c r="E629">
        <v>2007</v>
      </c>
      <c r="F629" t="s">
        <v>25</v>
      </c>
      <c r="G629" t="s">
        <v>2917</v>
      </c>
      <c r="H629" t="s">
        <v>20</v>
      </c>
      <c r="I629">
        <v>209</v>
      </c>
      <c r="J629" t="b">
        <v>0</v>
      </c>
      <c r="R629" t="str">
        <f t="shared" si="10"/>
        <v/>
      </c>
    </row>
    <row r="630" spans="1:18" x14ac:dyDescent="0.2">
      <c r="A630" t="s">
        <v>2918</v>
      </c>
      <c r="B630" t="s">
        <v>2919</v>
      </c>
      <c r="C630" t="s">
        <v>2920</v>
      </c>
      <c r="D630" t="s">
        <v>24</v>
      </c>
      <c r="E630">
        <v>2016</v>
      </c>
      <c r="F630" t="s">
        <v>25</v>
      </c>
      <c r="G630" t="s">
        <v>2921</v>
      </c>
      <c r="H630" t="s">
        <v>20</v>
      </c>
      <c r="I630">
        <v>103</v>
      </c>
      <c r="J630" t="b">
        <v>0</v>
      </c>
      <c r="R630" t="str">
        <f t="shared" si="10"/>
        <v/>
      </c>
    </row>
    <row r="631" spans="1:18" x14ac:dyDescent="0.2">
      <c r="A631" t="s">
        <v>2922</v>
      </c>
      <c r="B631" t="s">
        <v>2923</v>
      </c>
      <c r="C631" t="s">
        <v>2924</v>
      </c>
      <c r="D631" t="s">
        <v>97</v>
      </c>
      <c r="E631">
        <v>2015</v>
      </c>
      <c r="F631" t="s">
        <v>2925</v>
      </c>
      <c r="G631" t="s">
        <v>2926</v>
      </c>
      <c r="H631" t="s">
        <v>254</v>
      </c>
      <c r="I631">
        <v>23</v>
      </c>
      <c r="J631" t="b">
        <v>0</v>
      </c>
      <c r="R631" t="str">
        <f t="shared" si="10"/>
        <v/>
      </c>
    </row>
    <row r="632" spans="1:18" x14ac:dyDescent="0.2">
      <c r="A632" t="s">
        <v>2927</v>
      </c>
      <c r="B632" t="s">
        <v>2928</v>
      </c>
      <c r="C632" t="s">
        <v>2929</v>
      </c>
      <c r="D632" t="s">
        <v>53</v>
      </c>
      <c r="E632">
        <v>1995</v>
      </c>
      <c r="F632" t="s">
        <v>2930</v>
      </c>
      <c r="G632" t="s">
        <v>2931</v>
      </c>
      <c r="H632" t="s">
        <v>389</v>
      </c>
      <c r="I632">
        <v>26</v>
      </c>
      <c r="J632" t="b">
        <v>0</v>
      </c>
      <c r="R632" t="str">
        <f t="shared" si="10"/>
        <v/>
      </c>
    </row>
    <row r="633" spans="1:18" x14ac:dyDescent="0.2">
      <c r="A633" t="s">
        <v>2932</v>
      </c>
      <c r="B633" t="s">
        <v>2933</v>
      </c>
      <c r="C633" t="s">
        <v>2934</v>
      </c>
      <c r="D633" t="s">
        <v>58</v>
      </c>
      <c r="E633">
        <v>2005</v>
      </c>
      <c r="F633" t="s">
        <v>2935</v>
      </c>
      <c r="G633" t="s">
        <v>2936</v>
      </c>
      <c r="H633" t="s">
        <v>77</v>
      </c>
      <c r="I633">
        <v>114</v>
      </c>
      <c r="J633" t="b">
        <v>0</v>
      </c>
      <c r="R633" t="str">
        <f t="shared" si="10"/>
        <v/>
      </c>
    </row>
    <row r="634" spans="1:18" x14ac:dyDescent="0.2">
      <c r="A634" t="s">
        <v>2937</v>
      </c>
      <c r="B634" t="s">
        <v>2938</v>
      </c>
      <c r="C634" t="s">
        <v>2939</v>
      </c>
      <c r="D634" t="s">
        <v>58</v>
      </c>
      <c r="E634">
        <v>2011</v>
      </c>
      <c r="F634" t="s">
        <v>2940</v>
      </c>
      <c r="G634" t="s">
        <v>2941</v>
      </c>
      <c r="H634" t="s">
        <v>61</v>
      </c>
      <c r="I634">
        <v>33</v>
      </c>
      <c r="J634" t="b">
        <v>0</v>
      </c>
      <c r="R634" t="str">
        <f t="shared" si="10"/>
        <v/>
      </c>
    </row>
    <row r="635" spans="1:18" x14ac:dyDescent="0.2">
      <c r="A635" t="s">
        <v>2942</v>
      </c>
      <c r="B635" t="s">
        <v>2943</v>
      </c>
      <c r="C635" t="s">
        <v>2944</v>
      </c>
      <c r="D635" t="s">
        <v>17</v>
      </c>
      <c r="E635">
        <v>2013</v>
      </c>
      <c r="F635" t="s">
        <v>2945</v>
      </c>
      <c r="G635" t="s">
        <v>2946</v>
      </c>
      <c r="H635" t="s">
        <v>1956</v>
      </c>
      <c r="I635">
        <v>25</v>
      </c>
      <c r="J635" t="b">
        <v>0</v>
      </c>
      <c r="R635" t="str">
        <f t="shared" si="10"/>
        <v/>
      </c>
    </row>
    <row r="636" spans="1:18" x14ac:dyDescent="0.2">
      <c r="A636" t="s">
        <v>2947</v>
      </c>
      <c r="B636" t="s">
        <v>2948</v>
      </c>
      <c r="C636" t="s">
        <v>2949</v>
      </c>
      <c r="D636" t="s">
        <v>17</v>
      </c>
      <c r="E636">
        <v>1999</v>
      </c>
      <c r="F636" t="s">
        <v>2950</v>
      </c>
      <c r="G636" t="s">
        <v>2951</v>
      </c>
      <c r="H636" t="s">
        <v>105</v>
      </c>
      <c r="I636">
        <v>88</v>
      </c>
      <c r="J636" t="b">
        <v>0</v>
      </c>
      <c r="R636" t="str">
        <f t="shared" si="10"/>
        <v/>
      </c>
    </row>
    <row r="637" spans="1:18" x14ac:dyDescent="0.2">
      <c r="A637" t="s">
        <v>2952</v>
      </c>
      <c r="B637" t="s">
        <v>2953</v>
      </c>
      <c r="C637" t="s">
        <v>2954</v>
      </c>
      <c r="D637" t="s">
        <v>24</v>
      </c>
      <c r="E637">
        <v>1990</v>
      </c>
      <c r="F637" t="s">
        <v>25</v>
      </c>
      <c r="G637" t="s">
        <v>2955</v>
      </c>
      <c r="H637" t="s">
        <v>154</v>
      </c>
      <c r="I637">
        <v>20</v>
      </c>
      <c r="J637" t="b">
        <v>0</v>
      </c>
      <c r="R637" t="str">
        <f t="shared" si="10"/>
        <v/>
      </c>
    </row>
    <row r="638" spans="1:18" x14ac:dyDescent="0.2">
      <c r="A638" t="s">
        <v>2956</v>
      </c>
      <c r="B638" t="s">
        <v>2957</v>
      </c>
      <c r="C638" t="s">
        <v>2958</v>
      </c>
      <c r="D638" t="s">
        <v>17</v>
      </c>
      <c r="E638">
        <v>1998</v>
      </c>
      <c r="F638" t="s">
        <v>2959</v>
      </c>
      <c r="G638" t="s">
        <v>2960</v>
      </c>
      <c r="H638" t="s">
        <v>20</v>
      </c>
      <c r="I638">
        <v>46</v>
      </c>
      <c r="J638" t="b">
        <v>0</v>
      </c>
      <c r="R638" t="str">
        <f t="shared" si="10"/>
        <v/>
      </c>
    </row>
    <row r="639" spans="1:18" x14ac:dyDescent="0.2">
      <c r="A639" t="s">
        <v>2961</v>
      </c>
      <c r="B639" t="s">
        <v>2962</v>
      </c>
      <c r="C639" t="s">
        <v>2963</v>
      </c>
      <c r="D639" t="s">
        <v>85</v>
      </c>
      <c r="E639">
        <v>2010</v>
      </c>
      <c r="F639" t="s">
        <v>2964</v>
      </c>
      <c r="G639" t="s">
        <v>2965</v>
      </c>
      <c r="H639" t="s">
        <v>105</v>
      </c>
      <c r="I639">
        <v>82</v>
      </c>
      <c r="J639" t="b">
        <v>0</v>
      </c>
      <c r="R639" t="str">
        <f t="shared" si="10"/>
        <v/>
      </c>
    </row>
    <row r="640" spans="1:18" x14ac:dyDescent="0.2">
      <c r="A640" t="s">
        <v>2966</v>
      </c>
      <c r="B640" t="s">
        <v>2967</v>
      </c>
      <c r="C640" t="s">
        <v>2968</v>
      </c>
      <c r="D640" t="s">
        <v>24</v>
      </c>
      <c r="E640">
        <v>1995</v>
      </c>
      <c r="F640" t="s">
        <v>25</v>
      </c>
      <c r="G640" t="s">
        <v>2969</v>
      </c>
      <c r="H640" t="s">
        <v>20</v>
      </c>
      <c r="I640">
        <v>39</v>
      </c>
      <c r="J640" t="b">
        <v>0</v>
      </c>
      <c r="R640" t="str">
        <f t="shared" si="10"/>
        <v/>
      </c>
    </row>
    <row r="641" spans="1:18" x14ac:dyDescent="0.2">
      <c r="A641" t="s">
        <v>2970</v>
      </c>
      <c r="B641" t="s">
        <v>2971</v>
      </c>
      <c r="C641" t="s">
        <v>2972</v>
      </c>
      <c r="D641" t="s">
        <v>152</v>
      </c>
      <c r="E641">
        <v>2004</v>
      </c>
      <c r="F641" t="s">
        <v>25</v>
      </c>
      <c r="G641" t="s">
        <v>2973</v>
      </c>
      <c r="H641" t="s">
        <v>742</v>
      </c>
      <c r="I641">
        <v>90</v>
      </c>
      <c r="J641" t="b">
        <v>0</v>
      </c>
      <c r="R641" t="str">
        <f t="shared" si="10"/>
        <v/>
      </c>
    </row>
    <row r="642" spans="1:18" x14ac:dyDescent="0.2">
      <c r="A642" t="s">
        <v>2974</v>
      </c>
      <c r="B642" t="s">
        <v>2975</v>
      </c>
      <c r="C642" t="s">
        <v>2976</v>
      </c>
      <c r="D642" t="s">
        <v>152</v>
      </c>
      <c r="E642">
        <v>1994</v>
      </c>
      <c r="F642" t="s">
        <v>25</v>
      </c>
      <c r="G642" t="s">
        <v>2977</v>
      </c>
      <c r="H642" t="s">
        <v>657</v>
      </c>
      <c r="I642">
        <v>14</v>
      </c>
      <c r="J642" t="b">
        <v>0</v>
      </c>
      <c r="R642" t="str">
        <f t="shared" si="10"/>
        <v/>
      </c>
    </row>
    <row r="643" spans="1:18" x14ac:dyDescent="0.2">
      <c r="A643" t="s">
        <v>2978</v>
      </c>
      <c r="B643" t="s">
        <v>2979</v>
      </c>
      <c r="C643" t="s">
        <v>2980</v>
      </c>
      <c r="D643" t="s">
        <v>152</v>
      </c>
      <c r="E643">
        <v>2019</v>
      </c>
      <c r="F643" t="s">
        <v>2981</v>
      </c>
      <c r="G643" t="s">
        <v>2982</v>
      </c>
      <c r="H643" t="s">
        <v>77</v>
      </c>
      <c r="I643">
        <v>12</v>
      </c>
      <c r="J643" t="b">
        <v>0</v>
      </c>
      <c r="R643" t="str">
        <f t="shared" ref="R643:R706" si="11">IF(Q643&lt;&gt;N643,"!!!","")</f>
        <v/>
      </c>
    </row>
    <row r="644" spans="1:18" x14ac:dyDescent="0.2">
      <c r="A644" t="s">
        <v>2983</v>
      </c>
      <c r="B644" t="s">
        <v>2984</v>
      </c>
      <c r="C644" t="s">
        <v>2985</v>
      </c>
      <c r="D644" t="s">
        <v>85</v>
      </c>
      <c r="E644">
        <v>2001</v>
      </c>
      <c r="F644" t="s">
        <v>2986</v>
      </c>
      <c r="G644" t="s">
        <v>2987</v>
      </c>
      <c r="H644" t="s">
        <v>20</v>
      </c>
      <c r="I644">
        <v>31</v>
      </c>
      <c r="J644" t="b">
        <v>0</v>
      </c>
      <c r="R644" t="str">
        <f t="shared" si="11"/>
        <v/>
      </c>
    </row>
    <row r="645" spans="1:18" x14ac:dyDescent="0.2">
      <c r="A645" t="s">
        <v>2988</v>
      </c>
      <c r="B645" t="s">
        <v>2989</v>
      </c>
      <c r="C645" t="s">
        <v>2990</v>
      </c>
      <c r="D645" t="s">
        <v>24</v>
      </c>
      <c r="E645">
        <v>2014</v>
      </c>
      <c r="F645" t="s">
        <v>25</v>
      </c>
      <c r="G645" t="s">
        <v>2991</v>
      </c>
      <c r="H645" t="s">
        <v>20</v>
      </c>
      <c r="I645">
        <v>32</v>
      </c>
      <c r="J645" t="b">
        <v>0</v>
      </c>
      <c r="R645" t="str">
        <f t="shared" si="11"/>
        <v/>
      </c>
    </row>
    <row r="646" spans="1:18" x14ac:dyDescent="0.2">
      <c r="A646" t="s">
        <v>2992</v>
      </c>
      <c r="B646" t="s">
        <v>2993</v>
      </c>
      <c r="C646" t="s">
        <v>2994</v>
      </c>
      <c r="D646" t="s">
        <v>47</v>
      </c>
      <c r="E646">
        <v>2020</v>
      </c>
      <c r="F646" t="s">
        <v>25</v>
      </c>
      <c r="G646" t="s">
        <v>2995</v>
      </c>
      <c r="H646" t="s">
        <v>20</v>
      </c>
      <c r="I646">
        <v>1</v>
      </c>
      <c r="J646" t="b">
        <v>0</v>
      </c>
      <c r="R646" t="str">
        <f t="shared" si="11"/>
        <v/>
      </c>
    </row>
    <row r="647" spans="1:18" x14ac:dyDescent="0.2">
      <c r="A647" t="s">
        <v>2996</v>
      </c>
      <c r="B647" t="s">
        <v>2997</v>
      </c>
      <c r="C647" t="s">
        <v>2998</v>
      </c>
      <c r="D647" t="s">
        <v>17</v>
      </c>
      <c r="E647">
        <v>2007</v>
      </c>
      <c r="F647" t="s">
        <v>2999</v>
      </c>
      <c r="G647" t="s">
        <v>3000</v>
      </c>
      <c r="H647" t="s">
        <v>1133</v>
      </c>
      <c r="I647">
        <v>461</v>
      </c>
      <c r="J647" t="b">
        <v>0</v>
      </c>
      <c r="R647" t="str">
        <f t="shared" si="11"/>
        <v/>
      </c>
    </row>
    <row r="648" spans="1:18" x14ac:dyDescent="0.2">
      <c r="A648" t="s">
        <v>3001</v>
      </c>
      <c r="B648" t="s">
        <v>3002</v>
      </c>
      <c r="C648" t="s">
        <v>3003</v>
      </c>
      <c r="D648" t="s">
        <v>24</v>
      </c>
      <c r="E648">
        <v>2004</v>
      </c>
      <c r="F648" t="s">
        <v>25</v>
      </c>
      <c r="G648" t="s">
        <v>3004</v>
      </c>
      <c r="H648" t="s">
        <v>20</v>
      </c>
      <c r="I648">
        <v>75</v>
      </c>
      <c r="J648" t="b">
        <v>0</v>
      </c>
      <c r="R648" t="str">
        <f t="shared" si="11"/>
        <v/>
      </c>
    </row>
    <row r="649" spans="1:18" x14ac:dyDescent="0.2">
      <c r="A649" t="s">
        <v>3005</v>
      </c>
      <c r="B649" t="s">
        <v>3006</v>
      </c>
      <c r="C649" t="s">
        <v>3007</v>
      </c>
      <c r="D649" t="s">
        <v>152</v>
      </c>
      <c r="E649">
        <v>2024</v>
      </c>
      <c r="F649" t="s">
        <v>3008</v>
      </c>
      <c r="G649" t="s">
        <v>3009</v>
      </c>
      <c r="H649" t="s">
        <v>322</v>
      </c>
      <c r="I649">
        <v>0</v>
      </c>
      <c r="J649" t="b">
        <v>0</v>
      </c>
      <c r="R649" t="str">
        <f t="shared" si="11"/>
        <v/>
      </c>
    </row>
    <row r="650" spans="1:18" x14ac:dyDescent="0.2">
      <c r="A650" t="s">
        <v>3010</v>
      </c>
      <c r="B650" t="s">
        <v>3011</v>
      </c>
      <c r="C650" t="s">
        <v>3012</v>
      </c>
      <c r="D650" t="s">
        <v>85</v>
      </c>
      <c r="E650">
        <v>2018</v>
      </c>
      <c r="F650" t="s">
        <v>3013</v>
      </c>
      <c r="G650" t="s">
        <v>3014</v>
      </c>
      <c r="H650" t="s">
        <v>154</v>
      </c>
      <c r="I650">
        <v>126</v>
      </c>
      <c r="J650" t="b">
        <v>0</v>
      </c>
      <c r="R650" t="str">
        <f t="shared" si="11"/>
        <v/>
      </c>
    </row>
    <row r="651" spans="1:18" x14ac:dyDescent="0.2">
      <c r="A651" t="s">
        <v>3015</v>
      </c>
      <c r="B651" t="s">
        <v>3016</v>
      </c>
      <c r="C651" t="s">
        <v>3017</v>
      </c>
      <c r="D651" t="s">
        <v>17</v>
      </c>
      <c r="E651">
        <v>2008</v>
      </c>
      <c r="F651" t="s">
        <v>3018</v>
      </c>
      <c r="G651" t="s">
        <v>3019</v>
      </c>
      <c r="H651" t="s">
        <v>111</v>
      </c>
      <c r="I651">
        <v>221</v>
      </c>
      <c r="J651" t="b">
        <v>0</v>
      </c>
      <c r="R651" t="str">
        <f t="shared" si="11"/>
        <v/>
      </c>
    </row>
    <row r="652" spans="1:18" x14ac:dyDescent="0.2">
      <c r="A652" t="s">
        <v>3020</v>
      </c>
      <c r="B652" t="s">
        <v>3021</v>
      </c>
      <c r="C652" t="s">
        <v>3022</v>
      </c>
      <c r="D652" t="s">
        <v>24</v>
      </c>
      <c r="E652">
        <v>2013</v>
      </c>
      <c r="F652" t="s">
        <v>25</v>
      </c>
      <c r="G652" t="s">
        <v>3023</v>
      </c>
      <c r="H652" t="s">
        <v>20</v>
      </c>
      <c r="I652">
        <v>54</v>
      </c>
      <c r="J652" t="b">
        <v>0</v>
      </c>
      <c r="R652" t="str">
        <f t="shared" si="11"/>
        <v/>
      </c>
    </row>
    <row r="653" spans="1:18" x14ac:dyDescent="0.2">
      <c r="A653" t="s">
        <v>3024</v>
      </c>
      <c r="B653" t="s">
        <v>3025</v>
      </c>
      <c r="C653" t="s">
        <v>3026</v>
      </c>
      <c r="D653" t="s">
        <v>53</v>
      </c>
      <c r="E653">
        <v>1992</v>
      </c>
      <c r="F653" t="s">
        <v>3027</v>
      </c>
      <c r="G653" t="s">
        <v>3028</v>
      </c>
      <c r="H653" t="s">
        <v>20</v>
      </c>
      <c r="I653">
        <v>26</v>
      </c>
      <c r="J653" t="b">
        <v>0</v>
      </c>
      <c r="R653" t="str">
        <f t="shared" si="11"/>
        <v/>
      </c>
    </row>
    <row r="654" spans="1:18" x14ac:dyDescent="0.2">
      <c r="A654" t="s">
        <v>3029</v>
      </c>
      <c r="B654" t="s">
        <v>3030</v>
      </c>
      <c r="C654" t="s">
        <v>3031</v>
      </c>
      <c r="D654" t="s">
        <v>97</v>
      </c>
      <c r="E654">
        <v>2008</v>
      </c>
      <c r="F654" t="s">
        <v>3032</v>
      </c>
      <c r="G654" t="s">
        <v>3033</v>
      </c>
      <c r="H654" t="s">
        <v>481</v>
      </c>
      <c r="I654">
        <v>38</v>
      </c>
      <c r="J654" t="b">
        <v>0</v>
      </c>
      <c r="R654" t="str">
        <f t="shared" si="11"/>
        <v/>
      </c>
    </row>
    <row r="655" spans="1:18" x14ac:dyDescent="0.2">
      <c r="A655" t="s">
        <v>3034</v>
      </c>
      <c r="B655" t="s">
        <v>3035</v>
      </c>
      <c r="C655" t="s">
        <v>3036</v>
      </c>
      <c r="D655" t="s">
        <v>24</v>
      </c>
      <c r="E655">
        <v>1991</v>
      </c>
      <c r="F655" t="s">
        <v>25</v>
      </c>
      <c r="G655" t="s">
        <v>3037</v>
      </c>
      <c r="H655" t="s">
        <v>20</v>
      </c>
      <c r="I655">
        <v>152</v>
      </c>
      <c r="J655" t="b">
        <v>0</v>
      </c>
      <c r="R655" t="str">
        <f t="shared" si="11"/>
        <v/>
      </c>
    </row>
    <row r="656" spans="1:18" x14ac:dyDescent="0.2">
      <c r="A656" t="s">
        <v>3038</v>
      </c>
      <c r="B656" t="s">
        <v>3039</v>
      </c>
      <c r="C656" t="s">
        <v>3040</v>
      </c>
      <c r="D656" t="s">
        <v>97</v>
      </c>
      <c r="E656">
        <v>2022</v>
      </c>
      <c r="F656" t="s">
        <v>3041</v>
      </c>
      <c r="G656" t="s">
        <v>3042</v>
      </c>
      <c r="H656" t="s">
        <v>20</v>
      </c>
      <c r="I656">
        <v>2</v>
      </c>
      <c r="J656" t="b">
        <v>0</v>
      </c>
      <c r="R656" t="str">
        <f t="shared" si="11"/>
        <v/>
      </c>
    </row>
    <row r="657" spans="1:18" x14ac:dyDescent="0.2">
      <c r="A657" t="s">
        <v>3043</v>
      </c>
      <c r="B657" t="s">
        <v>3044</v>
      </c>
      <c r="C657" t="s">
        <v>3045</v>
      </c>
      <c r="D657" t="s">
        <v>85</v>
      </c>
      <c r="E657">
        <v>2005</v>
      </c>
      <c r="F657" t="s">
        <v>25</v>
      </c>
      <c r="G657" t="s">
        <v>3046</v>
      </c>
      <c r="H657" t="s">
        <v>154</v>
      </c>
      <c r="I657">
        <v>18</v>
      </c>
      <c r="J657" t="b">
        <v>0</v>
      </c>
      <c r="R657" t="str">
        <f t="shared" si="11"/>
        <v/>
      </c>
    </row>
    <row r="658" spans="1:18" x14ac:dyDescent="0.2">
      <c r="A658" t="s">
        <v>3047</v>
      </c>
      <c r="B658" t="s">
        <v>3048</v>
      </c>
      <c r="C658" t="s">
        <v>3049</v>
      </c>
      <c r="D658" t="s">
        <v>24</v>
      </c>
      <c r="E658">
        <v>1999</v>
      </c>
      <c r="F658" t="s">
        <v>25</v>
      </c>
      <c r="G658" t="s">
        <v>3050</v>
      </c>
      <c r="H658" t="s">
        <v>20</v>
      </c>
      <c r="I658">
        <v>152</v>
      </c>
      <c r="J658" t="b">
        <v>0</v>
      </c>
      <c r="R658" t="str">
        <f t="shared" si="11"/>
        <v/>
      </c>
    </row>
    <row r="659" spans="1:18" x14ac:dyDescent="0.2">
      <c r="A659" t="s">
        <v>3051</v>
      </c>
      <c r="B659" t="s">
        <v>3052</v>
      </c>
      <c r="C659" t="s">
        <v>3053</v>
      </c>
      <c r="D659" t="s">
        <v>24</v>
      </c>
      <c r="E659">
        <v>2004</v>
      </c>
      <c r="F659" t="s">
        <v>25</v>
      </c>
      <c r="G659" t="s">
        <v>3054</v>
      </c>
      <c r="H659" t="s">
        <v>20</v>
      </c>
      <c r="I659">
        <v>76</v>
      </c>
      <c r="J659" t="b">
        <v>0</v>
      </c>
      <c r="R659" t="str">
        <f t="shared" si="11"/>
        <v/>
      </c>
    </row>
    <row r="660" spans="1:18" x14ac:dyDescent="0.2">
      <c r="A660" t="s">
        <v>3055</v>
      </c>
      <c r="B660" t="s">
        <v>3056</v>
      </c>
      <c r="C660" t="s">
        <v>3057</v>
      </c>
      <c r="D660" t="s">
        <v>24</v>
      </c>
      <c r="E660">
        <v>1992</v>
      </c>
      <c r="F660" t="s">
        <v>25</v>
      </c>
      <c r="G660" t="s">
        <v>3058</v>
      </c>
      <c r="H660" t="s">
        <v>20</v>
      </c>
      <c r="I660">
        <v>75</v>
      </c>
      <c r="J660" t="b">
        <v>0</v>
      </c>
      <c r="R660" t="str">
        <f t="shared" si="11"/>
        <v/>
      </c>
    </row>
    <row r="661" spans="1:18" x14ac:dyDescent="0.2">
      <c r="A661" t="s">
        <v>3059</v>
      </c>
      <c r="B661" t="s">
        <v>3060</v>
      </c>
      <c r="C661" t="s">
        <v>3061</v>
      </c>
      <c r="D661" t="s">
        <v>58</v>
      </c>
      <c r="E661">
        <v>2016</v>
      </c>
      <c r="F661" t="s">
        <v>3062</v>
      </c>
      <c r="G661" t="s">
        <v>3063</v>
      </c>
      <c r="H661" t="s">
        <v>67</v>
      </c>
      <c r="I661">
        <v>28</v>
      </c>
      <c r="J661" t="b">
        <v>0</v>
      </c>
      <c r="R661" t="str">
        <f t="shared" si="11"/>
        <v/>
      </c>
    </row>
    <row r="662" spans="1:18" x14ac:dyDescent="0.2">
      <c r="A662" t="s">
        <v>3064</v>
      </c>
      <c r="B662" t="s">
        <v>3065</v>
      </c>
      <c r="C662" t="s">
        <v>3066</v>
      </c>
      <c r="D662" t="s">
        <v>85</v>
      </c>
      <c r="E662">
        <v>1993</v>
      </c>
      <c r="F662" t="s">
        <v>25</v>
      </c>
      <c r="G662" t="s">
        <v>3067</v>
      </c>
      <c r="H662" t="s">
        <v>154</v>
      </c>
      <c r="I662">
        <v>122</v>
      </c>
      <c r="J662" t="b">
        <v>0</v>
      </c>
      <c r="R662" t="str">
        <f t="shared" si="11"/>
        <v/>
      </c>
    </row>
    <row r="663" spans="1:18" x14ac:dyDescent="0.2">
      <c r="A663" t="s">
        <v>3068</v>
      </c>
      <c r="B663" t="s">
        <v>3069</v>
      </c>
      <c r="C663" t="s">
        <v>3070</v>
      </c>
      <c r="D663" t="s">
        <v>85</v>
      </c>
      <c r="E663">
        <v>2012</v>
      </c>
      <c r="F663" t="s">
        <v>3071</v>
      </c>
      <c r="G663" t="s">
        <v>3072</v>
      </c>
      <c r="H663" t="s">
        <v>20</v>
      </c>
      <c r="I663">
        <v>47</v>
      </c>
      <c r="J663" t="b">
        <v>0</v>
      </c>
      <c r="R663" t="str">
        <f t="shared" si="11"/>
        <v/>
      </c>
    </row>
    <row r="664" spans="1:18" x14ac:dyDescent="0.2">
      <c r="A664" t="s">
        <v>3073</v>
      </c>
      <c r="B664" t="s">
        <v>3074</v>
      </c>
      <c r="C664" t="s">
        <v>3075</v>
      </c>
      <c r="D664" t="s">
        <v>85</v>
      </c>
      <c r="E664">
        <v>2015</v>
      </c>
      <c r="F664" t="s">
        <v>25</v>
      </c>
      <c r="G664" t="s">
        <v>3076</v>
      </c>
      <c r="H664" t="s">
        <v>1417</v>
      </c>
      <c r="I664">
        <v>55</v>
      </c>
      <c r="J664" t="b">
        <v>0</v>
      </c>
      <c r="R664" t="str">
        <f t="shared" si="11"/>
        <v/>
      </c>
    </row>
    <row r="665" spans="1:18" x14ac:dyDescent="0.2">
      <c r="A665" t="s">
        <v>3077</v>
      </c>
      <c r="B665" t="s">
        <v>3078</v>
      </c>
      <c r="C665" t="s">
        <v>3079</v>
      </c>
      <c r="D665" t="s">
        <v>152</v>
      </c>
      <c r="E665">
        <v>2018</v>
      </c>
      <c r="F665" t="s">
        <v>25</v>
      </c>
      <c r="G665" t="s">
        <v>3080</v>
      </c>
      <c r="H665" t="s">
        <v>20</v>
      </c>
      <c r="I665">
        <v>4</v>
      </c>
      <c r="J665" t="b">
        <v>0</v>
      </c>
      <c r="R665" t="str">
        <f t="shared" si="11"/>
        <v/>
      </c>
    </row>
    <row r="666" spans="1:18" x14ac:dyDescent="0.2">
      <c r="A666" t="s">
        <v>3081</v>
      </c>
      <c r="B666" t="s">
        <v>3082</v>
      </c>
      <c r="C666" t="s">
        <v>3083</v>
      </c>
      <c r="D666" t="s">
        <v>17</v>
      </c>
      <c r="E666">
        <v>2016</v>
      </c>
      <c r="F666" t="s">
        <v>3084</v>
      </c>
      <c r="G666" t="s">
        <v>3085</v>
      </c>
      <c r="H666" t="s">
        <v>128</v>
      </c>
      <c r="I666">
        <v>13</v>
      </c>
      <c r="J666" t="b">
        <v>0</v>
      </c>
      <c r="R666" t="str">
        <f t="shared" si="11"/>
        <v/>
      </c>
    </row>
    <row r="667" spans="1:18" x14ac:dyDescent="0.2">
      <c r="A667" t="s">
        <v>3086</v>
      </c>
      <c r="B667" t="s">
        <v>3087</v>
      </c>
      <c r="C667" t="s">
        <v>3088</v>
      </c>
      <c r="D667" t="s">
        <v>24</v>
      </c>
      <c r="E667">
        <v>2009</v>
      </c>
      <c r="F667" t="s">
        <v>25</v>
      </c>
      <c r="G667" t="s">
        <v>3089</v>
      </c>
      <c r="H667" t="s">
        <v>20</v>
      </c>
      <c r="I667">
        <v>51</v>
      </c>
      <c r="J667" t="b">
        <v>0</v>
      </c>
      <c r="R667" t="str">
        <f t="shared" si="11"/>
        <v/>
      </c>
    </row>
    <row r="668" spans="1:18" x14ac:dyDescent="0.2">
      <c r="A668" t="s">
        <v>3090</v>
      </c>
      <c r="B668" t="s">
        <v>3091</v>
      </c>
      <c r="C668" t="s">
        <v>3092</v>
      </c>
      <c r="D668" t="s">
        <v>198</v>
      </c>
      <c r="E668">
        <v>2010</v>
      </c>
      <c r="F668" t="s">
        <v>3093</v>
      </c>
      <c r="G668" t="s">
        <v>3094</v>
      </c>
      <c r="H668" t="s">
        <v>2612</v>
      </c>
      <c r="I668">
        <v>14</v>
      </c>
      <c r="J668" t="b">
        <v>0</v>
      </c>
      <c r="R668" t="str">
        <f t="shared" si="11"/>
        <v/>
      </c>
    </row>
    <row r="669" spans="1:18" x14ac:dyDescent="0.2">
      <c r="A669" t="s">
        <v>3095</v>
      </c>
      <c r="B669" t="s">
        <v>3096</v>
      </c>
      <c r="C669" t="s">
        <v>3097</v>
      </c>
      <c r="D669" t="s">
        <v>53</v>
      </c>
      <c r="E669">
        <v>2024</v>
      </c>
      <c r="F669" t="s">
        <v>3098</v>
      </c>
      <c r="G669" t="s">
        <v>3099</v>
      </c>
      <c r="H669" t="s">
        <v>20</v>
      </c>
      <c r="I669">
        <v>1</v>
      </c>
      <c r="J669" t="b">
        <v>0</v>
      </c>
      <c r="R669" t="str">
        <f t="shared" si="11"/>
        <v/>
      </c>
    </row>
    <row r="670" spans="1:18" x14ac:dyDescent="0.2">
      <c r="A670" t="s">
        <v>3100</v>
      </c>
      <c r="B670" t="s">
        <v>3101</v>
      </c>
      <c r="C670" t="s">
        <v>3102</v>
      </c>
      <c r="D670" t="s">
        <v>85</v>
      </c>
      <c r="E670">
        <v>2022</v>
      </c>
      <c r="F670" t="s">
        <v>3103</v>
      </c>
      <c r="G670" t="s">
        <v>3104</v>
      </c>
      <c r="H670" t="s">
        <v>20</v>
      </c>
      <c r="I670">
        <v>15</v>
      </c>
      <c r="J670" t="b">
        <v>0</v>
      </c>
      <c r="R670" t="str">
        <f t="shared" si="11"/>
        <v/>
      </c>
    </row>
    <row r="671" spans="1:18" x14ac:dyDescent="0.2">
      <c r="A671" t="s">
        <v>3105</v>
      </c>
      <c r="B671" t="s">
        <v>3106</v>
      </c>
      <c r="C671" t="s">
        <v>3107</v>
      </c>
      <c r="D671" t="s">
        <v>97</v>
      </c>
      <c r="E671">
        <v>2019</v>
      </c>
      <c r="F671" t="s">
        <v>3108</v>
      </c>
      <c r="G671" t="s">
        <v>3109</v>
      </c>
      <c r="H671" t="s">
        <v>20</v>
      </c>
      <c r="I671">
        <v>11</v>
      </c>
      <c r="J671" t="b">
        <v>0</v>
      </c>
      <c r="R671" t="str">
        <f t="shared" si="11"/>
        <v/>
      </c>
    </row>
    <row r="672" spans="1:18" x14ac:dyDescent="0.2">
      <c r="A672" t="s">
        <v>3110</v>
      </c>
      <c r="B672" t="s">
        <v>3111</v>
      </c>
      <c r="C672" t="s">
        <v>3112</v>
      </c>
      <c r="D672" t="s">
        <v>97</v>
      </c>
      <c r="E672">
        <v>2023</v>
      </c>
      <c r="F672" t="s">
        <v>3113</v>
      </c>
      <c r="G672" t="s">
        <v>3114</v>
      </c>
      <c r="H672" t="s">
        <v>20</v>
      </c>
      <c r="I672">
        <v>8</v>
      </c>
      <c r="J672" t="b">
        <v>0</v>
      </c>
      <c r="R672" t="str">
        <f t="shared" si="11"/>
        <v/>
      </c>
    </row>
    <row r="673" spans="1:18" x14ac:dyDescent="0.2">
      <c r="A673" t="s">
        <v>3115</v>
      </c>
      <c r="B673" t="s">
        <v>3116</v>
      </c>
      <c r="C673" t="s">
        <v>3117</v>
      </c>
      <c r="D673" t="s">
        <v>152</v>
      </c>
      <c r="E673">
        <v>2023</v>
      </c>
      <c r="F673" t="s">
        <v>3118</v>
      </c>
      <c r="G673" t="s">
        <v>3119</v>
      </c>
      <c r="H673" t="s">
        <v>680</v>
      </c>
      <c r="I673">
        <v>5</v>
      </c>
      <c r="J673" t="b">
        <v>0</v>
      </c>
      <c r="R673" t="str">
        <f t="shared" si="11"/>
        <v/>
      </c>
    </row>
    <row r="674" spans="1:18" x14ac:dyDescent="0.2">
      <c r="A674" t="s">
        <v>3120</v>
      </c>
      <c r="B674" t="s">
        <v>3121</v>
      </c>
      <c r="C674" t="s">
        <v>3122</v>
      </c>
      <c r="D674" t="s">
        <v>97</v>
      </c>
      <c r="E674">
        <v>2009</v>
      </c>
      <c r="F674" t="s">
        <v>3123</v>
      </c>
      <c r="G674" t="s">
        <v>3124</v>
      </c>
      <c r="H674" t="s">
        <v>322</v>
      </c>
      <c r="I674">
        <v>11</v>
      </c>
      <c r="J674" t="b">
        <v>0</v>
      </c>
      <c r="R674" t="str">
        <f t="shared" si="11"/>
        <v/>
      </c>
    </row>
    <row r="675" spans="1:18" x14ac:dyDescent="0.2">
      <c r="A675" t="s">
        <v>3125</v>
      </c>
      <c r="B675" t="s">
        <v>3126</v>
      </c>
      <c r="C675" t="s">
        <v>3127</v>
      </c>
      <c r="D675" t="s">
        <v>24</v>
      </c>
      <c r="E675">
        <v>1999</v>
      </c>
      <c r="F675" t="s">
        <v>25</v>
      </c>
      <c r="G675" t="s">
        <v>3128</v>
      </c>
      <c r="H675" t="s">
        <v>20</v>
      </c>
      <c r="I675">
        <v>145</v>
      </c>
      <c r="J675" t="b">
        <v>0</v>
      </c>
      <c r="R675" t="str">
        <f t="shared" si="11"/>
        <v/>
      </c>
    </row>
    <row r="676" spans="1:18" x14ac:dyDescent="0.2">
      <c r="A676" t="s">
        <v>3129</v>
      </c>
      <c r="B676" t="s">
        <v>3130</v>
      </c>
      <c r="C676" t="s">
        <v>3131</v>
      </c>
      <c r="D676" t="s">
        <v>17</v>
      </c>
      <c r="E676">
        <v>2024</v>
      </c>
      <c r="F676" t="s">
        <v>3132</v>
      </c>
      <c r="G676" t="s">
        <v>3133</v>
      </c>
      <c r="H676" t="s">
        <v>20</v>
      </c>
      <c r="I676">
        <v>1</v>
      </c>
      <c r="J676" t="b">
        <v>0</v>
      </c>
      <c r="R676" t="str">
        <f t="shared" si="11"/>
        <v/>
      </c>
    </row>
    <row r="677" spans="1:18" x14ac:dyDescent="0.2">
      <c r="A677" t="s">
        <v>3134</v>
      </c>
      <c r="B677" t="s">
        <v>3135</v>
      </c>
      <c r="C677" t="s">
        <v>3136</v>
      </c>
      <c r="D677" t="s">
        <v>152</v>
      </c>
      <c r="E677">
        <v>2001</v>
      </c>
      <c r="F677" t="s">
        <v>25</v>
      </c>
      <c r="G677" t="s">
        <v>3137</v>
      </c>
      <c r="H677" t="s">
        <v>481</v>
      </c>
      <c r="I677">
        <v>231</v>
      </c>
      <c r="J677" t="b">
        <v>0</v>
      </c>
      <c r="R677" t="str">
        <f t="shared" si="11"/>
        <v/>
      </c>
    </row>
    <row r="678" spans="1:18" x14ac:dyDescent="0.2">
      <c r="A678" t="s">
        <v>3138</v>
      </c>
      <c r="B678" t="s">
        <v>3139</v>
      </c>
      <c r="C678" t="s">
        <v>3140</v>
      </c>
      <c r="D678" t="s">
        <v>85</v>
      </c>
      <c r="E678">
        <v>2003</v>
      </c>
      <c r="F678" t="s">
        <v>3141</v>
      </c>
      <c r="G678" t="s">
        <v>3142</v>
      </c>
      <c r="H678" t="s">
        <v>105</v>
      </c>
      <c r="I678">
        <v>20</v>
      </c>
      <c r="J678" t="b">
        <v>0</v>
      </c>
      <c r="R678" t="str">
        <f t="shared" si="11"/>
        <v/>
      </c>
    </row>
    <row r="679" spans="1:18" x14ac:dyDescent="0.2">
      <c r="A679" t="s">
        <v>3143</v>
      </c>
      <c r="B679" t="s">
        <v>3144</v>
      </c>
      <c r="C679" t="s">
        <v>3145</v>
      </c>
      <c r="D679" t="s">
        <v>47</v>
      </c>
      <c r="E679">
        <v>1991</v>
      </c>
      <c r="F679" t="s">
        <v>25</v>
      </c>
      <c r="G679" t="s">
        <v>3146</v>
      </c>
      <c r="H679" t="s">
        <v>657</v>
      </c>
      <c r="I679">
        <v>52</v>
      </c>
      <c r="J679" t="b">
        <v>0</v>
      </c>
      <c r="R679" t="str">
        <f t="shared" si="11"/>
        <v/>
      </c>
    </row>
    <row r="680" spans="1:18" x14ac:dyDescent="0.2">
      <c r="A680" t="s">
        <v>3147</v>
      </c>
      <c r="B680" t="s">
        <v>3148</v>
      </c>
      <c r="C680" t="s">
        <v>3149</v>
      </c>
      <c r="D680" t="s">
        <v>152</v>
      </c>
      <c r="E680">
        <v>2004</v>
      </c>
      <c r="F680" t="s">
        <v>25</v>
      </c>
      <c r="G680" t="s">
        <v>3150</v>
      </c>
      <c r="H680" t="s">
        <v>111</v>
      </c>
      <c r="I680">
        <v>17</v>
      </c>
      <c r="J680" t="b">
        <v>0</v>
      </c>
      <c r="R680" t="str">
        <f t="shared" si="11"/>
        <v/>
      </c>
    </row>
    <row r="681" spans="1:18" x14ac:dyDescent="0.2">
      <c r="A681" t="s">
        <v>3151</v>
      </c>
      <c r="B681" t="s">
        <v>3152</v>
      </c>
      <c r="C681" t="s">
        <v>3153</v>
      </c>
      <c r="D681" t="s">
        <v>47</v>
      </c>
      <c r="E681">
        <v>2000</v>
      </c>
      <c r="F681" t="s">
        <v>25</v>
      </c>
      <c r="G681" t="s">
        <v>3154</v>
      </c>
      <c r="H681" t="s">
        <v>20</v>
      </c>
      <c r="I681">
        <v>74</v>
      </c>
      <c r="J681" t="b">
        <v>0</v>
      </c>
      <c r="R681" t="str">
        <f t="shared" si="11"/>
        <v/>
      </c>
    </row>
    <row r="682" spans="1:18" x14ac:dyDescent="0.2">
      <c r="A682" t="s">
        <v>3155</v>
      </c>
      <c r="B682" t="s">
        <v>3156</v>
      </c>
      <c r="C682" t="s">
        <v>3157</v>
      </c>
      <c r="D682" t="s">
        <v>17</v>
      </c>
      <c r="E682">
        <v>1997</v>
      </c>
      <c r="F682" t="s">
        <v>3158</v>
      </c>
      <c r="G682" t="s">
        <v>3159</v>
      </c>
      <c r="H682" t="s">
        <v>20</v>
      </c>
      <c r="I682">
        <v>27</v>
      </c>
      <c r="J682" t="b">
        <v>0</v>
      </c>
      <c r="R682" t="str">
        <f t="shared" si="11"/>
        <v/>
      </c>
    </row>
    <row r="683" spans="1:18" x14ac:dyDescent="0.2">
      <c r="A683" t="s">
        <v>3160</v>
      </c>
      <c r="B683" t="s">
        <v>3161</v>
      </c>
      <c r="C683" t="s">
        <v>3162</v>
      </c>
      <c r="D683" t="s">
        <v>53</v>
      </c>
      <c r="E683">
        <v>2007</v>
      </c>
      <c r="F683" t="s">
        <v>25</v>
      </c>
      <c r="G683" t="s">
        <v>3163</v>
      </c>
      <c r="H683" t="s">
        <v>20</v>
      </c>
      <c r="I683">
        <v>150</v>
      </c>
      <c r="J683" t="b">
        <v>0</v>
      </c>
      <c r="R683" t="str">
        <f t="shared" si="11"/>
        <v/>
      </c>
    </row>
    <row r="684" spans="1:18" x14ac:dyDescent="0.2">
      <c r="A684" t="s">
        <v>3164</v>
      </c>
      <c r="B684" t="s">
        <v>3165</v>
      </c>
      <c r="C684" t="s">
        <v>3166</v>
      </c>
      <c r="D684" t="s">
        <v>97</v>
      </c>
      <c r="E684">
        <v>2019</v>
      </c>
      <c r="F684" t="s">
        <v>3167</v>
      </c>
      <c r="G684" t="s">
        <v>3168</v>
      </c>
      <c r="H684" t="s">
        <v>20</v>
      </c>
      <c r="I684">
        <v>6</v>
      </c>
      <c r="J684" t="b">
        <v>0</v>
      </c>
      <c r="R684" t="str">
        <f t="shared" si="11"/>
        <v/>
      </c>
    </row>
    <row r="685" spans="1:18" x14ac:dyDescent="0.2">
      <c r="A685" t="s">
        <v>3169</v>
      </c>
      <c r="B685" t="s">
        <v>3170</v>
      </c>
      <c r="C685" t="s">
        <v>3171</v>
      </c>
      <c r="D685" t="s">
        <v>97</v>
      </c>
      <c r="E685">
        <v>2012</v>
      </c>
      <c r="F685" t="s">
        <v>3172</v>
      </c>
      <c r="G685" t="s">
        <v>3173</v>
      </c>
      <c r="H685" t="s">
        <v>20</v>
      </c>
      <c r="I685">
        <v>132</v>
      </c>
      <c r="J685" t="b">
        <v>0</v>
      </c>
      <c r="R685" t="str">
        <f t="shared" si="11"/>
        <v/>
      </c>
    </row>
    <row r="686" spans="1:18" x14ac:dyDescent="0.2">
      <c r="A686" t="s">
        <v>3174</v>
      </c>
      <c r="B686" t="s">
        <v>3175</v>
      </c>
      <c r="C686" t="s">
        <v>3176</v>
      </c>
      <c r="D686" t="s">
        <v>53</v>
      </c>
      <c r="E686">
        <v>2005</v>
      </c>
      <c r="F686" t="s">
        <v>25</v>
      </c>
      <c r="G686" t="s">
        <v>3177</v>
      </c>
      <c r="H686" t="s">
        <v>20</v>
      </c>
      <c r="I686">
        <v>20</v>
      </c>
      <c r="J686" t="b">
        <v>0</v>
      </c>
      <c r="R686" t="str">
        <f t="shared" si="11"/>
        <v/>
      </c>
    </row>
    <row r="687" spans="1:18" x14ac:dyDescent="0.2">
      <c r="A687" t="s">
        <v>3178</v>
      </c>
      <c r="B687" t="s">
        <v>3179</v>
      </c>
      <c r="C687" t="s">
        <v>3180</v>
      </c>
      <c r="D687" t="s">
        <v>17</v>
      </c>
      <c r="E687">
        <v>2012</v>
      </c>
      <c r="F687" t="s">
        <v>3181</v>
      </c>
      <c r="G687" t="s">
        <v>3182</v>
      </c>
      <c r="H687" t="s">
        <v>680</v>
      </c>
      <c r="I687">
        <v>150</v>
      </c>
      <c r="J687" t="b">
        <v>0</v>
      </c>
      <c r="R687" t="str">
        <f t="shared" si="11"/>
        <v/>
      </c>
    </row>
    <row r="688" spans="1:18" x14ac:dyDescent="0.2">
      <c r="A688" t="s">
        <v>3183</v>
      </c>
      <c r="B688" t="s">
        <v>3184</v>
      </c>
      <c r="C688" t="s">
        <v>3185</v>
      </c>
      <c r="D688" t="s">
        <v>24</v>
      </c>
      <c r="E688">
        <v>2020</v>
      </c>
      <c r="F688" t="s">
        <v>25</v>
      </c>
      <c r="G688" t="s">
        <v>3186</v>
      </c>
      <c r="H688" t="s">
        <v>20</v>
      </c>
      <c r="I688">
        <v>38</v>
      </c>
      <c r="J688" t="b">
        <v>0</v>
      </c>
      <c r="R688" t="str">
        <f t="shared" si="11"/>
        <v/>
      </c>
    </row>
    <row r="689" spans="1:18" x14ac:dyDescent="0.2">
      <c r="A689" t="s">
        <v>3187</v>
      </c>
      <c r="B689" t="s">
        <v>3188</v>
      </c>
      <c r="C689" t="s">
        <v>3189</v>
      </c>
      <c r="D689" t="s">
        <v>24</v>
      </c>
      <c r="E689">
        <v>2000</v>
      </c>
      <c r="F689" t="s">
        <v>25</v>
      </c>
      <c r="G689" t="s">
        <v>3190</v>
      </c>
      <c r="H689" t="s">
        <v>20</v>
      </c>
      <c r="I689">
        <v>49</v>
      </c>
      <c r="J689" t="b">
        <v>0</v>
      </c>
      <c r="R689" t="str">
        <f t="shared" si="11"/>
        <v/>
      </c>
    </row>
    <row r="690" spans="1:18" x14ac:dyDescent="0.2">
      <c r="A690" t="s">
        <v>3191</v>
      </c>
      <c r="B690" t="s">
        <v>3192</v>
      </c>
      <c r="C690" t="s">
        <v>3193</v>
      </c>
      <c r="D690" t="s">
        <v>24</v>
      </c>
      <c r="E690">
        <v>2015</v>
      </c>
      <c r="F690" t="s">
        <v>25</v>
      </c>
      <c r="G690" t="s">
        <v>3194</v>
      </c>
      <c r="H690" t="s">
        <v>20</v>
      </c>
      <c r="I690">
        <v>20</v>
      </c>
      <c r="J690" t="b">
        <v>0</v>
      </c>
      <c r="R690" t="str">
        <f t="shared" si="11"/>
        <v/>
      </c>
    </row>
    <row r="691" spans="1:18" x14ac:dyDescent="0.2">
      <c r="A691" t="s">
        <v>3195</v>
      </c>
      <c r="B691" t="s">
        <v>3196</v>
      </c>
      <c r="C691" t="s">
        <v>3197</v>
      </c>
      <c r="D691" t="s">
        <v>85</v>
      </c>
      <c r="E691">
        <v>2010</v>
      </c>
      <c r="F691" t="s">
        <v>3198</v>
      </c>
      <c r="G691" t="s">
        <v>3199</v>
      </c>
      <c r="H691" t="s">
        <v>20</v>
      </c>
      <c r="I691">
        <v>173</v>
      </c>
      <c r="J691" t="b">
        <v>0</v>
      </c>
      <c r="R691" t="str">
        <f t="shared" si="11"/>
        <v/>
      </c>
    </row>
    <row r="692" spans="1:18" x14ac:dyDescent="0.2">
      <c r="A692" t="s">
        <v>3200</v>
      </c>
      <c r="B692" t="s">
        <v>3201</v>
      </c>
      <c r="C692" t="s">
        <v>3202</v>
      </c>
      <c r="D692" t="s">
        <v>198</v>
      </c>
      <c r="E692">
        <v>2000</v>
      </c>
      <c r="F692" t="s">
        <v>3203</v>
      </c>
      <c r="G692" t="s">
        <v>3204</v>
      </c>
      <c r="H692" t="s">
        <v>77</v>
      </c>
      <c r="I692">
        <v>1</v>
      </c>
      <c r="J692" t="b">
        <v>0</v>
      </c>
      <c r="R692" t="str">
        <f t="shared" si="11"/>
        <v/>
      </c>
    </row>
    <row r="693" spans="1:18" x14ac:dyDescent="0.2">
      <c r="A693" t="s">
        <v>3205</v>
      </c>
      <c r="B693" t="s">
        <v>3206</v>
      </c>
      <c r="C693" t="s">
        <v>3207</v>
      </c>
      <c r="D693" t="s">
        <v>17</v>
      </c>
      <c r="E693">
        <v>2017</v>
      </c>
      <c r="F693" t="s">
        <v>3208</v>
      </c>
      <c r="G693" t="s">
        <v>3209</v>
      </c>
      <c r="H693" t="s">
        <v>20</v>
      </c>
      <c r="I693">
        <v>3</v>
      </c>
      <c r="J693" t="b">
        <v>0</v>
      </c>
      <c r="R693" t="str">
        <f t="shared" si="11"/>
        <v/>
      </c>
    </row>
    <row r="694" spans="1:18" x14ac:dyDescent="0.2">
      <c r="A694" t="s">
        <v>3210</v>
      </c>
      <c r="B694" t="s">
        <v>3211</v>
      </c>
      <c r="C694" t="s">
        <v>3212</v>
      </c>
      <c r="D694" t="s">
        <v>24</v>
      </c>
      <c r="E694">
        <v>1995</v>
      </c>
      <c r="F694" t="s">
        <v>25</v>
      </c>
      <c r="G694" t="s">
        <v>3213</v>
      </c>
      <c r="H694" t="s">
        <v>105</v>
      </c>
      <c r="I694">
        <v>45</v>
      </c>
      <c r="J694" t="b">
        <v>0</v>
      </c>
      <c r="R694" t="str">
        <f t="shared" si="11"/>
        <v/>
      </c>
    </row>
    <row r="695" spans="1:18" x14ac:dyDescent="0.2">
      <c r="A695" t="s">
        <v>3214</v>
      </c>
      <c r="B695" t="s">
        <v>3215</v>
      </c>
      <c r="C695" t="s">
        <v>3216</v>
      </c>
      <c r="D695" t="s">
        <v>152</v>
      </c>
      <c r="E695">
        <v>2000</v>
      </c>
      <c r="F695" t="s">
        <v>25</v>
      </c>
      <c r="G695" t="s">
        <v>3217</v>
      </c>
      <c r="H695" t="s">
        <v>322</v>
      </c>
      <c r="I695">
        <v>13</v>
      </c>
      <c r="J695" t="b">
        <v>0</v>
      </c>
      <c r="R695" t="str">
        <f t="shared" si="11"/>
        <v/>
      </c>
    </row>
    <row r="696" spans="1:18" x14ac:dyDescent="0.2">
      <c r="A696" t="s">
        <v>3218</v>
      </c>
      <c r="B696" t="s">
        <v>3219</v>
      </c>
      <c r="C696" t="s">
        <v>3220</v>
      </c>
      <c r="D696" t="s">
        <v>58</v>
      </c>
      <c r="E696">
        <v>2016</v>
      </c>
      <c r="F696" t="s">
        <v>3221</v>
      </c>
      <c r="G696" t="s">
        <v>3222</v>
      </c>
      <c r="H696" t="s">
        <v>67</v>
      </c>
      <c r="I696">
        <v>11</v>
      </c>
      <c r="J696" t="b">
        <v>0</v>
      </c>
      <c r="R696" t="str">
        <f t="shared" si="11"/>
        <v/>
      </c>
    </row>
    <row r="697" spans="1:18" x14ac:dyDescent="0.2">
      <c r="A697" t="s">
        <v>3223</v>
      </c>
      <c r="B697" t="s">
        <v>3224</v>
      </c>
      <c r="C697" t="s">
        <v>3225</v>
      </c>
      <c r="D697" t="s">
        <v>47</v>
      </c>
      <c r="E697">
        <v>2016</v>
      </c>
      <c r="F697" t="s">
        <v>25</v>
      </c>
      <c r="G697" t="s">
        <v>3226</v>
      </c>
      <c r="H697" t="s">
        <v>154</v>
      </c>
      <c r="I697">
        <v>18</v>
      </c>
      <c r="J697" t="b">
        <v>0</v>
      </c>
      <c r="R697" t="str">
        <f t="shared" si="11"/>
        <v/>
      </c>
    </row>
    <row r="698" spans="1:18" x14ac:dyDescent="0.2">
      <c r="A698" t="s">
        <v>3227</v>
      </c>
      <c r="B698" t="s">
        <v>3228</v>
      </c>
      <c r="C698" t="s">
        <v>3229</v>
      </c>
      <c r="D698" t="s">
        <v>17</v>
      </c>
      <c r="E698">
        <v>2011</v>
      </c>
      <c r="F698" t="s">
        <v>3230</v>
      </c>
      <c r="G698" t="s">
        <v>3231</v>
      </c>
      <c r="H698" t="s">
        <v>20</v>
      </c>
      <c r="I698">
        <v>80</v>
      </c>
      <c r="J698" t="b">
        <v>0</v>
      </c>
      <c r="R698" t="str">
        <f t="shared" si="11"/>
        <v/>
      </c>
    </row>
    <row r="699" spans="1:18" x14ac:dyDescent="0.2">
      <c r="A699" t="s">
        <v>3232</v>
      </c>
      <c r="B699" t="s">
        <v>3233</v>
      </c>
      <c r="C699" t="s">
        <v>3234</v>
      </c>
      <c r="D699" t="s">
        <v>17</v>
      </c>
      <c r="E699">
        <v>2005</v>
      </c>
      <c r="F699" t="s">
        <v>3235</v>
      </c>
      <c r="G699" t="s">
        <v>3236</v>
      </c>
      <c r="H699" t="s">
        <v>20</v>
      </c>
      <c r="I699">
        <v>33</v>
      </c>
      <c r="J699" t="b">
        <v>0</v>
      </c>
      <c r="R699" t="str">
        <f t="shared" si="11"/>
        <v/>
      </c>
    </row>
    <row r="700" spans="1:18" x14ac:dyDescent="0.2">
      <c r="A700" t="s">
        <v>3237</v>
      </c>
      <c r="B700" t="s">
        <v>3238</v>
      </c>
      <c r="C700" t="s">
        <v>3239</v>
      </c>
      <c r="D700" t="s">
        <v>24</v>
      </c>
      <c r="E700">
        <v>2013</v>
      </c>
      <c r="F700" t="s">
        <v>25</v>
      </c>
      <c r="G700" t="s">
        <v>3240</v>
      </c>
      <c r="H700" t="s">
        <v>20</v>
      </c>
      <c r="I700">
        <v>65</v>
      </c>
      <c r="J700" t="b">
        <v>0</v>
      </c>
      <c r="R700" t="str">
        <f t="shared" si="11"/>
        <v/>
      </c>
    </row>
    <row r="701" spans="1:18" x14ac:dyDescent="0.2">
      <c r="A701" t="s">
        <v>3241</v>
      </c>
      <c r="B701" t="s">
        <v>3242</v>
      </c>
      <c r="C701" t="s">
        <v>3243</v>
      </c>
      <c r="D701" t="s">
        <v>17</v>
      </c>
      <c r="E701">
        <v>2012</v>
      </c>
      <c r="F701" t="s">
        <v>3244</v>
      </c>
      <c r="G701" t="s">
        <v>3245</v>
      </c>
      <c r="H701" t="s">
        <v>20</v>
      </c>
      <c r="I701">
        <v>61</v>
      </c>
      <c r="J701" t="b">
        <v>0</v>
      </c>
      <c r="R701" t="str">
        <f t="shared" si="11"/>
        <v/>
      </c>
    </row>
    <row r="702" spans="1:18" x14ac:dyDescent="0.2">
      <c r="A702" t="s">
        <v>3246</v>
      </c>
      <c r="B702" t="s">
        <v>3247</v>
      </c>
      <c r="C702" t="s">
        <v>3248</v>
      </c>
      <c r="D702" t="s">
        <v>36</v>
      </c>
      <c r="E702">
        <v>2024</v>
      </c>
      <c r="F702" t="s">
        <v>25</v>
      </c>
      <c r="G702" t="s">
        <v>3249</v>
      </c>
      <c r="H702" t="s">
        <v>154</v>
      </c>
      <c r="I702">
        <v>7</v>
      </c>
      <c r="J702" t="b">
        <v>1</v>
      </c>
      <c r="R702" t="str">
        <f t="shared" si="11"/>
        <v/>
      </c>
    </row>
    <row r="703" spans="1:18" x14ac:dyDescent="0.2">
      <c r="A703" t="s">
        <v>3250</v>
      </c>
      <c r="B703" t="s">
        <v>3251</v>
      </c>
      <c r="C703" t="s">
        <v>3252</v>
      </c>
      <c r="D703" t="s">
        <v>24</v>
      </c>
      <c r="E703">
        <v>1994</v>
      </c>
      <c r="F703" t="s">
        <v>25</v>
      </c>
      <c r="G703" t="s">
        <v>3253</v>
      </c>
      <c r="H703" t="s">
        <v>20</v>
      </c>
      <c r="I703">
        <v>91</v>
      </c>
      <c r="J703" t="b">
        <v>0</v>
      </c>
      <c r="R703" t="str">
        <f t="shared" si="11"/>
        <v/>
      </c>
    </row>
    <row r="704" spans="1:18" x14ac:dyDescent="0.2">
      <c r="A704" t="s">
        <v>3254</v>
      </c>
      <c r="B704" t="s">
        <v>3255</v>
      </c>
      <c r="C704" t="s">
        <v>3256</v>
      </c>
      <c r="D704" t="s">
        <v>152</v>
      </c>
      <c r="E704">
        <v>2004</v>
      </c>
      <c r="F704" t="s">
        <v>25</v>
      </c>
      <c r="G704" t="s">
        <v>3257</v>
      </c>
      <c r="H704" t="s">
        <v>77</v>
      </c>
      <c r="I704">
        <v>186</v>
      </c>
      <c r="J704" t="b">
        <v>0</v>
      </c>
      <c r="R704" t="str">
        <f t="shared" si="11"/>
        <v/>
      </c>
    </row>
    <row r="705" spans="1:18" x14ac:dyDescent="0.2">
      <c r="A705" t="s">
        <v>3258</v>
      </c>
      <c r="B705" t="s">
        <v>3259</v>
      </c>
      <c r="C705" t="s">
        <v>3260</v>
      </c>
      <c r="D705" t="s">
        <v>17</v>
      </c>
      <c r="E705">
        <v>2010</v>
      </c>
      <c r="F705" t="s">
        <v>3261</v>
      </c>
      <c r="G705" t="s">
        <v>3262</v>
      </c>
      <c r="H705" t="s">
        <v>20</v>
      </c>
      <c r="I705">
        <v>88</v>
      </c>
      <c r="J705" t="b">
        <v>0</v>
      </c>
      <c r="R705" t="str">
        <f t="shared" si="11"/>
        <v/>
      </c>
    </row>
    <row r="706" spans="1:18" x14ac:dyDescent="0.2">
      <c r="A706" t="s">
        <v>3263</v>
      </c>
      <c r="B706" t="s">
        <v>3264</v>
      </c>
      <c r="C706" t="s">
        <v>3265</v>
      </c>
      <c r="D706" t="s">
        <v>24</v>
      </c>
      <c r="E706">
        <v>2008</v>
      </c>
      <c r="F706" t="s">
        <v>25</v>
      </c>
      <c r="G706" t="s">
        <v>3266</v>
      </c>
      <c r="H706" t="s">
        <v>389</v>
      </c>
      <c r="I706">
        <v>20</v>
      </c>
      <c r="J706" t="b">
        <v>0</v>
      </c>
      <c r="R706" t="str">
        <f t="shared" si="11"/>
        <v/>
      </c>
    </row>
    <row r="707" spans="1:18" x14ac:dyDescent="0.2">
      <c r="A707" t="s">
        <v>3267</v>
      </c>
      <c r="B707" t="s">
        <v>3268</v>
      </c>
      <c r="C707" t="s">
        <v>3269</v>
      </c>
      <c r="D707" t="s">
        <v>24</v>
      </c>
      <c r="E707">
        <v>2021</v>
      </c>
      <c r="F707" t="s">
        <v>25</v>
      </c>
      <c r="G707" t="s">
        <v>3270</v>
      </c>
      <c r="H707" t="s">
        <v>20</v>
      </c>
      <c r="I707">
        <v>12</v>
      </c>
      <c r="J707" t="b">
        <v>0</v>
      </c>
      <c r="R707" t="str">
        <f t="shared" ref="R707:R770" si="12">IF(Q707&lt;&gt;N707,"!!!","")</f>
        <v/>
      </c>
    </row>
    <row r="708" spans="1:18" x14ac:dyDescent="0.2">
      <c r="A708" t="s">
        <v>3271</v>
      </c>
      <c r="B708" t="s">
        <v>3272</v>
      </c>
      <c r="C708" t="s">
        <v>3273</v>
      </c>
      <c r="D708" t="s">
        <v>85</v>
      </c>
      <c r="E708">
        <v>2007</v>
      </c>
      <c r="F708" t="s">
        <v>3274</v>
      </c>
      <c r="G708" t="s">
        <v>3275</v>
      </c>
      <c r="H708" t="s">
        <v>254</v>
      </c>
      <c r="I708">
        <v>17</v>
      </c>
      <c r="J708" t="b">
        <v>0</v>
      </c>
      <c r="R708" t="str">
        <f t="shared" si="12"/>
        <v/>
      </c>
    </row>
    <row r="709" spans="1:18" x14ac:dyDescent="0.2">
      <c r="A709" t="s">
        <v>3276</v>
      </c>
      <c r="B709" t="s">
        <v>3277</v>
      </c>
      <c r="C709" t="s">
        <v>3278</v>
      </c>
      <c r="D709" t="s">
        <v>152</v>
      </c>
      <c r="E709">
        <v>2008</v>
      </c>
      <c r="F709" t="s">
        <v>25</v>
      </c>
      <c r="G709" t="s">
        <v>3279</v>
      </c>
      <c r="H709" t="s">
        <v>128</v>
      </c>
      <c r="I709">
        <v>107</v>
      </c>
      <c r="J709" t="b">
        <v>0</v>
      </c>
      <c r="R709" t="str">
        <f t="shared" si="12"/>
        <v/>
      </c>
    </row>
    <row r="710" spans="1:18" x14ac:dyDescent="0.2">
      <c r="A710" t="s">
        <v>3280</v>
      </c>
      <c r="B710" t="s">
        <v>3281</v>
      </c>
      <c r="C710" t="s">
        <v>3282</v>
      </c>
      <c r="D710" t="s">
        <v>198</v>
      </c>
      <c r="E710">
        <v>2013</v>
      </c>
      <c r="F710" t="s">
        <v>25</v>
      </c>
      <c r="G710" t="s">
        <v>3283</v>
      </c>
      <c r="H710" t="s">
        <v>61</v>
      </c>
      <c r="I710">
        <v>36</v>
      </c>
      <c r="J710" t="b">
        <v>0</v>
      </c>
      <c r="R710" t="str">
        <f t="shared" si="12"/>
        <v/>
      </c>
    </row>
    <row r="711" spans="1:18" x14ac:dyDescent="0.2">
      <c r="A711" t="s">
        <v>3284</v>
      </c>
      <c r="B711" t="s">
        <v>3285</v>
      </c>
      <c r="C711" t="s">
        <v>3286</v>
      </c>
      <c r="D711" t="s">
        <v>97</v>
      </c>
      <c r="E711">
        <v>2019</v>
      </c>
      <c r="F711" t="s">
        <v>25</v>
      </c>
      <c r="G711" t="s">
        <v>3287</v>
      </c>
      <c r="H711" t="s">
        <v>20</v>
      </c>
      <c r="I711">
        <v>26</v>
      </c>
      <c r="J711" t="b">
        <v>0</v>
      </c>
      <c r="R711" t="str">
        <f t="shared" si="12"/>
        <v/>
      </c>
    </row>
    <row r="712" spans="1:18" x14ac:dyDescent="0.2">
      <c r="A712" t="s">
        <v>3288</v>
      </c>
      <c r="B712" t="s">
        <v>3289</v>
      </c>
      <c r="C712" t="s">
        <v>3290</v>
      </c>
      <c r="D712" t="s">
        <v>152</v>
      </c>
      <c r="E712">
        <v>2003</v>
      </c>
      <c r="F712" t="s">
        <v>25</v>
      </c>
      <c r="G712" t="s">
        <v>3291</v>
      </c>
      <c r="H712" t="s">
        <v>154</v>
      </c>
      <c r="I712">
        <v>62</v>
      </c>
      <c r="J712" t="b">
        <v>0</v>
      </c>
      <c r="R712" t="str">
        <f t="shared" si="12"/>
        <v/>
      </c>
    </row>
    <row r="713" spans="1:18" x14ac:dyDescent="0.2">
      <c r="A713" t="s">
        <v>3292</v>
      </c>
      <c r="B713" t="s">
        <v>3293</v>
      </c>
      <c r="C713" t="s">
        <v>3294</v>
      </c>
      <c r="D713" t="s">
        <v>24</v>
      </c>
      <c r="E713">
        <v>1990</v>
      </c>
      <c r="F713" t="s">
        <v>25</v>
      </c>
      <c r="G713" t="s">
        <v>3295</v>
      </c>
      <c r="H713" t="s">
        <v>20</v>
      </c>
      <c r="I713">
        <v>7</v>
      </c>
      <c r="J713" t="b">
        <v>0</v>
      </c>
      <c r="R713" t="str">
        <f t="shared" si="12"/>
        <v/>
      </c>
    </row>
    <row r="714" spans="1:18" x14ac:dyDescent="0.2">
      <c r="A714" t="s">
        <v>3296</v>
      </c>
      <c r="B714" t="s">
        <v>3297</v>
      </c>
      <c r="C714" t="s">
        <v>3298</v>
      </c>
      <c r="D714" t="s">
        <v>198</v>
      </c>
      <c r="E714">
        <v>2022</v>
      </c>
      <c r="F714" t="s">
        <v>25</v>
      </c>
      <c r="G714" t="s">
        <v>3299</v>
      </c>
      <c r="H714" t="s">
        <v>111</v>
      </c>
      <c r="I714">
        <v>1</v>
      </c>
      <c r="J714" t="b">
        <v>0</v>
      </c>
      <c r="R714" t="str">
        <f t="shared" si="12"/>
        <v/>
      </c>
    </row>
    <row r="715" spans="1:18" x14ac:dyDescent="0.2">
      <c r="A715" t="s">
        <v>3300</v>
      </c>
      <c r="B715" t="s">
        <v>3301</v>
      </c>
      <c r="C715" t="s">
        <v>3302</v>
      </c>
      <c r="D715" t="s">
        <v>85</v>
      </c>
      <c r="E715">
        <v>1998</v>
      </c>
      <c r="F715" t="s">
        <v>3303</v>
      </c>
      <c r="G715" t="s">
        <v>3304</v>
      </c>
      <c r="H715" t="s">
        <v>3305</v>
      </c>
      <c r="I715">
        <v>60</v>
      </c>
      <c r="J715" t="b">
        <v>0</v>
      </c>
      <c r="R715" t="str">
        <f t="shared" si="12"/>
        <v/>
      </c>
    </row>
    <row r="716" spans="1:18" x14ac:dyDescent="0.2">
      <c r="A716" t="s">
        <v>3306</v>
      </c>
      <c r="B716" t="s">
        <v>3307</v>
      </c>
      <c r="C716" t="s">
        <v>3308</v>
      </c>
      <c r="D716" t="s">
        <v>97</v>
      </c>
      <c r="E716">
        <v>2015</v>
      </c>
      <c r="F716" t="s">
        <v>3309</v>
      </c>
      <c r="G716" t="s">
        <v>3310</v>
      </c>
      <c r="H716" t="s">
        <v>20</v>
      </c>
      <c r="I716">
        <v>95</v>
      </c>
      <c r="J716" t="b">
        <v>0</v>
      </c>
      <c r="R716" t="str">
        <f t="shared" si="12"/>
        <v/>
      </c>
    </row>
    <row r="717" spans="1:18" x14ac:dyDescent="0.2">
      <c r="A717" t="s">
        <v>3311</v>
      </c>
      <c r="B717" t="s">
        <v>3312</v>
      </c>
      <c r="C717" t="s">
        <v>3313</v>
      </c>
      <c r="D717" t="s">
        <v>97</v>
      </c>
      <c r="E717">
        <v>2002</v>
      </c>
      <c r="F717" t="s">
        <v>3314</v>
      </c>
      <c r="G717" t="s">
        <v>3315</v>
      </c>
      <c r="H717" t="s">
        <v>20</v>
      </c>
      <c r="I717">
        <v>21</v>
      </c>
      <c r="J717" t="b">
        <v>0</v>
      </c>
      <c r="R717" t="str">
        <f t="shared" si="12"/>
        <v/>
      </c>
    </row>
    <row r="718" spans="1:18" x14ac:dyDescent="0.2">
      <c r="A718" t="s">
        <v>3316</v>
      </c>
      <c r="B718" t="s">
        <v>3317</v>
      </c>
      <c r="C718" t="s">
        <v>3318</v>
      </c>
      <c r="D718" t="s">
        <v>17</v>
      </c>
      <c r="E718">
        <v>2013</v>
      </c>
      <c r="F718" t="s">
        <v>3319</v>
      </c>
      <c r="G718" t="s">
        <v>3320</v>
      </c>
      <c r="H718" t="s">
        <v>3321</v>
      </c>
      <c r="I718">
        <v>76</v>
      </c>
      <c r="J718" t="b">
        <v>0</v>
      </c>
      <c r="R718" t="str">
        <f t="shared" si="12"/>
        <v/>
      </c>
    </row>
    <row r="719" spans="1:18" x14ac:dyDescent="0.2">
      <c r="A719" t="s">
        <v>3322</v>
      </c>
      <c r="B719" t="s">
        <v>3323</v>
      </c>
      <c r="C719" t="s">
        <v>3324</v>
      </c>
      <c r="D719" t="s">
        <v>24</v>
      </c>
      <c r="E719">
        <v>2013</v>
      </c>
      <c r="F719" t="s">
        <v>25</v>
      </c>
      <c r="G719" t="s">
        <v>3325</v>
      </c>
      <c r="H719" t="s">
        <v>20</v>
      </c>
      <c r="I719">
        <v>61</v>
      </c>
      <c r="J719" t="b">
        <v>0</v>
      </c>
      <c r="R719" t="str">
        <f t="shared" si="12"/>
        <v/>
      </c>
    </row>
    <row r="720" spans="1:18" x14ac:dyDescent="0.2">
      <c r="A720" t="s">
        <v>3326</v>
      </c>
      <c r="B720" t="s">
        <v>3327</v>
      </c>
      <c r="C720" t="s">
        <v>3328</v>
      </c>
      <c r="D720" t="s">
        <v>24</v>
      </c>
      <c r="E720">
        <v>2014</v>
      </c>
      <c r="F720" t="s">
        <v>25</v>
      </c>
      <c r="G720" t="s">
        <v>3329</v>
      </c>
      <c r="H720" t="s">
        <v>20</v>
      </c>
      <c r="I720">
        <v>28</v>
      </c>
      <c r="J720" t="b">
        <v>0</v>
      </c>
      <c r="R720" t="str">
        <f t="shared" si="12"/>
        <v/>
      </c>
    </row>
    <row r="721" spans="1:18" x14ac:dyDescent="0.2">
      <c r="A721" t="s">
        <v>3330</v>
      </c>
      <c r="B721" t="s">
        <v>3331</v>
      </c>
      <c r="C721" t="s">
        <v>3332</v>
      </c>
      <c r="D721" t="s">
        <v>198</v>
      </c>
      <c r="E721">
        <v>2023</v>
      </c>
      <c r="F721" t="s">
        <v>25</v>
      </c>
      <c r="G721" t="s">
        <v>3333</v>
      </c>
      <c r="H721" t="s">
        <v>742</v>
      </c>
      <c r="I721">
        <v>3</v>
      </c>
      <c r="J721" t="b">
        <v>0</v>
      </c>
      <c r="R721" t="str">
        <f t="shared" si="12"/>
        <v/>
      </c>
    </row>
    <row r="722" spans="1:18" x14ac:dyDescent="0.2">
      <c r="A722" t="s">
        <v>3334</v>
      </c>
      <c r="C722" t="s">
        <v>3335</v>
      </c>
      <c r="D722" t="s">
        <v>53</v>
      </c>
      <c r="E722">
        <v>1994</v>
      </c>
      <c r="F722" t="s">
        <v>3336</v>
      </c>
      <c r="G722" t="s">
        <v>3337</v>
      </c>
      <c r="H722" t="s">
        <v>20</v>
      </c>
      <c r="I722">
        <v>78</v>
      </c>
      <c r="J722" t="b">
        <v>0</v>
      </c>
      <c r="R722" t="str">
        <f t="shared" si="12"/>
        <v/>
      </c>
    </row>
    <row r="723" spans="1:18" x14ac:dyDescent="0.2">
      <c r="A723" t="s">
        <v>3338</v>
      </c>
      <c r="B723" t="s">
        <v>3339</v>
      </c>
      <c r="C723" t="s">
        <v>3340</v>
      </c>
      <c r="D723" t="s">
        <v>85</v>
      </c>
      <c r="E723">
        <v>1999</v>
      </c>
      <c r="F723" t="s">
        <v>3341</v>
      </c>
      <c r="G723" t="s">
        <v>3342</v>
      </c>
      <c r="H723" t="s">
        <v>481</v>
      </c>
      <c r="I723">
        <v>116</v>
      </c>
      <c r="J723" t="b">
        <v>0</v>
      </c>
      <c r="R723" t="str">
        <f t="shared" si="12"/>
        <v/>
      </c>
    </row>
    <row r="724" spans="1:18" x14ac:dyDescent="0.2">
      <c r="A724" t="s">
        <v>3343</v>
      </c>
      <c r="B724" t="s">
        <v>3344</v>
      </c>
      <c r="C724" t="s">
        <v>3345</v>
      </c>
      <c r="D724" t="s">
        <v>53</v>
      </c>
      <c r="E724">
        <v>2013</v>
      </c>
      <c r="F724" t="s">
        <v>25</v>
      </c>
      <c r="G724" t="s">
        <v>3346</v>
      </c>
      <c r="H724" t="s">
        <v>389</v>
      </c>
      <c r="I724">
        <v>67</v>
      </c>
      <c r="J724" t="b">
        <v>0</v>
      </c>
      <c r="R724" t="str">
        <f t="shared" si="12"/>
        <v/>
      </c>
    </row>
    <row r="725" spans="1:18" x14ac:dyDescent="0.2">
      <c r="A725" t="s">
        <v>3347</v>
      </c>
      <c r="B725" t="s">
        <v>3348</v>
      </c>
      <c r="C725" t="s">
        <v>3349</v>
      </c>
      <c r="D725" t="s">
        <v>85</v>
      </c>
      <c r="E725">
        <v>1996</v>
      </c>
      <c r="F725" t="s">
        <v>3350</v>
      </c>
      <c r="G725" t="s">
        <v>3351</v>
      </c>
      <c r="H725" t="s">
        <v>742</v>
      </c>
      <c r="I725">
        <v>48</v>
      </c>
      <c r="J725" t="b">
        <v>0</v>
      </c>
      <c r="R725" t="str">
        <f t="shared" si="12"/>
        <v/>
      </c>
    </row>
    <row r="726" spans="1:18" x14ac:dyDescent="0.2">
      <c r="A726" t="s">
        <v>3352</v>
      </c>
      <c r="B726" t="s">
        <v>3353</v>
      </c>
      <c r="C726" t="s">
        <v>3354</v>
      </c>
      <c r="D726" t="s">
        <v>152</v>
      </c>
      <c r="E726">
        <v>1992</v>
      </c>
      <c r="F726" t="s">
        <v>25</v>
      </c>
      <c r="G726" t="s">
        <v>3355</v>
      </c>
      <c r="H726" t="s">
        <v>647</v>
      </c>
      <c r="I726">
        <v>66</v>
      </c>
      <c r="J726" t="b">
        <v>0</v>
      </c>
      <c r="R726" t="str">
        <f t="shared" si="12"/>
        <v/>
      </c>
    </row>
    <row r="727" spans="1:18" x14ac:dyDescent="0.2">
      <c r="A727" t="s">
        <v>3356</v>
      </c>
      <c r="B727" t="s">
        <v>3357</v>
      </c>
      <c r="C727" t="s">
        <v>3358</v>
      </c>
      <c r="D727" t="s">
        <v>24</v>
      </c>
      <c r="E727">
        <v>2022</v>
      </c>
      <c r="F727" t="s">
        <v>25</v>
      </c>
      <c r="G727" t="s">
        <v>3359</v>
      </c>
      <c r="H727" t="s">
        <v>20</v>
      </c>
      <c r="I727">
        <v>4</v>
      </c>
      <c r="J727" t="b">
        <v>0</v>
      </c>
      <c r="R727" t="str">
        <f t="shared" si="12"/>
        <v/>
      </c>
    </row>
    <row r="728" spans="1:18" x14ac:dyDescent="0.2">
      <c r="A728" t="s">
        <v>3360</v>
      </c>
      <c r="B728" t="s">
        <v>3361</v>
      </c>
      <c r="C728" t="s">
        <v>3362</v>
      </c>
      <c r="D728" t="s">
        <v>97</v>
      </c>
      <c r="E728">
        <v>1996</v>
      </c>
      <c r="F728" t="s">
        <v>25</v>
      </c>
      <c r="G728" t="s">
        <v>3363</v>
      </c>
      <c r="H728" t="s">
        <v>254</v>
      </c>
      <c r="I728">
        <v>43</v>
      </c>
      <c r="J728" t="b">
        <v>0</v>
      </c>
      <c r="R728" t="str">
        <f t="shared" si="12"/>
        <v/>
      </c>
    </row>
    <row r="729" spans="1:18" x14ac:dyDescent="0.2">
      <c r="A729" t="s">
        <v>3364</v>
      </c>
      <c r="B729" t="s">
        <v>3365</v>
      </c>
      <c r="C729" t="s">
        <v>3366</v>
      </c>
      <c r="D729" t="s">
        <v>152</v>
      </c>
      <c r="E729">
        <v>2015</v>
      </c>
      <c r="F729" t="s">
        <v>25</v>
      </c>
      <c r="G729" t="s">
        <v>3367</v>
      </c>
      <c r="H729" t="s">
        <v>111</v>
      </c>
      <c r="I729">
        <v>36</v>
      </c>
      <c r="J729" t="b">
        <v>0</v>
      </c>
      <c r="R729" t="str">
        <f t="shared" si="12"/>
        <v/>
      </c>
    </row>
    <row r="730" spans="1:18" x14ac:dyDescent="0.2">
      <c r="A730" t="s">
        <v>3368</v>
      </c>
      <c r="B730" t="s">
        <v>3369</v>
      </c>
      <c r="C730" t="s">
        <v>3370</v>
      </c>
      <c r="D730" t="s">
        <v>47</v>
      </c>
      <c r="E730">
        <v>2007</v>
      </c>
      <c r="F730" t="s">
        <v>25</v>
      </c>
      <c r="G730" t="s">
        <v>3371</v>
      </c>
      <c r="H730" t="s">
        <v>20</v>
      </c>
      <c r="I730">
        <v>74</v>
      </c>
      <c r="J730" t="b">
        <v>0</v>
      </c>
      <c r="R730" t="str">
        <f t="shared" si="12"/>
        <v/>
      </c>
    </row>
    <row r="731" spans="1:18" x14ac:dyDescent="0.2">
      <c r="A731" t="s">
        <v>3372</v>
      </c>
      <c r="B731" t="s">
        <v>3373</v>
      </c>
      <c r="C731" t="s">
        <v>3374</v>
      </c>
      <c r="D731" t="s">
        <v>85</v>
      </c>
      <c r="E731">
        <v>2003</v>
      </c>
      <c r="F731" t="s">
        <v>3375</v>
      </c>
      <c r="G731" t="s">
        <v>3376</v>
      </c>
      <c r="H731" t="s">
        <v>322</v>
      </c>
      <c r="I731">
        <v>108</v>
      </c>
      <c r="J731" t="b">
        <v>0</v>
      </c>
      <c r="R731" t="str">
        <f t="shared" si="12"/>
        <v/>
      </c>
    </row>
    <row r="732" spans="1:18" x14ac:dyDescent="0.2">
      <c r="A732" t="s">
        <v>3377</v>
      </c>
      <c r="B732" t="s">
        <v>3378</v>
      </c>
      <c r="C732" t="s">
        <v>3379</v>
      </c>
      <c r="D732" t="s">
        <v>85</v>
      </c>
      <c r="E732">
        <v>2021</v>
      </c>
      <c r="F732" t="s">
        <v>3380</v>
      </c>
      <c r="G732" t="s">
        <v>3381</v>
      </c>
      <c r="H732" t="s">
        <v>481</v>
      </c>
      <c r="I732">
        <v>28</v>
      </c>
      <c r="J732" t="b">
        <v>0</v>
      </c>
      <c r="R732" t="str">
        <f t="shared" si="12"/>
        <v/>
      </c>
    </row>
    <row r="733" spans="1:18" x14ac:dyDescent="0.2">
      <c r="A733" t="s">
        <v>3382</v>
      </c>
      <c r="B733" t="s">
        <v>3383</v>
      </c>
      <c r="C733" t="s">
        <v>3384</v>
      </c>
      <c r="D733" t="s">
        <v>47</v>
      </c>
      <c r="E733">
        <v>2018</v>
      </c>
      <c r="F733" t="s">
        <v>25</v>
      </c>
      <c r="G733" t="s">
        <v>3385</v>
      </c>
      <c r="H733" t="s">
        <v>111</v>
      </c>
      <c r="I733">
        <v>26</v>
      </c>
      <c r="J733" t="b">
        <v>0</v>
      </c>
      <c r="R733" t="str">
        <f t="shared" si="12"/>
        <v/>
      </c>
    </row>
    <row r="734" spans="1:18" x14ac:dyDescent="0.2">
      <c r="A734" t="s">
        <v>3386</v>
      </c>
      <c r="B734" t="s">
        <v>3387</v>
      </c>
      <c r="C734" t="s">
        <v>3388</v>
      </c>
      <c r="D734" t="s">
        <v>24</v>
      </c>
      <c r="E734">
        <v>1994</v>
      </c>
      <c r="F734" t="s">
        <v>25</v>
      </c>
      <c r="G734" t="s">
        <v>3389</v>
      </c>
      <c r="H734" t="s">
        <v>20</v>
      </c>
      <c r="I734">
        <v>65</v>
      </c>
      <c r="J734" t="b">
        <v>0</v>
      </c>
      <c r="R734" t="str">
        <f t="shared" si="12"/>
        <v/>
      </c>
    </row>
    <row r="735" spans="1:18" x14ac:dyDescent="0.2">
      <c r="A735" t="s">
        <v>3390</v>
      </c>
      <c r="B735" t="s">
        <v>3391</v>
      </c>
      <c r="C735" t="s">
        <v>3392</v>
      </c>
      <c r="D735" t="s">
        <v>24</v>
      </c>
      <c r="E735">
        <v>1994</v>
      </c>
      <c r="F735" t="s">
        <v>25</v>
      </c>
      <c r="G735" t="s">
        <v>3393</v>
      </c>
      <c r="H735" t="s">
        <v>190</v>
      </c>
      <c r="I735">
        <v>4</v>
      </c>
      <c r="J735" t="b">
        <v>0</v>
      </c>
      <c r="R735" t="str">
        <f t="shared" si="12"/>
        <v/>
      </c>
    </row>
    <row r="736" spans="1:18" x14ac:dyDescent="0.2">
      <c r="A736" t="s">
        <v>3394</v>
      </c>
      <c r="B736" t="s">
        <v>3395</v>
      </c>
      <c r="C736" t="s">
        <v>3396</v>
      </c>
      <c r="D736" t="s">
        <v>97</v>
      </c>
      <c r="E736">
        <v>1996</v>
      </c>
      <c r="F736" t="s">
        <v>3397</v>
      </c>
      <c r="G736" t="s">
        <v>3398</v>
      </c>
      <c r="H736" t="s">
        <v>20</v>
      </c>
      <c r="I736">
        <v>126</v>
      </c>
      <c r="J736" t="b">
        <v>0</v>
      </c>
      <c r="R736" t="str">
        <f t="shared" si="12"/>
        <v/>
      </c>
    </row>
    <row r="737" spans="1:18" x14ac:dyDescent="0.2">
      <c r="A737" t="s">
        <v>3399</v>
      </c>
      <c r="B737" t="s">
        <v>3400</v>
      </c>
      <c r="C737" t="s">
        <v>3401</v>
      </c>
      <c r="D737" t="s">
        <v>17</v>
      </c>
      <c r="E737">
        <v>2022</v>
      </c>
      <c r="F737" t="s">
        <v>3402</v>
      </c>
      <c r="G737" t="s">
        <v>3403</v>
      </c>
      <c r="H737" t="s">
        <v>20</v>
      </c>
      <c r="I737">
        <v>9</v>
      </c>
      <c r="J737" t="b">
        <v>0</v>
      </c>
      <c r="R737" t="str">
        <f t="shared" si="12"/>
        <v/>
      </c>
    </row>
    <row r="738" spans="1:18" x14ac:dyDescent="0.2">
      <c r="A738" t="s">
        <v>3404</v>
      </c>
      <c r="B738" t="s">
        <v>3405</v>
      </c>
      <c r="C738" t="s">
        <v>3406</v>
      </c>
      <c r="D738" t="s">
        <v>152</v>
      </c>
      <c r="E738">
        <v>2006</v>
      </c>
      <c r="F738" t="s">
        <v>25</v>
      </c>
      <c r="G738" t="s">
        <v>3407</v>
      </c>
      <c r="H738" t="s">
        <v>1849</v>
      </c>
      <c r="I738">
        <v>82</v>
      </c>
      <c r="J738" t="b">
        <v>0</v>
      </c>
      <c r="R738" t="str">
        <f t="shared" si="12"/>
        <v/>
      </c>
    </row>
    <row r="739" spans="1:18" x14ac:dyDescent="0.2">
      <c r="A739" t="s">
        <v>3408</v>
      </c>
      <c r="B739" t="s">
        <v>3409</v>
      </c>
      <c r="C739" t="s">
        <v>3410</v>
      </c>
      <c r="D739" t="s">
        <v>58</v>
      </c>
      <c r="E739">
        <v>2023</v>
      </c>
      <c r="F739" t="s">
        <v>3411</v>
      </c>
      <c r="G739" t="s">
        <v>3412</v>
      </c>
      <c r="H739" t="s">
        <v>3413</v>
      </c>
      <c r="I739">
        <v>13</v>
      </c>
      <c r="J739" t="b">
        <v>0</v>
      </c>
      <c r="R739" t="str">
        <f t="shared" si="12"/>
        <v/>
      </c>
    </row>
    <row r="740" spans="1:18" x14ac:dyDescent="0.2">
      <c r="A740" t="s">
        <v>3414</v>
      </c>
      <c r="B740" t="s">
        <v>3415</v>
      </c>
      <c r="C740" t="s">
        <v>3416</v>
      </c>
      <c r="D740" t="s">
        <v>58</v>
      </c>
      <c r="E740">
        <v>2008</v>
      </c>
      <c r="F740" t="s">
        <v>3417</v>
      </c>
      <c r="G740" t="s">
        <v>3418</v>
      </c>
      <c r="H740" t="s">
        <v>154</v>
      </c>
      <c r="I740">
        <v>30</v>
      </c>
      <c r="J740" t="b">
        <v>0</v>
      </c>
      <c r="R740" t="str">
        <f t="shared" si="12"/>
        <v/>
      </c>
    </row>
    <row r="741" spans="1:18" x14ac:dyDescent="0.2">
      <c r="A741" t="s">
        <v>3419</v>
      </c>
      <c r="B741" t="s">
        <v>3420</v>
      </c>
      <c r="C741" t="s">
        <v>3421</v>
      </c>
      <c r="D741" t="s">
        <v>97</v>
      </c>
      <c r="E741">
        <v>2022</v>
      </c>
      <c r="F741" t="s">
        <v>3422</v>
      </c>
      <c r="G741" t="s">
        <v>3423</v>
      </c>
      <c r="H741" t="s">
        <v>20</v>
      </c>
      <c r="I741">
        <v>0</v>
      </c>
      <c r="J741" t="b">
        <v>0</v>
      </c>
      <c r="R741" t="str">
        <f t="shared" si="12"/>
        <v/>
      </c>
    </row>
    <row r="742" spans="1:18" x14ac:dyDescent="0.2">
      <c r="A742" t="s">
        <v>3424</v>
      </c>
      <c r="B742" t="s">
        <v>3425</v>
      </c>
      <c r="C742" t="s">
        <v>3426</v>
      </c>
      <c r="D742" t="s">
        <v>47</v>
      </c>
      <c r="E742">
        <v>2018</v>
      </c>
      <c r="F742" t="s">
        <v>25</v>
      </c>
      <c r="G742" t="s">
        <v>3427</v>
      </c>
      <c r="H742" t="s">
        <v>20</v>
      </c>
      <c r="I742">
        <v>7</v>
      </c>
      <c r="J742" t="b">
        <v>0</v>
      </c>
      <c r="R742" t="str">
        <f t="shared" si="12"/>
        <v/>
      </c>
    </row>
    <row r="743" spans="1:18" x14ac:dyDescent="0.2">
      <c r="A743" t="s">
        <v>3428</v>
      </c>
      <c r="B743" t="s">
        <v>3429</v>
      </c>
      <c r="C743" t="s">
        <v>3430</v>
      </c>
      <c r="D743" t="s">
        <v>85</v>
      </c>
      <c r="E743">
        <v>2010</v>
      </c>
      <c r="F743" t="s">
        <v>3431</v>
      </c>
      <c r="G743" t="s">
        <v>3432</v>
      </c>
      <c r="H743" t="s">
        <v>20</v>
      </c>
      <c r="I743">
        <v>130</v>
      </c>
      <c r="J743" t="b">
        <v>0</v>
      </c>
      <c r="R743" t="str">
        <f t="shared" si="12"/>
        <v/>
      </c>
    </row>
    <row r="744" spans="1:18" x14ac:dyDescent="0.2">
      <c r="A744" t="s">
        <v>3433</v>
      </c>
      <c r="B744" t="s">
        <v>3434</v>
      </c>
      <c r="C744" t="s">
        <v>3435</v>
      </c>
      <c r="D744" t="s">
        <v>198</v>
      </c>
      <c r="E744">
        <v>2010</v>
      </c>
      <c r="F744" t="s">
        <v>3436</v>
      </c>
      <c r="G744" t="s">
        <v>3437</v>
      </c>
      <c r="H744" t="s">
        <v>3321</v>
      </c>
      <c r="I744">
        <v>8</v>
      </c>
      <c r="J744" t="b">
        <v>0</v>
      </c>
      <c r="R744" t="str">
        <f t="shared" si="12"/>
        <v/>
      </c>
    </row>
    <row r="745" spans="1:18" x14ac:dyDescent="0.2">
      <c r="A745" t="s">
        <v>3438</v>
      </c>
      <c r="B745" t="s">
        <v>3439</v>
      </c>
      <c r="C745" t="s">
        <v>3440</v>
      </c>
      <c r="D745" t="s">
        <v>152</v>
      </c>
      <c r="E745">
        <v>2000</v>
      </c>
      <c r="F745" t="s">
        <v>25</v>
      </c>
      <c r="G745" t="s">
        <v>3441</v>
      </c>
      <c r="H745" t="s">
        <v>647</v>
      </c>
      <c r="I745">
        <v>75</v>
      </c>
      <c r="J745" t="b">
        <v>0</v>
      </c>
      <c r="R745" t="str">
        <f t="shared" si="12"/>
        <v/>
      </c>
    </row>
    <row r="746" spans="1:18" x14ac:dyDescent="0.2">
      <c r="A746" t="s">
        <v>3442</v>
      </c>
      <c r="B746" t="s">
        <v>3443</v>
      </c>
      <c r="C746" t="s">
        <v>3444</v>
      </c>
      <c r="D746" t="s">
        <v>152</v>
      </c>
      <c r="E746">
        <v>2019</v>
      </c>
      <c r="F746" t="s">
        <v>25</v>
      </c>
      <c r="G746" t="s">
        <v>3445</v>
      </c>
      <c r="H746" t="s">
        <v>154</v>
      </c>
      <c r="I746">
        <v>45</v>
      </c>
      <c r="J746" t="b">
        <v>0</v>
      </c>
      <c r="R746" t="str">
        <f t="shared" si="12"/>
        <v/>
      </c>
    </row>
    <row r="747" spans="1:18" x14ac:dyDescent="0.2">
      <c r="A747" t="s">
        <v>3446</v>
      </c>
      <c r="B747" t="s">
        <v>3447</v>
      </c>
      <c r="C747" t="s">
        <v>3448</v>
      </c>
      <c r="D747" t="s">
        <v>58</v>
      </c>
      <c r="E747">
        <v>2015</v>
      </c>
      <c r="F747" t="s">
        <v>3449</v>
      </c>
      <c r="G747" t="s">
        <v>3450</v>
      </c>
      <c r="H747" t="s">
        <v>367</v>
      </c>
      <c r="I747">
        <v>10</v>
      </c>
      <c r="J747" t="b">
        <v>0</v>
      </c>
      <c r="R747" t="str">
        <f t="shared" si="12"/>
        <v/>
      </c>
    </row>
    <row r="748" spans="1:18" x14ac:dyDescent="0.2">
      <c r="A748" t="s">
        <v>3451</v>
      </c>
      <c r="B748" t="s">
        <v>3452</v>
      </c>
      <c r="C748" t="s">
        <v>3453</v>
      </c>
      <c r="D748" t="s">
        <v>24</v>
      </c>
      <c r="E748">
        <v>1993</v>
      </c>
      <c r="F748" t="s">
        <v>25</v>
      </c>
      <c r="G748" t="s">
        <v>3454</v>
      </c>
      <c r="H748" t="s">
        <v>20</v>
      </c>
      <c r="I748">
        <v>115</v>
      </c>
      <c r="J748" t="b">
        <v>0</v>
      </c>
      <c r="R748" t="str">
        <f t="shared" si="12"/>
        <v/>
      </c>
    </row>
    <row r="749" spans="1:18" x14ac:dyDescent="0.2">
      <c r="A749" t="s">
        <v>3455</v>
      </c>
      <c r="B749" t="s">
        <v>3456</v>
      </c>
      <c r="C749" t="s">
        <v>3457</v>
      </c>
      <c r="D749" t="s">
        <v>53</v>
      </c>
      <c r="E749">
        <v>2017</v>
      </c>
      <c r="F749" t="s">
        <v>25</v>
      </c>
      <c r="G749" t="s">
        <v>3458</v>
      </c>
      <c r="H749" t="s">
        <v>20</v>
      </c>
      <c r="I749">
        <v>42</v>
      </c>
      <c r="J749" t="b">
        <v>0</v>
      </c>
      <c r="R749" t="str">
        <f t="shared" si="12"/>
        <v/>
      </c>
    </row>
    <row r="750" spans="1:18" x14ac:dyDescent="0.2">
      <c r="A750" t="s">
        <v>3459</v>
      </c>
      <c r="B750" t="s">
        <v>3460</v>
      </c>
      <c r="C750" t="s">
        <v>3461</v>
      </c>
      <c r="D750" t="s">
        <v>198</v>
      </c>
      <c r="E750">
        <v>2014</v>
      </c>
      <c r="F750" t="s">
        <v>25</v>
      </c>
      <c r="G750" t="s">
        <v>3462</v>
      </c>
      <c r="H750" t="s">
        <v>481</v>
      </c>
      <c r="I750">
        <v>55</v>
      </c>
      <c r="J750" t="b">
        <v>0</v>
      </c>
      <c r="R750" t="str">
        <f t="shared" si="12"/>
        <v/>
      </c>
    </row>
    <row r="751" spans="1:18" x14ac:dyDescent="0.2">
      <c r="A751" t="s">
        <v>3463</v>
      </c>
      <c r="B751" t="s">
        <v>3464</v>
      </c>
      <c r="C751" t="s">
        <v>3465</v>
      </c>
      <c r="D751" t="s">
        <v>97</v>
      </c>
      <c r="E751">
        <v>2023</v>
      </c>
      <c r="F751" t="s">
        <v>3466</v>
      </c>
      <c r="G751" t="s">
        <v>3467</v>
      </c>
      <c r="H751" t="s">
        <v>20</v>
      </c>
      <c r="I751">
        <v>0</v>
      </c>
      <c r="J751" t="b">
        <v>0</v>
      </c>
      <c r="R751" t="str">
        <f t="shared" si="12"/>
        <v/>
      </c>
    </row>
    <row r="752" spans="1:18" x14ac:dyDescent="0.2">
      <c r="A752" t="s">
        <v>3468</v>
      </c>
      <c r="B752" t="s">
        <v>3469</v>
      </c>
      <c r="C752" t="s">
        <v>3470</v>
      </c>
      <c r="D752" t="s">
        <v>53</v>
      </c>
      <c r="E752">
        <v>1990</v>
      </c>
      <c r="F752" t="s">
        <v>3471</v>
      </c>
      <c r="G752" t="s">
        <v>3472</v>
      </c>
      <c r="H752" t="s">
        <v>77</v>
      </c>
      <c r="I752">
        <v>49</v>
      </c>
      <c r="J752" t="b">
        <v>0</v>
      </c>
      <c r="R752" t="str">
        <f t="shared" si="12"/>
        <v/>
      </c>
    </row>
    <row r="753" spans="1:18" x14ac:dyDescent="0.2">
      <c r="A753" t="s">
        <v>3473</v>
      </c>
      <c r="B753" t="s">
        <v>3474</v>
      </c>
      <c r="C753" t="s">
        <v>3475</v>
      </c>
      <c r="D753" t="s">
        <v>17</v>
      </c>
      <c r="E753">
        <v>1996</v>
      </c>
      <c r="F753" t="s">
        <v>25</v>
      </c>
      <c r="G753" t="s">
        <v>3476</v>
      </c>
      <c r="H753" t="s">
        <v>20</v>
      </c>
      <c r="I753">
        <v>56</v>
      </c>
      <c r="J753" t="b">
        <v>0</v>
      </c>
      <c r="R753" t="str">
        <f t="shared" si="12"/>
        <v/>
      </c>
    </row>
    <row r="754" spans="1:18" x14ac:dyDescent="0.2">
      <c r="A754" t="s">
        <v>3477</v>
      </c>
      <c r="B754" t="s">
        <v>3478</v>
      </c>
      <c r="C754" t="s">
        <v>3479</v>
      </c>
      <c r="D754" t="s">
        <v>198</v>
      </c>
      <c r="E754">
        <v>1999</v>
      </c>
      <c r="F754" t="s">
        <v>3480</v>
      </c>
      <c r="G754" t="s">
        <v>3481</v>
      </c>
      <c r="H754" t="s">
        <v>61</v>
      </c>
      <c r="I754">
        <v>2</v>
      </c>
      <c r="J754" t="b">
        <v>0</v>
      </c>
      <c r="R754" t="str">
        <f t="shared" si="12"/>
        <v/>
      </c>
    </row>
    <row r="755" spans="1:18" x14ac:dyDescent="0.2">
      <c r="A755" t="s">
        <v>3482</v>
      </c>
      <c r="B755" t="s">
        <v>3483</v>
      </c>
      <c r="C755" t="s">
        <v>3484</v>
      </c>
      <c r="D755" t="s">
        <v>17</v>
      </c>
      <c r="E755">
        <v>2000</v>
      </c>
      <c r="F755" t="s">
        <v>3485</v>
      </c>
      <c r="G755" t="s">
        <v>3486</v>
      </c>
      <c r="H755" t="s">
        <v>38</v>
      </c>
      <c r="I755">
        <v>140</v>
      </c>
      <c r="J755" t="b">
        <v>0</v>
      </c>
      <c r="R755" t="str">
        <f t="shared" si="12"/>
        <v/>
      </c>
    </row>
    <row r="756" spans="1:18" x14ac:dyDescent="0.2">
      <c r="A756" t="s">
        <v>3487</v>
      </c>
      <c r="B756" t="s">
        <v>3488</v>
      </c>
      <c r="C756" t="s">
        <v>3489</v>
      </c>
      <c r="D756" t="s">
        <v>17</v>
      </c>
      <c r="E756">
        <v>2011</v>
      </c>
      <c r="F756" t="s">
        <v>3490</v>
      </c>
      <c r="G756" t="s">
        <v>3491</v>
      </c>
      <c r="H756" t="s">
        <v>20</v>
      </c>
      <c r="I756">
        <v>48</v>
      </c>
      <c r="J756" t="b">
        <v>0</v>
      </c>
      <c r="R756" t="str">
        <f t="shared" si="12"/>
        <v/>
      </c>
    </row>
    <row r="757" spans="1:18" x14ac:dyDescent="0.2">
      <c r="A757" t="s">
        <v>3492</v>
      </c>
      <c r="B757" t="s">
        <v>3493</v>
      </c>
      <c r="C757" t="s">
        <v>3494</v>
      </c>
      <c r="D757" t="s">
        <v>17</v>
      </c>
      <c r="E757">
        <v>2005</v>
      </c>
      <c r="F757" t="s">
        <v>3495</v>
      </c>
      <c r="G757" t="s">
        <v>3496</v>
      </c>
      <c r="H757" t="s">
        <v>154</v>
      </c>
      <c r="I757">
        <v>149</v>
      </c>
      <c r="J757" t="b">
        <v>0</v>
      </c>
      <c r="R757" t="str">
        <f t="shared" si="12"/>
        <v/>
      </c>
    </row>
    <row r="758" spans="1:18" x14ac:dyDescent="0.2">
      <c r="A758" t="s">
        <v>3497</v>
      </c>
      <c r="B758" t="s">
        <v>3498</v>
      </c>
      <c r="C758" t="s">
        <v>3499</v>
      </c>
      <c r="D758" t="s">
        <v>47</v>
      </c>
      <c r="E758">
        <v>2013</v>
      </c>
      <c r="F758" t="s">
        <v>25</v>
      </c>
      <c r="G758" t="s">
        <v>3500</v>
      </c>
      <c r="H758" t="s">
        <v>20</v>
      </c>
      <c r="I758">
        <v>161</v>
      </c>
      <c r="J758" t="b">
        <v>0</v>
      </c>
      <c r="R758" t="str">
        <f t="shared" si="12"/>
        <v/>
      </c>
    </row>
    <row r="759" spans="1:18" x14ac:dyDescent="0.2">
      <c r="A759" t="s">
        <v>3501</v>
      </c>
      <c r="B759" t="s">
        <v>3502</v>
      </c>
      <c r="C759" t="s">
        <v>3503</v>
      </c>
      <c r="D759" t="s">
        <v>152</v>
      </c>
      <c r="E759">
        <v>2014</v>
      </c>
      <c r="F759" t="s">
        <v>25</v>
      </c>
      <c r="G759" t="s">
        <v>3504</v>
      </c>
      <c r="H759" t="s">
        <v>61</v>
      </c>
      <c r="I759">
        <v>27</v>
      </c>
      <c r="J759" t="b">
        <v>0</v>
      </c>
      <c r="R759" t="str">
        <f t="shared" si="12"/>
        <v/>
      </c>
    </row>
    <row r="760" spans="1:18" x14ac:dyDescent="0.2">
      <c r="A760" t="s">
        <v>3505</v>
      </c>
      <c r="B760" t="s">
        <v>3506</v>
      </c>
      <c r="C760" t="s">
        <v>3507</v>
      </c>
      <c r="D760" t="s">
        <v>97</v>
      </c>
      <c r="E760">
        <v>2023</v>
      </c>
      <c r="F760" t="s">
        <v>3508</v>
      </c>
      <c r="G760" t="s">
        <v>3509</v>
      </c>
      <c r="H760" t="s">
        <v>274</v>
      </c>
      <c r="I760">
        <v>1</v>
      </c>
      <c r="J760" t="b">
        <v>0</v>
      </c>
      <c r="R760" t="str">
        <f t="shared" si="12"/>
        <v/>
      </c>
    </row>
    <row r="761" spans="1:18" x14ac:dyDescent="0.2">
      <c r="A761" t="s">
        <v>3510</v>
      </c>
      <c r="B761" t="s">
        <v>3511</v>
      </c>
      <c r="C761" t="s">
        <v>3512</v>
      </c>
      <c r="D761" t="s">
        <v>53</v>
      </c>
      <c r="E761">
        <v>2007</v>
      </c>
      <c r="F761" t="s">
        <v>25</v>
      </c>
      <c r="G761" t="s">
        <v>3513</v>
      </c>
      <c r="H761" t="s">
        <v>20</v>
      </c>
      <c r="I761">
        <v>5</v>
      </c>
      <c r="J761" t="b">
        <v>0</v>
      </c>
      <c r="R761" t="str">
        <f t="shared" si="12"/>
        <v/>
      </c>
    </row>
    <row r="762" spans="1:18" x14ac:dyDescent="0.2">
      <c r="A762" t="s">
        <v>3514</v>
      </c>
      <c r="B762" t="s">
        <v>3515</v>
      </c>
      <c r="C762" t="s">
        <v>3516</v>
      </c>
      <c r="D762" t="s">
        <v>58</v>
      </c>
      <c r="E762">
        <v>2021</v>
      </c>
      <c r="F762" t="s">
        <v>3517</v>
      </c>
      <c r="G762" t="s">
        <v>3518</v>
      </c>
      <c r="H762" t="s">
        <v>61</v>
      </c>
      <c r="I762">
        <v>3</v>
      </c>
      <c r="J762" t="b">
        <v>0</v>
      </c>
      <c r="R762" t="str">
        <f t="shared" si="12"/>
        <v/>
      </c>
    </row>
    <row r="763" spans="1:18" x14ac:dyDescent="0.2">
      <c r="A763" t="s">
        <v>3519</v>
      </c>
      <c r="B763" t="s">
        <v>3520</v>
      </c>
      <c r="C763" t="s">
        <v>3521</v>
      </c>
      <c r="D763" t="s">
        <v>97</v>
      </c>
      <c r="E763">
        <v>2001</v>
      </c>
      <c r="F763" t="s">
        <v>3522</v>
      </c>
      <c r="G763" t="s">
        <v>3523</v>
      </c>
      <c r="H763" t="s">
        <v>111</v>
      </c>
      <c r="I763">
        <v>368</v>
      </c>
      <c r="J763" t="b">
        <v>0</v>
      </c>
      <c r="R763" t="str">
        <f t="shared" si="12"/>
        <v/>
      </c>
    </row>
    <row r="764" spans="1:18" x14ac:dyDescent="0.2">
      <c r="A764" t="s">
        <v>3524</v>
      </c>
      <c r="B764" t="s">
        <v>3525</v>
      </c>
      <c r="C764" t="s">
        <v>3526</v>
      </c>
      <c r="D764" t="s">
        <v>17</v>
      </c>
      <c r="E764">
        <v>1995</v>
      </c>
      <c r="F764" t="s">
        <v>3527</v>
      </c>
      <c r="G764" t="s">
        <v>3528</v>
      </c>
      <c r="H764" t="s">
        <v>20</v>
      </c>
      <c r="I764">
        <v>209</v>
      </c>
      <c r="J764" t="b">
        <v>0</v>
      </c>
      <c r="R764" t="str">
        <f t="shared" si="12"/>
        <v/>
      </c>
    </row>
    <row r="765" spans="1:18" x14ac:dyDescent="0.2">
      <c r="A765" t="s">
        <v>3529</v>
      </c>
      <c r="B765" t="s">
        <v>3530</v>
      </c>
      <c r="C765" t="s">
        <v>3531</v>
      </c>
      <c r="D765" t="s">
        <v>97</v>
      </c>
      <c r="E765">
        <v>1995</v>
      </c>
      <c r="F765" t="s">
        <v>25</v>
      </c>
      <c r="G765" t="s">
        <v>3532</v>
      </c>
      <c r="H765" t="s">
        <v>20</v>
      </c>
      <c r="I765">
        <v>15</v>
      </c>
      <c r="J765" t="b">
        <v>0</v>
      </c>
      <c r="R765" t="str">
        <f t="shared" si="12"/>
        <v/>
      </c>
    </row>
    <row r="766" spans="1:18" x14ac:dyDescent="0.2">
      <c r="A766" t="s">
        <v>3533</v>
      </c>
      <c r="B766" t="s">
        <v>3534</v>
      </c>
      <c r="C766" t="s">
        <v>3535</v>
      </c>
      <c r="D766" t="s">
        <v>152</v>
      </c>
      <c r="E766">
        <v>2011</v>
      </c>
      <c r="F766" t="s">
        <v>25</v>
      </c>
      <c r="G766" t="s">
        <v>3536</v>
      </c>
      <c r="H766" t="s">
        <v>20</v>
      </c>
      <c r="I766">
        <v>253</v>
      </c>
      <c r="J766" t="b">
        <v>0</v>
      </c>
      <c r="R766" t="str">
        <f t="shared" si="12"/>
        <v/>
      </c>
    </row>
    <row r="767" spans="1:18" x14ac:dyDescent="0.2">
      <c r="A767" t="s">
        <v>3537</v>
      </c>
      <c r="B767" t="s">
        <v>3538</v>
      </c>
      <c r="C767" t="s">
        <v>3539</v>
      </c>
      <c r="D767" t="s">
        <v>85</v>
      </c>
      <c r="E767">
        <v>2015</v>
      </c>
      <c r="F767" t="s">
        <v>3540</v>
      </c>
      <c r="G767" t="s">
        <v>3541</v>
      </c>
      <c r="H767" t="s">
        <v>154</v>
      </c>
      <c r="I767">
        <v>67</v>
      </c>
      <c r="J767" t="b">
        <v>0</v>
      </c>
      <c r="R767" t="str">
        <f t="shared" si="12"/>
        <v/>
      </c>
    </row>
    <row r="768" spans="1:18" x14ac:dyDescent="0.2">
      <c r="A768" t="s">
        <v>3542</v>
      </c>
      <c r="B768" t="s">
        <v>3543</v>
      </c>
      <c r="C768" t="s">
        <v>3544</v>
      </c>
      <c r="D768" t="s">
        <v>17</v>
      </c>
      <c r="E768">
        <v>2006</v>
      </c>
      <c r="F768" t="s">
        <v>3545</v>
      </c>
      <c r="G768" t="s">
        <v>3546</v>
      </c>
      <c r="H768" t="s">
        <v>1189</v>
      </c>
      <c r="I768">
        <v>85</v>
      </c>
      <c r="J768" t="b">
        <v>0</v>
      </c>
      <c r="R768" t="str">
        <f t="shared" si="12"/>
        <v/>
      </c>
    </row>
    <row r="769" spans="1:18" x14ac:dyDescent="0.2">
      <c r="A769" t="s">
        <v>3547</v>
      </c>
      <c r="B769" t="s">
        <v>3548</v>
      </c>
      <c r="C769" t="s">
        <v>3549</v>
      </c>
      <c r="D769" t="s">
        <v>53</v>
      </c>
      <c r="E769">
        <v>2001</v>
      </c>
      <c r="F769" t="s">
        <v>3550</v>
      </c>
      <c r="G769" t="s">
        <v>3551</v>
      </c>
      <c r="H769" t="s">
        <v>20</v>
      </c>
      <c r="I769">
        <v>169</v>
      </c>
      <c r="J769" t="b">
        <v>0</v>
      </c>
      <c r="R769" t="str">
        <f t="shared" si="12"/>
        <v/>
      </c>
    </row>
    <row r="770" spans="1:18" x14ac:dyDescent="0.2">
      <c r="A770" t="s">
        <v>3552</v>
      </c>
      <c r="B770" t="s">
        <v>3553</v>
      </c>
      <c r="C770" t="s">
        <v>3554</v>
      </c>
      <c r="D770" t="s">
        <v>97</v>
      </c>
      <c r="E770">
        <v>1997</v>
      </c>
      <c r="F770" t="s">
        <v>25</v>
      </c>
      <c r="G770" t="s">
        <v>3555</v>
      </c>
      <c r="H770" t="s">
        <v>657</v>
      </c>
      <c r="I770">
        <v>43</v>
      </c>
      <c r="J770" t="b">
        <v>0</v>
      </c>
      <c r="R770" t="str">
        <f t="shared" si="12"/>
        <v/>
      </c>
    </row>
    <row r="771" spans="1:18" x14ac:dyDescent="0.2">
      <c r="A771" t="s">
        <v>3556</v>
      </c>
      <c r="B771" t="s">
        <v>3557</v>
      </c>
      <c r="C771" t="s">
        <v>3558</v>
      </c>
      <c r="D771" t="s">
        <v>53</v>
      </c>
      <c r="E771">
        <v>2024</v>
      </c>
      <c r="F771" t="s">
        <v>3559</v>
      </c>
      <c r="G771" t="s">
        <v>3560</v>
      </c>
      <c r="H771" t="s">
        <v>254</v>
      </c>
      <c r="I771">
        <v>1</v>
      </c>
      <c r="J771" t="b">
        <v>0</v>
      </c>
      <c r="R771" t="str">
        <f t="shared" ref="R771:R801" si="13">IF(Q771&lt;&gt;N771,"!!!","")</f>
        <v/>
      </c>
    </row>
    <row r="772" spans="1:18" x14ac:dyDescent="0.2">
      <c r="A772" t="s">
        <v>3561</v>
      </c>
      <c r="B772" t="s">
        <v>3562</v>
      </c>
      <c r="C772" t="s">
        <v>3563</v>
      </c>
      <c r="D772" t="s">
        <v>17</v>
      </c>
      <c r="E772">
        <v>2004</v>
      </c>
      <c r="F772" t="s">
        <v>3564</v>
      </c>
      <c r="G772" t="s">
        <v>3565</v>
      </c>
      <c r="H772" t="s">
        <v>20</v>
      </c>
      <c r="I772">
        <v>98</v>
      </c>
      <c r="J772" t="b">
        <v>0</v>
      </c>
      <c r="R772" t="str">
        <f t="shared" si="13"/>
        <v/>
      </c>
    </row>
    <row r="773" spans="1:18" x14ac:dyDescent="0.2">
      <c r="A773" t="s">
        <v>3566</v>
      </c>
      <c r="B773" t="s">
        <v>3567</v>
      </c>
      <c r="C773" t="s">
        <v>3568</v>
      </c>
      <c r="D773" t="s">
        <v>24</v>
      </c>
      <c r="E773">
        <v>2003</v>
      </c>
      <c r="F773" t="s">
        <v>25</v>
      </c>
      <c r="G773" t="s">
        <v>3569</v>
      </c>
      <c r="H773" t="s">
        <v>20</v>
      </c>
      <c r="I773">
        <v>126</v>
      </c>
      <c r="J773" t="b">
        <v>0</v>
      </c>
      <c r="R773" t="str">
        <f t="shared" si="13"/>
        <v/>
      </c>
    </row>
    <row r="774" spans="1:18" x14ac:dyDescent="0.2">
      <c r="A774" t="s">
        <v>3570</v>
      </c>
      <c r="B774" t="s">
        <v>3571</v>
      </c>
      <c r="C774" t="s">
        <v>3572</v>
      </c>
      <c r="D774" t="s">
        <v>152</v>
      </c>
      <c r="E774">
        <v>2016</v>
      </c>
      <c r="F774" t="s">
        <v>25</v>
      </c>
      <c r="G774" t="s">
        <v>3573</v>
      </c>
      <c r="H774" t="s">
        <v>128</v>
      </c>
      <c r="I774">
        <v>36</v>
      </c>
      <c r="J774" t="b">
        <v>0</v>
      </c>
      <c r="R774" t="str">
        <f t="shared" si="13"/>
        <v/>
      </c>
    </row>
    <row r="775" spans="1:18" x14ac:dyDescent="0.2">
      <c r="A775" t="s">
        <v>3574</v>
      </c>
      <c r="B775" t="s">
        <v>3575</v>
      </c>
      <c r="C775" t="s">
        <v>3576</v>
      </c>
      <c r="D775" t="s">
        <v>152</v>
      </c>
      <c r="E775">
        <v>2004</v>
      </c>
      <c r="F775" t="s">
        <v>25</v>
      </c>
      <c r="G775" t="s">
        <v>3577</v>
      </c>
      <c r="H775" t="s">
        <v>105</v>
      </c>
      <c r="I775">
        <v>152</v>
      </c>
      <c r="J775" t="b">
        <v>0</v>
      </c>
      <c r="R775" t="str">
        <f t="shared" si="13"/>
        <v/>
      </c>
    </row>
    <row r="776" spans="1:18" x14ac:dyDescent="0.2">
      <c r="A776" t="s">
        <v>3578</v>
      </c>
      <c r="B776" t="s">
        <v>3579</v>
      </c>
      <c r="C776" t="s">
        <v>3580</v>
      </c>
      <c r="D776" t="s">
        <v>58</v>
      </c>
      <c r="E776">
        <v>2007</v>
      </c>
      <c r="F776" t="s">
        <v>3581</v>
      </c>
      <c r="G776" t="s">
        <v>3582</v>
      </c>
      <c r="H776" t="s">
        <v>322</v>
      </c>
      <c r="I776">
        <v>24</v>
      </c>
      <c r="J776" t="b">
        <v>0</v>
      </c>
      <c r="R776" t="str">
        <f t="shared" si="13"/>
        <v/>
      </c>
    </row>
    <row r="777" spans="1:18" x14ac:dyDescent="0.2">
      <c r="A777" t="s">
        <v>3583</v>
      </c>
      <c r="B777" t="s">
        <v>3584</v>
      </c>
      <c r="C777" t="s">
        <v>3585</v>
      </c>
      <c r="D777" t="s">
        <v>198</v>
      </c>
      <c r="E777">
        <v>2024</v>
      </c>
      <c r="F777" t="s">
        <v>25</v>
      </c>
      <c r="G777" t="s">
        <v>3586</v>
      </c>
      <c r="H777" t="s">
        <v>61</v>
      </c>
      <c r="I777">
        <v>2</v>
      </c>
      <c r="J777" t="b">
        <v>0</v>
      </c>
      <c r="R777" t="str">
        <f t="shared" si="13"/>
        <v/>
      </c>
    </row>
    <row r="778" spans="1:18" x14ac:dyDescent="0.2">
      <c r="A778" t="s">
        <v>3587</v>
      </c>
      <c r="B778" t="s">
        <v>3588</v>
      </c>
      <c r="C778" t="s">
        <v>3589</v>
      </c>
      <c r="D778" t="s">
        <v>58</v>
      </c>
      <c r="E778">
        <v>1996</v>
      </c>
      <c r="F778" t="s">
        <v>3590</v>
      </c>
      <c r="G778" t="s">
        <v>3591</v>
      </c>
      <c r="H778" t="s">
        <v>3592</v>
      </c>
      <c r="I778">
        <v>59</v>
      </c>
      <c r="J778" t="b">
        <v>0</v>
      </c>
      <c r="R778" t="str">
        <f t="shared" si="13"/>
        <v/>
      </c>
    </row>
    <row r="779" spans="1:18" x14ac:dyDescent="0.2">
      <c r="A779" t="s">
        <v>3593</v>
      </c>
      <c r="B779" t="s">
        <v>3594</v>
      </c>
      <c r="C779" t="s">
        <v>3595</v>
      </c>
      <c r="D779" t="s">
        <v>97</v>
      </c>
      <c r="E779">
        <v>2005</v>
      </c>
      <c r="F779" t="s">
        <v>3596</v>
      </c>
      <c r="G779" t="s">
        <v>3597</v>
      </c>
      <c r="H779" t="s">
        <v>20</v>
      </c>
      <c r="I779">
        <v>143</v>
      </c>
      <c r="J779" t="b">
        <v>0</v>
      </c>
      <c r="R779" t="str">
        <f t="shared" si="13"/>
        <v/>
      </c>
    </row>
    <row r="780" spans="1:18" x14ac:dyDescent="0.2">
      <c r="A780" t="s">
        <v>3598</v>
      </c>
      <c r="B780" t="s">
        <v>3599</v>
      </c>
      <c r="C780" t="s">
        <v>3600</v>
      </c>
      <c r="D780" t="s">
        <v>97</v>
      </c>
      <c r="E780">
        <v>2013</v>
      </c>
      <c r="F780" t="s">
        <v>3601</v>
      </c>
      <c r="G780" t="s">
        <v>3602</v>
      </c>
      <c r="H780" t="s">
        <v>128</v>
      </c>
      <c r="I780">
        <v>56</v>
      </c>
      <c r="J780" t="b">
        <v>0</v>
      </c>
      <c r="R780" t="str">
        <f t="shared" si="13"/>
        <v/>
      </c>
    </row>
    <row r="781" spans="1:18" x14ac:dyDescent="0.2">
      <c r="A781" t="s">
        <v>3603</v>
      </c>
      <c r="B781" t="s">
        <v>3604</v>
      </c>
      <c r="C781" t="s">
        <v>3605</v>
      </c>
      <c r="D781" t="s">
        <v>85</v>
      </c>
      <c r="E781">
        <v>2020</v>
      </c>
      <c r="F781" t="s">
        <v>3606</v>
      </c>
      <c r="G781" t="s">
        <v>3607</v>
      </c>
      <c r="H781" t="s">
        <v>154</v>
      </c>
      <c r="I781">
        <v>11</v>
      </c>
      <c r="J781" t="b">
        <v>0</v>
      </c>
      <c r="R781" t="str">
        <f t="shared" si="13"/>
        <v/>
      </c>
    </row>
    <row r="782" spans="1:18" x14ac:dyDescent="0.2">
      <c r="A782" t="s">
        <v>3608</v>
      </c>
      <c r="B782" t="s">
        <v>3609</v>
      </c>
      <c r="C782" t="s">
        <v>3610</v>
      </c>
      <c r="D782" t="s">
        <v>24</v>
      </c>
      <c r="E782">
        <v>2010</v>
      </c>
      <c r="F782" t="s">
        <v>25</v>
      </c>
      <c r="G782" t="s">
        <v>3611</v>
      </c>
      <c r="H782" t="s">
        <v>20</v>
      </c>
      <c r="I782">
        <v>16</v>
      </c>
      <c r="J782" t="b">
        <v>0</v>
      </c>
      <c r="R782" t="str">
        <f t="shared" si="13"/>
        <v/>
      </c>
    </row>
    <row r="783" spans="1:18" x14ac:dyDescent="0.2">
      <c r="A783" t="s">
        <v>3612</v>
      </c>
      <c r="B783" t="s">
        <v>3613</v>
      </c>
      <c r="C783" t="s">
        <v>3614</v>
      </c>
      <c r="D783" t="s">
        <v>17</v>
      </c>
      <c r="E783">
        <v>2018</v>
      </c>
      <c r="F783" t="s">
        <v>3615</v>
      </c>
      <c r="G783" t="s">
        <v>3616</v>
      </c>
      <c r="H783" t="s">
        <v>20</v>
      </c>
      <c r="I783">
        <v>17</v>
      </c>
      <c r="J783" t="b">
        <v>0</v>
      </c>
      <c r="R783" t="str">
        <f t="shared" si="13"/>
        <v/>
      </c>
    </row>
    <row r="784" spans="1:18" x14ac:dyDescent="0.2">
      <c r="A784" t="s">
        <v>3617</v>
      </c>
      <c r="B784" t="s">
        <v>3618</v>
      </c>
      <c r="C784" t="s">
        <v>3619</v>
      </c>
      <c r="D784" t="s">
        <v>152</v>
      </c>
      <c r="E784">
        <v>2014</v>
      </c>
      <c r="F784" t="s">
        <v>25</v>
      </c>
      <c r="G784" t="s">
        <v>3620</v>
      </c>
      <c r="H784" t="s">
        <v>154</v>
      </c>
      <c r="I784">
        <v>302</v>
      </c>
      <c r="J784" t="b">
        <v>0</v>
      </c>
      <c r="R784" t="str">
        <f t="shared" si="13"/>
        <v/>
      </c>
    </row>
    <row r="785" spans="1:18" x14ac:dyDescent="0.2">
      <c r="A785" t="s">
        <v>3621</v>
      </c>
      <c r="B785" t="s">
        <v>3622</v>
      </c>
      <c r="C785" t="s">
        <v>3623</v>
      </c>
      <c r="D785" t="s">
        <v>97</v>
      </c>
      <c r="E785">
        <v>2006</v>
      </c>
      <c r="F785" t="s">
        <v>3624</v>
      </c>
      <c r="G785" t="s">
        <v>3625</v>
      </c>
      <c r="H785" t="s">
        <v>67</v>
      </c>
      <c r="I785">
        <v>107</v>
      </c>
      <c r="J785" t="b">
        <v>0</v>
      </c>
      <c r="R785" t="str">
        <f t="shared" si="13"/>
        <v/>
      </c>
    </row>
    <row r="786" spans="1:18" x14ac:dyDescent="0.2">
      <c r="A786" t="s">
        <v>3626</v>
      </c>
      <c r="B786" t="s">
        <v>3627</v>
      </c>
      <c r="C786" t="s">
        <v>3628</v>
      </c>
      <c r="D786" t="s">
        <v>97</v>
      </c>
      <c r="E786">
        <v>2011</v>
      </c>
      <c r="F786" t="s">
        <v>3629</v>
      </c>
      <c r="G786" t="s">
        <v>3630</v>
      </c>
      <c r="H786" t="s">
        <v>274</v>
      </c>
      <c r="I786">
        <v>8</v>
      </c>
      <c r="J786" t="b">
        <v>0</v>
      </c>
      <c r="R786" t="str">
        <f t="shared" si="13"/>
        <v/>
      </c>
    </row>
    <row r="787" spans="1:18" x14ac:dyDescent="0.2">
      <c r="A787" t="s">
        <v>3631</v>
      </c>
      <c r="B787" t="s">
        <v>3632</v>
      </c>
      <c r="C787" t="s">
        <v>3633</v>
      </c>
      <c r="D787" t="s">
        <v>85</v>
      </c>
      <c r="E787">
        <v>1993</v>
      </c>
      <c r="F787" t="s">
        <v>25</v>
      </c>
      <c r="G787" t="s">
        <v>3634</v>
      </c>
      <c r="H787" t="s">
        <v>647</v>
      </c>
      <c r="I787">
        <v>55</v>
      </c>
      <c r="J787" t="b">
        <v>0</v>
      </c>
      <c r="R787" t="str">
        <f t="shared" si="13"/>
        <v/>
      </c>
    </row>
    <row r="788" spans="1:18" x14ac:dyDescent="0.2">
      <c r="A788" t="s">
        <v>3635</v>
      </c>
      <c r="B788" t="s">
        <v>3636</v>
      </c>
      <c r="C788" t="s">
        <v>3637</v>
      </c>
      <c r="D788" t="s">
        <v>97</v>
      </c>
      <c r="E788">
        <v>2024</v>
      </c>
      <c r="F788" t="s">
        <v>3638</v>
      </c>
      <c r="G788" t="s">
        <v>3639</v>
      </c>
      <c r="H788" t="s">
        <v>20</v>
      </c>
      <c r="I788">
        <v>1</v>
      </c>
      <c r="J788" t="b">
        <v>0</v>
      </c>
      <c r="R788" t="str">
        <f t="shared" si="13"/>
        <v/>
      </c>
    </row>
    <row r="789" spans="1:18" x14ac:dyDescent="0.2">
      <c r="A789" t="s">
        <v>3640</v>
      </c>
      <c r="B789" t="s">
        <v>3641</v>
      </c>
      <c r="C789" t="s">
        <v>3642</v>
      </c>
      <c r="D789" t="s">
        <v>58</v>
      </c>
      <c r="E789">
        <v>1998</v>
      </c>
      <c r="F789" t="s">
        <v>3643</v>
      </c>
      <c r="G789" t="s">
        <v>3644</v>
      </c>
      <c r="H789" t="s">
        <v>1015</v>
      </c>
      <c r="I789">
        <v>26</v>
      </c>
      <c r="J789" t="b">
        <v>0</v>
      </c>
      <c r="R789" t="str">
        <f t="shared" si="13"/>
        <v/>
      </c>
    </row>
    <row r="790" spans="1:18" x14ac:dyDescent="0.2">
      <c r="A790" t="s">
        <v>3645</v>
      </c>
      <c r="B790" t="s">
        <v>3646</v>
      </c>
      <c r="C790" t="s">
        <v>3647</v>
      </c>
      <c r="D790" t="s">
        <v>58</v>
      </c>
      <c r="E790">
        <v>2000</v>
      </c>
      <c r="F790" t="s">
        <v>3648</v>
      </c>
      <c r="G790" t="s">
        <v>3649</v>
      </c>
      <c r="H790" t="s">
        <v>647</v>
      </c>
      <c r="I790">
        <v>94</v>
      </c>
      <c r="J790" t="b">
        <v>0</v>
      </c>
      <c r="R790" t="str">
        <f t="shared" si="13"/>
        <v/>
      </c>
    </row>
    <row r="791" spans="1:18" x14ac:dyDescent="0.2">
      <c r="A791" t="s">
        <v>3650</v>
      </c>
      <c r="B791" t="s">
        <v>3651</v>
      </c>
      <c r="C791" t="s">
        <v>3652</v>
      </c>
      <c r="D791" t="s">
        <v>97</v>
      </c>
      <c r="E791">
        <v>2006</v>
      </c>
      <c r="F791" t="s">
        <v>3653</v>
      </c>
      <c r="G791" t="s">
        <v>3654</v>
      </c>
      <c r="H791" t="s">
        <v>3321</v>
      </c>
      <c r="I791">
        <v>66</v>
      </c>
      <c r="J791" t="b">
        <v>0</v>
      </c>
      <c r="R791" t="str">
        <f t="shared" si="13"/>
        <v/>
      </c>
    </row>
    <row r="792" spans="1:18" x14ac:dyDescent="0.2">
      <c r="A792" t="s">
        <v>3655</v>
      </c>
      <c r="B792" t="s">
        <v>3656</v>
      </c>
      <c r="C792" t="s">
        <v>3657</v>
      </c>
      <c r="D792" t="s">
        <v>97</v>
      </c>
      <c r="E792">
        <v>2009</v>
      </c>
      <c r="F792" t="s">
        <v>3658</v>
      </c>
      <c r="G792" t="s">
        <v>3659</v>
      </c>
      <c r="H792" t="s">
        <v>20</v>
      </c>
      <c r="I792">
        <v>105</v>
      </c>
      <c r="J792" t="b">
        <v>0</v>
      </c>
      <c r="R792" t="str">
        <f t="shared" si="13"/>
        <v/>
      </c>
    </row>
    <row r="793" spans="1:18" x14ac:dyDescent="0.2">
      <c r="A793" t="s">
        <v>3660</v>
      </c>
      <c r="B793" t="s">
        <v>3661</v>
      </c>
      <c r="C793" t="s">
        <v>3662</v>
      </c>
      <c r="D793" t="s">
        <v>24</v>
      </c>
      <c r="E793">
        <v>2013</v>
      </c>
      <c r="F793" t="s">
        <v>25</v>
      </c>
      <c r="G793" t="s">
        <v>3663</v>
      </c>
      <c r="H793" t="s">
        <v>20</v>
      </c>
      <c r="I793">
        <v>7</v>
      </c>
      <c r="J793" t="b">
        <v>0</v>
      </c>
      <c r="R793" t="str">
        <f t="shared" si="13"/>
        <v/>
      </c>
    </row>
    <row r="794" spans="1:18" x14ac:dyDescent="0.2">
      <c r="A794" t="s">
        <v>3664</v>
      </c>
      <c r="B794" t="s">
        <v>3665</v>
      </c>
      <c r="C794" t="s">
        <v>3666</v>
      </c>
      <c r="D794" t="s">
        <v>24</v>
      </c>
      <c r="E794">
        <v>2008</v>
      </c>
      <c r="F794" t="s">
        <v>25</v>
      </c>
      <c r="G794" t="s">
        <v>3667</v>
      </c>
      <c r="H794" t="s">
        <v>111</v>
      </c>
      <c r="I794">
        <v>32</v>
      </c>
      <c r="J794" t="b">
        <v>0</v>
      </c>
      <c r="R794" t="str">
        <f t="shared" si="13"/>
        <v/>
      </c>
    </row>
    <row r="795" spans="1:18" x14ac:dyDescent="0.2">
      <c r="A795" t="s">
        <v>3668</v>
      </c>
      <c r="B795" t="s">
        <v>3669</v>
      </c>
      <c r="C795" t="s">
        <v>3670</v>
      </c>
      <c r="D795" t="s">
        <v>58</v>
      </c>
      <c r="E795">
        <v>2020</v>
      </c>
      <c r="F795" t="s">
        <v>3671</v>
      </c>
      <c r="G795" t="s">
        <v>3672</v>
      </c>
      <c r="H795" t="s">
        <v>20</v>
      </c>
      <c r="I795">
        <v>53</v>
      </c>
      <c r="J795" t="b">
        <v>0</v>
      </c>
      <c r="R795" t="str">
        <f t="shared" si="13"/>
        <v/>
      </c>
    </row>
    <row r="796" spans="1:18" x14ac:dyDescent="0.2">
      <c r="A796" t="s">
        <v>3673</v>
      </c>
      <c r="B796" t="s">
        <v>3674</v>
      </c>
      <c r="C796" t="s">
        <v>3675</v>
      </c>
      <c r="D796" t="s">
        <v>152</v>
      </c>
      <c r="E796">
        <v>2017</v>
      </c>
      <c r="F796" t="s">
        <v>3676</v>
      </c>
      <c r="G796" t="s">
        <v>3677</v>
      </c>
      <c r="H796" t="s">
        <v>111</v>
      </c>
      <c r="I796">
        <v>5</v>
      </c>
      <c r="J796" t="b">
        <v>0</v>
      </c>
      <c r="R796" t="str">
        <f t="shared" si="13"/>
        <v/>
      </c>
    </row>
    <row r="797" spans="1:18" x14ac:dyDescent="0.2">
      <c r="A797" t="s">
        <v>3678</v>
      </c>
      <c r="B797" t="s">
        <v>3679</v>
      </c>
      <c r="C797" t="s">
        <v>3680</v>
      </c>
      <c r="D797" t="s">
        <v>152</v>
      </c>
      <c r="E797">
        <v>2020</v>
      </c>
      <c r="F797" t="s">
        <v>3681</v>
      </c>
      <c r="G797" t="s">
        <v>3682</v>
      </c>
      <c r="H797" t="s">
        <v>190</v>
      </c>
      <c r="I797">
        <v>5</v>
      </c>
      <c r="J797" t="b">
        <v>0</v>
      </c>
      <c r="R797" t="str">
        <f t="shared" si="13"/>
        <v/>
      </c>
    </row>
    <row r="798" spans="1:18" x14ac:dyDescent="0.2">
      <c r="A798" t="s">
        <v>3683</v>
      </c>
      <c r="B798" t="s">
        <v>3684</v>
      </c>
      <c r="C798" t="s">
        <v>3685</v>
      </c>
      <c r="D798" t="s">
        <v>58</v>
      </c>
      <c r="E798">
        <v>2022</v>
      </c>
      <c r="F798" t="s">
        <v>3686</v>
      </c>
      <c r="G798" t="s">
        <v>3687</v>
      </c>
      <c r="H798" t="s">
        <v>274</v>
      </c>
      <c r="I798">
        <v>106</v>
      </c>
      <c r="J798" t="b">
        <v>0</v>
      </c>
      <c r="R798" t="str">
        <f t="shared" si="13"/>
        <v/>
      </c>
    </row>
    <row r="799" spans="1:18" x14ac:dyDescent="0.2">
      <c r="A799" t="s">
        <v>3688</v>
      </c>
      <c r="B799" t="s">
        <v>3689</v>
      </c>
      <c r="C799" t="s">
        <v>3690</v>
      </c>
      <c r="D799" t="s">
        <v>53</v>
      </c>
      <c r="E799">
        <v>1994</v>
      </c>
      <c r="F799" t="s">
        <v>3691</v>
      </c>
      <c r="G799" t="s">
        <v>3692</v>
      </c>
      <c r="H799" t="s">
        <v>647</v>
      </c>
      <c r="I799">
        <v>14</v>
      </c>
      <c r="J799" t="b">
        <v>0</v>
      </c>
      <c r="R799" t="str">
        <f t="shared" si="13"/>
        <v/>
      </c>
    </row>
    <row r="800" spans="1:18" x14ac:dyDescent="0.2">
      <c r="A800" t="s">
        <v>3693</v>
      </c>
      <c r="B800" t="s">
        <v>3694</v>
      </c>
      <c r="C800" t="s">
        <v>3695</v>
      </c>
      <c r="D800" t="s">
        <v>152</v>
      </c>
      <c r="E800">
        <v>2010</v>
      </c>
      <c r="F800" t="s">
        <v>25</v>
      </c>
      <c r="G800" t="s">
        <v>3696</v>
      </c>
      <c r="H800" t="s">
        <v>20</v>
      </c>
      <c r="I800">
        <v>30</v>
      </c>
      <c r="J800" t="b">
        <v>0</v>
      </c>
      <c r="R800" t="str">
        <f t="shared" si="13"/>
        <v/>
      </c>
    </row>
    <row r="801" spans="1:18" x14ac:dyDescent="0.2">
      <c r="A801" t="s">
        <v>3697</v>
      </c>
      <c r="B801" t="s">
        <v>3698</v>
      </c>
      <c r="C801" t="s">
        <v>3699</v>
      </c>
      <c r="D801" t="s">
        <v>152</v>
      </c>
      <c r="E801">
        <v>2021</v>
      </c>
      <c r="F801" t="s">
        <v>3700</v>
      </c>
      <c r="G801" t="s">
        <v>3701</v>
      </c>
      <c r="H801" t="s">
        <v>3702</v>
      </c>
      <c r="I801">
        <v>32</v>
      </c>
      <c r="J801" t="b">
        <v>0</v>
      </c>
      <c r="R801" t="str">
        <f t="shared" si="13"/>
        <v/>
      </c>
    </row>
  </sheetData>
  <autoFilter ref="J1:J801" xr:uid="{379128C6-9F83-43F4-8252-B29F463EA77B}"/>
  <conditionalFormatting sqref="Q2">
    <cfRule type="expression" dxfId="1" priority="1">
      <formula>Q2&lt;&gt;$N$2</formula>
    </cfRule>
  </conditionalFormatting>
  <conditionalFormatting sqref="R2:R801">
    <cfRule type="expression" dxfId="0" priority="2">
      <formula>Q2&lt;&gt;$N$2</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B324-1A52-4D57-A676-599AEF313DF3}">
  <dimension ref="A1:E15"/>
  <sheetViews>
    <sheetView workbookViewId="0">
      <selection activeCell="D11" sqref="D11"/>
    </sheetView>
  </sheetViews>
  <sheetFormatPr baseColWidth="10" defaultColWidth="8.83203125" defaultRowHeight="15" x14ac:dyDescent="0.2"/>
  <cols>
    <col min="4" max="4" width="12" bestFit="1" customWidth="1"/>
  </cols>
  <sheetData>
    <row r="1" spans="1:5" x14ac:dyDescent="0.2">
      <c r="A1" t="s">
        <v>3751</v>
      </c>
      <c r="C1" t="s">
        <v>3748</v>
      </c>
      <c r="D1" t="s">
        <v>3749</v>
      </c>
      <c r="E1" t="s">
        <v>3750</v>
      </c>
    </row>
    <row r="2" spans="1:5" x14ac:dyDescent="0.2">
      <c r="A2" t="s">
        <v>3739</v>
      </c>
      <c r="C2">
        <f>ROWS(in!Q2:Q100)</f>
        <v>99</v>
      </c>
      <c r="D2">
        <f>ROWS(in!J2:J100)</f>
        <v>99</v>
      </c>
      <c r="E2">
        <f>ROWS(in!L2:L101)</f>
        <v>100</v>
      </c>
    </row>
    <row r="3" spans="1:5" x14ac:dyDescent="0.2">
      <c r="A3" t="s">
        <v>3740</v>
      </c>
      <c r="C3" cm="1">
        <f t="array" ref="C3">SUMPRODUCT(--(in!Q2:Q100 = in!N2:N100))</f>
        <v>91</v>
      </c>
      <c r="D3" cm="1">
        <f t="array" ref="D3">SUMPRODUCT(--(in!J2:J100 = in!O2:O100))</f>
        <v>73</v>
      </c>
      <c r="E3" cm="1">
        <f t="array" ref="E3">SUMPRODUCT(--(in!L2:L101 = in!N2:N101))</f>
        <v>95</v>
      </c>
    </row>
    <row r="4" spans="1:5" x14ac:dyDescent="0.2">
      <c r="A4" t="s">
        <v>3741</v>
      </c>
      <c r="C4">
        <f>C3 / C2</f>
        <v>0.91919191919191923</v>
      </c>
      <c r="D4">
        <f>D3 / D2</f>
        <v>0.73737373737373735</v>
      </c>
      <c r="E4">
        <f>E3 / E2</f>
        <v>0.95</v>
      </c>
    </row>
    <row r="5" spans="1:5" x14ac:dyDescent="0.2">
      <c r="A5" t="s">
        <v>3742</v>
      </c>
      <c r="C5">
        <f>COUNTIF(in!Q2:Q100, TRUE) / C2</f>
        <v>0.23232323232323232</v>
      </c>
      <c r="D5">
        <f>COUNTIF(in!Q2:Q100, TRUE) / D2</f>
        <v>0.23232323232323232</v>
      </c>
      <c r="E5">
        <f>COUNTIF(in!L2:L101, TRUE) / E2</f>
        <v>0.17</v>
      </c>
    </row>
    <row r="6" spans="1:5" x14ac:dyDescent="0.2">
      <c r="A6" t="s">
        <v>3743</v>
      </c>
      <c r="C6">
        <f>COUNTIF(in!Q2:Q100, FALSE) / C2</f>
        <v>0.74747474747474751</v>
      </c>
      <c r="D6">
        <f>COUNTIF(in!Q2:Q100, FALSE) / D2</f>
        <v>0.74747474747474751</v>
      </c>
      <c r="E6">
        <f>COUNTIF(in!L2:L101, FALSE) / E2</f>
        <v>0.81</v>
      </c>
    </row>
    <row r="7" spans="1:5" x14ac:dyDescent="0.2">
      <c r="A7" t="s">
        <v>3744</v>
      </c>
      <c r="C7">
        <f>COUNTIF(in!N2:N100, TRUE) / C2</f>
        <v>0.19191919191919191</v>
      </c>
      <c r="D7">
        <f>COUNTIF(in!N2:N100, TRUE) / D2</f>
        <v>0.19191919191919191</v>
      </c>
      <c r="E7">
        <f>COUNTIF(in!N2:N101, TRUE) / E2</f>
        <v>0.2</v>
      </c>
    </row>
    <row r="8" spans="1:5" x14ac:dyDescent="0.2">
      <c r="A8" t="s">
        <v>3745</v>
      </c>
      <c r="C8">
        <f>COUNTIF(in!N2:N100, FALSE) / C2</f>
        <v>0.78787878787878785</v>
      </c>
      <c r="D8">
        <f>COUNTIF(in!N2:N100, FALSE) / D2</f>
        <v>0.78787878787878785</v>
      </c>
      <c r="E8">
        <f>COUNTIF(in!N2:N101, FALSE) / E2</f>
        <v>0.78</v>
      </c>
    </row>
    <row r="9" spans="1:5" x14ac:dyDescent="0.2">
      <c r="A9" t="s">
        <v>3746</v>
      </c>
      <c r="C9">
        <f xml:space="preserve"> C5 * C7  +  C6 * C8</f>
        <v>0.63350678502193658</v>
      </c>
      <c r="D9">
        <f xml:space="preserve"> D5 * D7  +  D6 * D8</f>
        <v>0.63350678502193658</v>
      </c>
      <c r="E9">
        <f xml:space="preserve"> E5 * E7  +  E6 * E8</f>
        <v>0.66580000000000006</v>
      </c>
    </row>
    <row r="10" spans="1:5" x14ac:dyDescent="0.2">
      <c r="A10" t="s">
        <v>3747</v>
      </c>
      <c r="C10">
        <f xml:space="preserve"> ( C4 - C9 ) / ( 1 - C9 )</f>
        <v>0.77951002227171495</v>
      </c>
      <c r="D10">
        <f xml:space="preserve"> ( D4 - D9 ) / ( 1 - D9 )</f>
        <v>0.28340757238307335</v>
      </c>
      <c r="E10">
        <f xml:space="preserve"> ( E4 - E9 ) / ( 1 - E9 )</f>
        <v>0.85038898862956303</v>
      </c>
    </row>
    <row r="11" spans="1:5" x14ac:dyDescent="0.2">
      <c r="A11" t="s">
        <v>3759</v>
      </c>
      <c r="C11" s="5">
        <f>C10*100</f>
        <v>77.9510022271715</v>
      </c>
      <c r="D11" s="5">
        <f>D10*100</f>
        <v>28.340757238307333</v>
      </c>
      <c r="E11" s="5">
        <f>E10*100</f>
        <v>85.038898862956302</v>
      </c>
    </row>
    <row r="13" spans="1:5" x14ac:dyDescent="0.2">
      <c r="C13" s="4" t="s">
        <v>3758</v>
      </c>
    </row>
    <row r="14" spans="1:5" x14ac:dyDescent="0.2">
      <c r="C14" t="s">
        <v>3752</v>
      </c>
    </row>
    <row r="15" spans="1:5" x14ac:dyDescent="0.2">
      <c r="C15" t="s">
        <v>3753</v>
      </c>
    </row>
  </sheetData>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vt:lpstr>
      <vt:lpstr>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Courtin,E</dc:creator>
  <cp:lastModifiedBy>Wang, Mengyao</cp:lastModifiedBy>
  <dcterms:created xsi:type="dcterms:W3CDTF">2025-05-21T08:52:51Z</dcterms:created>
  <dcterms:modified xsi:type="dcterms:W3CDTF">2025-11-02T19:45:15Z</dcterms:modified>
</cp:coreProperties>
</file>