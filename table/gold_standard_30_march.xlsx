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wangmengyao/Desktop/Github/policyclaims/data/"/>
    </mc:Choice>
  </mc:AlternateContent>
  <xr:revisionPtr revIDLastSave="0" documentId="13_ncr:1_{22C9CB1C-5C68-9345-A056-110692EA1228}" xr6:coauthVersionLast="47" xr6:coauthVersionMax="47" xr10:uidLastSave="{00000000-0000-0000-0000-000000000000}"/>
  <bookViews>
    <workbookView xWindow="-16080" yWindow="-22480" windowWidth="38400" windowHeight="21100" xr2:uid="{00000000-000D-0000-FFFF-FFFF00000000}"/>
  </bookViews>
  <sheets>
    <sheet name="in" sheetId="1" r:id="rId1"/>
  </sheets>
  <definedNames>
    <definedName name="_xlnm._FilterDatabase" localSheetId="0" hidden="1">in!$Z$1:$Z$652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Fydo0mffPJAzPM/80RBsh8z/Uz9IP7Q9AjyH/lo97mQ="/>
    </ext>
  </extLst>
</workbook>
</file>

<file path=xl/calcChain.xml><?xml version="1.0" encoding="utf-8"?>
<calcChain xmlns="http://schemas.openxmlformats.org/spreadsheetml/2006/main">
  <c r="Z76" i="1" l="1"/>
  <c r="Z59" i="1"/>
  <c r="Z66" i="1"/>
  <c r="AA66" i="1" s="1"/>
  <c r="Z65" i="1"/>
  <c r="AA65" i="1" s="1"/>
  <c r="Z72" i="1"/>
  <c r="AA72" i="1" s="1"/>
  <c r="Z205" i="1"/>
  <c r="AA205" i="1" s="1"/>
  <c r="S205" i="1"/>
  <c r="Z204" i="1"/>
  <c r="AA204" i="1" s="1"/>
  <c r="S204" i="1"/>
  <c r="Z203" i="1"/>
  <c r="AA203" i="1" s="1"/>
  <c r="S203" i="1"/>
  <c r="Z202" i="1"/>
  <c r="AA202" i="1" s="1"/>
  <c r="S202" i="1"/>
  <c r="Z201" i="1"/>
  <c r="AA201" i="1" s="1"/>
  <c r="S201" i="1"/>
  <c r="Z200" i="1"/>
  <c r="AA200" i="1" s="1"/>
  <c r="S200" i="1"/>
  <c r="Z199" i="1"/>
  <c r="AA199" i="1" s="1"/>
  <c r="S199" i="1"/>
  <c r="Z198" i="1"/>
  <c r="AA198" i="1" s="1"/>
  <c r="S198" i="1"/>
  <c r="Z197" i="1"/>
  <c r="AA197" i="1" s="1"/>
  <c r="S197" i="1"/>
  <c r="Z196" i="1"/>
  <c r="S196" i="1"/>
  <c r="Z195" i="1"/>
  <c r="AA195" i="1" s="1"/>
  <c r="S195" i="1"/>
  <c r="Z194" i="1"/>
  <c r="AA194" i="1" s="1"/>
  <c r="S194" i="1"/>
  <c r="Z193" i="1"/>
  <c r="AA193" i="1" s="1"/>
  <c r="S193" i="1"/>
  <c r="Z192" i="1"/>
  <c r="AA192" i="1" s="1"/>
  <c r="S192" i="1"/>
  <c r="Z191" i="1"/>
  <c r="AA191" i="1" s="1"/>
  <c r="S191" i="1"/>
  <c r="Z190" i="1"/>
  <c r="AA190" i="1" s="1"/>
  <c r="S190" i="1"/>
  <c r="Z189" i="1"/>
  <c r="AA189" i="1" s="1"/>
  <c r="S189" i="1"/>
  <c r="Z188" i="1"/>
  <c r="AA188" i="1" s="1"/>
  <c r="S188" i="1"/>
  <c r="Z187" i="1"/>
  <c r="AA187" i="1" s="1"/>
  <c r="S187" i="1"/>
  <c r="Z186" i="1"/>
  <c r="AA186" i="1" s="1"/>
  <c r="S186" i="1"/>
  <c r="Z185" i="1"/>
  <c r="AA185" i="1" s="1"/>
  <c r="S185" i="1"/>
  <c r="Z184" i="1"/>
  <c r="AA184" i="1" s="1"/>
  <c r="S184" i="1"/>
  <c r="Z183" i="1"/>
  <c r="AA183" i="1" s="1"/>
  <c r="S183" i="1"/>
  <c r="Z182" i="1"/>
  <c r="AA182" i="1" s="1"/>
  <c r="S182" i="1"/>
  <c r="Z181" i="1"/>
  <c r="AA181" i="1" s="1"/>
  <c r="S181" i="1"/>
  <c r="Z180" i="1"/>
  <c r="AA180" i="1" s="1"/>
  <c r="S180" i="1"/>
  <c r="Z179" i="1"/>
  <c r="AA179" i="1" s="1"/>
  <c r="S179" i="1"/>
  <c r="Z178" i="1"/>
  <c r="AA178" i="1" s="1"/>
  <c r="S178" i="1"/>
  <c r="Z177" i="1"/>
  <c r="AA177" i="1" s="1"/>
  <c r="S177" i="1"/>
  <c r="Z176" i="1"/>
  <c r="AA176" i="1" s="1"/>
  <c r="S176" i="1"/>
  <c r="Z175" i="1"/>
  <c r="AA175" i="1" s="1"/>
  <c r="S175" i="1"/>
  <c r="Z174" i="1"/>
  <c r="AA174" i="1" s="1"/>
  <c r="S174" i="1"/>
  <c r="Z173" i="1"/>
  <c r="AA173" i="1" s="1"/>
  <c r="S173" i="1"/>
  <c r="Z172" i="1"/>
  <c r="AA172" i="1" s="1"/>
  <c r="S172" i="1"/>
  <c r="Z171" i="1"/>
  <c r="AA171" i="1" s="1"/>
  <c r="S171" i="1"/>
  <c r="Z170" i="1"/>
  <c r="AA170" i="1" s="1"/>
  <c r="S170" i="1"/>
  <c r="Z169" i="1"/>
  <c r="AA169" i="1" s="1"/>
  <c r="S169" i="1"/>
  <c r="Z168" i="1"/>
  <c r="AA168" i="1" s="1"/>
  <c r="S168" i="1"/>
  <c r="Z167" i="1"/>
  <c r="S167" i="1"/>
  <c r="Z166" i="1"/>
  <c r="AA166" i="1" s="1"/>
  <c r="S166" i="1"/>
  <c r="Z165" i="1"/>
  <c r="AA165" i="1" s="1"/>
  <c r="S165" i="1"/>
  <c r="Z164" i="1"/>
  <c r="AA164" i="1" s="1"/>
  <c r="S164" i="1"/>
  <c r="Z163" i="1"/>
  <c r="AA163" i="1" s="1"/>
  <c r="S163" i="1"/>
  <c r="Z162" i="1"/>
  <c r="AA162" i="1" s="1"/>
  <c r="S162" i="1"/>
  <c r="Z161" i="1"/>
  <c r="AA161" i="1" s="1"/>
  <c r="S161" i="1"/>
  <c r="Z160" i="1"/>
  <c r="AA160" i="1" s="1"/>
  <c r="S160" i="1"/>
  <c r="Z159" i="1"/>
  <c r="AA159" i="1" s="1"/>
  <c r="S159" i="1"/>
  <c r="Z158" i="1"/>
  <c r="AA158" i="1" s="1"/>
  <c r="S158" i="1"/>
  <c r="Z157" i="1"/>
  <c r="AA157" i="1" s="1"/>
  <c r="S157" i="1"/>
  <c r="Z156" i="1"/>
  <c r="AA156" i="1" s="1"/>
  <c r="S156" i="1"/>
  <c r="Z155" i="1"/>
  <c r="AA155" i="1" s="1"/>
  <c r="S155" i="1"/>
  <c r="Z154" i="1"/>
  <c r="AA154" i="1" s="1"/>
  <c r="S154" i="1"/>
  <c r="Z153" i="1"/>
  <c r="AA153" i="1" s="1"/>
  <c r="S153" i="1"/>
  <c r="Z152" i="1"/>
  <c r="AA152" i="1" s="1"/>
  <c r="S152" i="1"/>
  <c r="Z151" i="1"/>
  <c r="AA151" i="1" s="1"/>
  <c r="S151" i="1"/>
  <c r="Z150" i="1"/>
  <c r="AA150" i="1" s="1"/>
  <c r="S150" i="1"/>
  <c r="Z149" i="1"/>
  <c r="AA149" i="1" s="1"/>
  <c r="S149" i="1"/>
  <c r="Z148" i="1"/>
  <c r="AA148" i="1" s="1"/>
  <c r="S148" i="1"/>
  <c r="Z147" i="1"/>
  <c r="AA147" i="1" s="1"/>
  <c r="S147" i="1"/>
  <c r="Z146" i="1"/>
  <c r="AA146" i="1" s="1"/>
  <c r="S146" i="1"/>
  <c r="Z145" i="1"/>
  <c r="AA145" i="1" s="1"/>
  <c r="S145" i="1"/>
  <c r="Z144" i="1"/>
  <c r="AA144" i="1" s="1"/>
  <c r="S144" i="1"/>
  <c r="Z143" i="1"/>
  <c r="AA143" i="1" s="1"/>
  <c r="S143" i="1"/>
  <c r="Z142" i="1"/>
  <c r="AA142" i="1" s="1"/>
  <c r="S142" i="1"/>
  <c r="Z141" i="1"/>
  <c r="AA141" i="1" s="1"/>
  <c r="S141" i="1"/>
  <c r="Z140" i="1"/>
  <c r="AA140" i="1" s="1"/>
  <c r="S140" i="1"/>
  <c r="Z139" i="1"/>
  <c r="AA139" i="1" s="1"/>
  <c r="S139" i="1"/>
  <c r="Z138" i="1"/>
  <c r="S138" i="1"/>
  <c r="Z137" i="1"/>
  <c r="AA137" i="1" s="1"/>
  <c r="S137" i="1"/>
  <c r="Z136" i="1"/>
  <c r="AA136" i="1" s="1"/>
  <c r="S136" i="1"/>
  <c r="Z135" i="1"/>
  <c r="AA135" i="1" s="1"/>
  <c r="S135" i="1"/>
  <c r="Z134" i="1"/>
  <c r="AA134" i="1" s="1"/>
  <c r="S134" i="1"/>
  <c r="Z133" i="1"/>
  <c r="AA133" i="1" s="1"/>
  <c r="S133" i="1"/>
  <c r="Z132" i="1"/>
  <c r="AA132" i="1" s="1"/>
  <c r="S132" i="1"/>
  <c r="Z131" i="1"/>
  <c r="AA131" i="1" s="1"/>
  <c r="S131" i="1"/>
  <c r="Z130" i="1"/>
  <c r="AA130" i="1" s="1"/>
  <c r="S130" i="1"/>
  <c r="Z129" i="1"/>
  <c r="AA129" i="1" s="1"/>
  <c r="S129" i="1"/>
  <c r="Z128" i="1"/>
  <c r="AA128" i="1" s="1"/>
  <c r="S128" i="1"/>
  <c r="Z127" i="1"/>
  <c r="AA127" i="1" s="1"/>
  <c r="S127" i="1"/>
  <c r="Z126" i="1"/>
  <c r="AA126" i="1" s="1"/>
  <c r="S126" i="1"/>
  <c r="Z125" i="1"/>
  <c r="AA125" i="1" s="1"/>
  <c r="S125" i="1"/>
  <c r="Z124" i="1"/>
  <c r="AA124" i="1" s="1"/>
  <c r="S124" i="1"/>
  <c r="Z123" i="1"/>
  <c r="AA123" i="1" s="1"/>
  <c r="S123" i="1"/>
  <c r="Z122" i="1"/>
  <c r="AA122" i="1" s="1"/>
  <c r="S122" i="1"/>
  <c r="Z121" i="1"/>
  <c r="AA121" i="1" s="1"/>
  <c r="S121" i="1"/>
  <c r="Z120" i="1"/>
  <c r="AA120" i="1" s="1"/>
  <c r="S120" i="1"/>
  <c r="Z119" i="1"/>
  <c r="AA119" i="1" s="1"/>
  <c r="S119" i="1"/>
  <c r="Z118" i="1"/>
  <c r="AA118" i="1" s="1"/>
  <c r="S118" i="1"/>
  <c r="Z117" i="1"/>
  <c r="AA117" i="1" s="1"/>
  <c r="S117" i="1"/>
  <c r="Z116" i="1"/>
  <c r="AA116" i="1" s="1"/>
  <c r="S116" i="1"/>
  <c r="Z115" i="1"/>
  <c r="AA115" i="1" s="1"/>
  <c r="S115" i="1"/>
  <c r="Z114" i="1"/>
  <c r="AA114" i="1" s="1"/>
  <c r="S114" i="1"/>
  <c r="Z113" i="1"/>
  <c r="AA113" i="1" s="1"/>
  <c r="S113" i="1"/>
  <c r="Z112" i="1"/>
  <c r="AA112" i="1" s="1"/>
  <c r="S112" i="1"/>
  <c r="Z111" i="1"/>
  <c r="AA111" i="1" s="1"/>
  <c r="S111" i="1"/>
  <c r="Z110" i="1"/>
  <c r="AA110" i="1" s="1"/>
  <c r="S110" i="1"/>
  <c r="Z109" i="1"/>
  <c r="AA109" i="1" s="1"/>
  <c r="S109" i="1"/>
  <c r="Z108" i="1"/>
  <c r="AA108" i="1" s="1"/>
  <c r="S108" i="1"/>
  <c r="Z107" i="1"/>
  <c r="AA107" i="1" s="1"/>
  <c r="S107" i="1"/>
  <c r="Z106" i="1"/>
  <c r="AA106" i="1" s="1"/>
  <c r="S106" i="1"/>
  <c r="Z105" i="1"/>
  <c r="AA105" i="1" s="1"/>
  <c r="S105" i="1"/>
  <c r="Z104" i="1"/>
  <c r="AA104" i="1" s="1"/>
  <c r="S104" i="1"/>
  <c r="Z103" i="1"/>
  <c r="AA103" i="1" s="1"/>
  <c r="S103" i="1"/>
  <c r="Z102" i="1"/>
  <c r="AA102" i="1" s="1"/>
  <c r="S102" i="1"/>
  <c r="Z101" i="1"/>
  <c r="AA101" i="1" s="1"/>
  <c r="S101" i="1"/>
  <c r="Z100" i="1"/>
  <c r="AA100" i="1" s="1"/>
  <c r="S100" i="1"/>
  <c r="Z99" i="1"/>
  <c r="AA99" i="1" s="1"/>
  <c r="S99" i="1"/>
  <c r="Z98" i="1"/>
  <c r="AA98" i="1" s="1"/>
  <c r="S98" i="1"/>
  <c r="Z97" i="1"/>
  <c r="AA97" i="1" s="1"/>
  <c r="S97" i="1"/>
  <c r="Z96" i="1"/>
  <c r="AA96" i="1" s="1"/>
  <c r="S96" i="1"/>
  <c r="Z95" i="1"/>
  <c r="AA95" i="1" s="1"/>
  <c r="S95" i="1"/>
  <c r="Z94" i="1"/>
  <c r="AA94" i="1" s="1"/>
  <c r="S94" i="1"/>
  <c r="Z93" i="1"/>
  <c r="AA93" i="1" s="1"/>
  <c r="S93" i="1"/>
  <c r="Z92" i="1"/>
  <c r="AA92" i="1" s="1"/>
  <c r="S92" i="1"/>
  <c r="Z91" i="1"/>
  <c r="AA91" i="1" s="1"/>
  <c r="S91" i="1"/>
  <c r="Z90" i="1"/>
  <c r="AA90" i="1" s="1"/>
  <c r="S90" i="1"/>
  <c r="Z89" i="1"/>
  <c r="AA89" i="1" s="1"/>
  <c r="S89" i="1"/>
  <c r="Z88" i="1"/>
  <c r="AA88" i="1" s="1"/>
  <c r="S88" i="1"/>
  <c r="Z87" i="1"/>
  <c r="AA87" i="1" s="1"/>
  <c r="S87" i="1"/>
  <c r="Z86" i="1"/>
  <c r="AA86" i="1" s="1"/>
  <c r="S86" i="1"/>
  <c r="Z85" i="1"/>
  <c r="AA85" i="1" s="1"/>
  <c r="S85" i="1"/>
  <c r="Z84" i="1"/>
  <c r="AA84" i="1" s="1"/>
  <c r="S84" i="1"/>
  <c r="Z83" i="1"/>
  <c r="AA83" i="1" s="1"/>
  <c r="S83" i="1"/>
  <c r="Z82" i="1"/>
  <c r="AA82" i="1" s="1"/>
  <c r="S82" i="1"/>
  <c r="Z81" i="1"/>
  <c r="AA81" i="1" s="1"/>
  <c r="S81" i="1"/>
  <c r="Z80" i="1"/>
  <c r="AA80" i="1" s="1"/>
  <c r="S80" i="1"/>
  <c r="Z79" i="1"/>
  <c r="AA79" i="1" s="1"/>
  <c r="S79" i="1"/>
  <c r="Z78" i="1"/>
  <c r="AA78" i="1" s="1"/>
  <c r="S78" i="1"/>
  <c r="Z77" i="1"/>
  <c r="AA77" i="1" s="1"/>
  <c r="S77" i="1"/>
  <c r="S76" i="1"/>
  <c r="Z75" i="1"/>
  <c r="AA75" i="1" s="1"/>
  <c r="S75" i="1"/>
  <c r="Z74" i="1"/>
  <c r="AA74" i="1" s="1"/>
  <c r="S74" i="1"/>
  <c r="Z73" i="1"/>
  <c r="AA73" i="1" s="1"/>
  <c r="S73" i="1"/>
  <c r="S72" i="1"/>
  <c r="Z71" i="1"/>
  <c r="AA71" i="1" s="1"/>
  <c r="S71" i="1"/>
  <c r="Z70" i="1"/>
  <c r="AA70" i="1" s="1"/>
  <c r="S70" i="1"/>
  <c r="Z69" i="1"/>
  <c r="AA69" i="1" s="1"/>
  <c r="S69" i="1"/>
  <c r="Z68" i="1"/>
  <c r="AA68" i="1" s="1"/>
  <c r="S68" i="1"/>
  <c r="Z67" i="1"/>
  <c r="AA67" i="1" s="1"/>
  <c r="S67" i="1"/>
  <c r="S66" i="1"/>
  <c r="S65" i="1"/>
  <c r="Z64" i="1"/>
  <c r="AA64" i="1" s="1"/>
  <c r="S64" i="1"/>
  <c r="Z63" i="1"/>
  <c r="AA63" i="1" s="1"/>
  <c r="S63" i="1"/>
  <c r="Z62" i="1"/>
  <c r="AA62" i="1" s="1"/>
  <c r="S62" i="1"/>
  <c r="Z61" i="1"/>
  <c r="AA61" i="1" s="1"/>
  <c r="S61" i="1"/>
  <c r="Z60" i="1"/>
  <c r="AA60" i="1" s="1"/>
  <c r="S60" i="1"/>
  <c r="S59" i="1"/>
  <c r="Z58" i="1"/>
  <c r="AA58" i="1" s="1"/>
  <c r="S58" i="1"/>
  <c r="Z57" i="1"/>
  <c r="AA57" i="1" s="1"/>
  <c r="S57" i="1"/>
  <c r="Z56" i="1"/>
  <c r="AA56" i="1" s="1"/>
  <c r="S56" i="1"/>
  <c r="Z55" i="1"/>
  <c r="AA55" i="1" s="1"/>
  <c r="S55" i="1"/>
  <c r="Z54" i="1"/>
  <c r="AA54" i="1" s="1"/>
  <c r="S54" i="1"/>
  <c r="Z53" i="1"/>
  <c r="AA53" i="1" s="1"/>
  <c r="S53" i="1"/>
  <c r="Z52" i="1"/>
  <c r="AA52" i="1" s="1"/>
  <c r="S52" i="1"/>
  <c r="Z51" i="1"/>
  <c r="AA51" i="1" s="1"/>
  <c r="S51" i="1"/>
  <c r="Z50" i="1"/>
  <c r="AA50" i="1" s="1"/>
  <c r="S50" i="1"/>
  <c r="Z49" i="1"/>
  <c r="AA49" i="1" s="1"/>
  <c r="S49" i="1"/>
  <c r="Z48" i="1"/>
  <c r="AA48" i="1" s="1"/>
  <c r="S48" i="1"/>
  <c r="Z47" i="1"/>
  <c r="AA47" i="1" s="1"/>
  <c r="S47" i="1"/>
  <c r="Z46" i="1"/>
  <c r="AA46" i="1" s="1"/>
  <c r="S46" i="1"/>
  <c r="Z45" i="1"/>
  <c r="AA45" i="1" s="1"/>
  <c r="S45" i="1"/>
  <c r="Z44" i="1"/>
  <c r="AA44" i="1" s="1"/>
  <c r="S44" i="1"/>
  <c r="Z43" i="1"/>
  <c r="AA43" i="1" s="1"/>
  <c r="S43" i="1"/>
  <c r="Z42" i="1"/>
  <c r="AA42" i="1" s="1"/>
  <c r="S42" i="1"/>
  <c r="Z41" i="1"/>
  <c r="AA41" i="1" s="1"/>
  <c r="S41" i="1"/>
  <c r="Z40" i="1"/>
  <c r="AA40" i="1" s="1"/>
  <c r="S40" i="1"/>
  <c r="Z39" i="1"/>
  <c r="AA39" i="1" s="1"/>
  <c r="S39" i="1"/>
  <c r="Z38" i="1"/>
  <c r="AA38" i="1" s="1"/>
  <c r="S38" i="1"/>
  <c r="Z37" i="1"/>
  <c r="AA37" i="1" s="1"/>
  <c r="S37" i="1"/>
  <c r="Z36" i="1"/>
  <c r="AA36" i="1" s="1"/>
  <c r="S36" i="1"/>
  <c r="Z35" i="1"/>
  <c r="AA35" i="1" s="1"/>
  <c r="S35" i="1"/>
  <c r="Z34" i="1"/>
  <c r="AA34" i="1" s="1"/>
  <c r="S34" i="1"/>
  <c r="Z33" i="1"/>
  <c r="AA33" i="1" s="1"/>
  <c r="S33" i="1"/>
  <c r="Z32" i="1"/>
  <c r="AA32" i="1" s="1"/>
  <c r="S32" i="1"/>
  <c r="Z31" i="1"/>
  <c r="AA31" i="1" s="1"/>
  <c r="S31" i="1"/>
  <c r="Z30" i="1"/>
  <c r="AA30" i="1" s="1"/>
  <c r="S30" i="1"/>
  <c r="Z29" i="1"/>
  <c r="AA29" i="1" s="1"/>
  <c r="S29" i="1"/>
  <c r="Z28" i="1"/>
  <c r="AA28" i="1" s="1"/>
  <c r="S28" i="1"/>
  <c r="Z27" i="1"/>
  <c r="AA27" i="1" s="1"/>
  <c r="S27" i="1"/>
  <c r="Z26" i="1"/>
  <c r="AA26" i="1" s="1"/>
  <c r="S26" i="1"/>
  <c r="Z25" i="1"/>
  <c r="AA25" i="1" s="1"/>
  <c r="S25" i="1"/>
  <c r="Z24" i="1"/>
  <c r="AA24" i="1" s="1"/>
  <c r="S24" i="1"/>
  <c r="Z23" i="1"/>
  <c r="AA23" i="1" s="1"/>
  <c r="S23" i="1"/>
  <c r="Z22" i="1"/>
  <c r="AA22" i="1" s="1"/>
  <c r="S22" i="1"/>
  <c r="Z21" i="1"/>
  <c r="AA21" i="1" s="1"/>
  <c r="S21" i="1"/>
  <c r="Z20" i="1"/>
  <c r="AA20" i="1" s="1"/>
  <c r="S20" i="1"/>
  <c r="Z19" i="1"/>
  <c r="AA19" i="1" s="1"/>
  <c r="S19" i="1"/>
  <c r="Z18" i="1"/>
  <c r="AA18" i="1" s="1"/>
  <c r="S18" i="1"/>
  <c r="Z17" i="1"/>
  <c r="AA17" i="1" s="1"/>
  <c r="S17" i="1"/>
  <c r="Z16" i="1"/>
  <c r="AA16" i="1" s="1"/>
  <c r="S16" i="1"/>
  <c r="Z15" i="1"/>
  <c r="AA15" i="1" s="1"/>
  <c r="S15" i="1"/>
  <c r="Z14" i="1"/>
  <c r="AA14" i="1" s="1"/>
  <c r="S14" i="1"/>
  <c r="Z13" i="1"/>
  <c r="AA13" i="1" s="1"/>
  <c r="S13" i="1"/>
  <c r="Z12" i="1"/>
  <c r="AA12" i="1" s="1"/>
  <c r="S12" i="1"/>
  <c r="Z11" i="1"/>
  <c r="S11" i="1"/>
  <c r="Z10" i="1"/>
  <c r="AA10" i="1" s="1"/>
  <c r="S10" i="1"/>
  <c r="Z9" i="1"/>
  <c r="AA9" i="1" s="1"/>
  <c r="S9" i="1"/>
  <c r="Z8" i="1"/>
  <c r="AA8" i="1" s="1"/>
  <c r="S8" i="1"/>
  <c r="Z7" i="1"/>
  <c r="S7" i="1"/>
  <c r="Z6" i="1"/>
  <c r="AA6" i="1" s="1"/>
  <c r="S6" i="1"/>
  <c r="Z5" i="1"/>
  <c r="AA5" i="1" s="1"/>
  <c r="S5" i="1"/>
  <c r="Z4" i="1"/>
  <c r="AA4" i="1" s="1"/>
  <c r="S4" i="1"/>
  <c r="Z3" i="1"/>
  <c r="AA3" i="1" s="1"/>
  <c r="S3" i="1"/>
  <c r="Z2" i="1"/>
  <c r="AA2" i="1" s="1"/>
  <c r="S2" i="1"/>
</calcChain>
</file>

<file path=xl/sharedStrings.xml><?xml version="1.0" encoding="utf-8"?>
<sst xmlns="http://schemas.openxmlformats.org/spreadsheetml/2006/main" count="1930" uniqueCount="1309">
  <si>
    <t>scopus_id</t>
  </si>
  <si>
    <t>doi</t>
  </si>
  <si>
    <t>title</t>
  </si>
  <si>
    <t>journal</t>
  </si>
  <si>
    <t>publication_year</t>
  </si>
  <si>
    <t>keywords</t>
  </si>
  <si>
    <t>abstract</t>
  </si>
  <si>
    <t>corresponding_author_country</t>
  </si>
  <si>
    <t>cited_by_count</t>
  </si>
  <si>
    <t>policy_claim_via_terms</t>
  </si>
  <si>
    <t>DB review</t>
  </si>
  <si>
    <t>DB notes</t>
  </si>
  <si>
    <t>EC review</t>
  </si>
  <si>
    <t>EC notes</t>
  </si>
  <si>
    <t>MW review</t>
  </si>
  <si>
    <t>MW notes</t>
  </si>
  <si>
    <t>discrepant?</t>
  </si>
  <si>
    <t>db re-review</t>
  </si>
  <si>
    <t>llm_policy_claim</t>
  </si>
  <si>
    <t>reasoning</t>
  </si>
  <si>
    <t>EC re-review</t>
  </si>
  <si>
    <t>EC reasoning</t>
  </si>
  <si>
    <t>agreed_gold_standard</t>
  </si>
  <si>
    <t>agreed_gold_standard_with_exclusions</t>
  </si>
  <si>
    <t>exclusion reason</t>
  </si>
  <si>
    <t>SCOPUS_ID:78650633722</t>
  </si>
  <si>
    <t>10.1093/aje/kwq345</t>
  </si>
  <si>
    <t>Adult body size, hormone receptor status, and premenopausal breast cancer risk in a multiethnic population</t>
  </si>
  <si>
    <t>American Journal of Epidemiology</t>
  </si>
  <si>
    <t>['African Americans', 'body size', 'breast neoplasms', 'Hispanic Americans', 'premenopause', 'receptors, estrogen', 'receptors, progesterone']</t>
  </si>
  <si>
    <t>Large body size has been associated with a reduced risk of premenopausal breast cancer in non-Hispanic white women. Data on other racial/ethnic populations are limited. The authors examined the association between premenopausal breast cancer risk and adult body size in 672 cases and 808 controls aged â‰¥35 years from a population-based case-control study conducted in 1995-2004 in the San Francisco Bay Area (Hispanics: 375 cases, 483 controls; African Americans: 154 cases, 160 controls; non-Hispanic whites: 143 cases, 165 controls). Multivariate adjusted odds ratios and 95% confidence intervals were calculated using unconditional logistic regression. Height was associated with increased breast cancer risk (highest vs. lowest quartile: odds ratio = 1.77, 95% confidence interval: 1.23, 2.53; Ptrend &lt; 0.01); the association did not vary by hormone receptor status or race/ethnicity. Body mass index (measured as weight (kg) divided by height (m) squared) was inversely associated with risk in all 3 racial/ethnic groups, but only for estrogen receptor- and progesterone receptor-positive tumors (body mass index â‰¥30 vs. &lt;25: odds ratio = 0.42; 95% confidence interval: 0.29, 0.61). Other body size measures (current weight, body build, adult weight gain, young adult weight and body mass index, waist circumference, and waist-to-height ratio) were similarly inversely associated with risk of estrogen receptor- and progesterone receptor-positive breast cancer but not estrogen receptor- and progesterone receptor-negative disease. Despite racial/ethnic differences in body size, inverse associations were similar across the 3 racial/ethnic groups when stratified by hormone receptor status. Â© 2010 The Author.</t>
  </si>
  <si>
    <t>United States</t>
  </si>
  <si>
    <t>SCOPUS_ID:0032978484</t>
  </si>
  <si>
    <t>10.2105/AJPH.89.2.171</t>
  </si>
  <si>
    <t>The impact of physician bonuses, enhanced fees, and feedback on childhood immunization coverage rates</t>
  </si>
  <si>
    <t>American Journal of Public Health</t>
  </si>
  <si>
    <t>[]</t>
  </si>
  <si>
    <t>Objectives. The purpose of this study was to examine the effects on immunization coverage of 3 incentives for physicians - a cash bonus for practice-wide increases, enhanced fee for service, and feedback. Methods. Incentives were applied at 4-month intervals over 1 year among 60 inner-city office-based pediatricians. At each interval, charts of 50 randomly selected children between 3 and 35 months of age were reviewed per physician. Results. The percentage of children who were up to date for diphtheria, tetanus, and pertussis and Haemophilus influenzae type b; polio; and measles-mumps- rubella immunization in the study's bonus group improved by 25.3 percentage points (P &lt; .01). No significant changes occurred in the other groups. However, percentage of immunizations received outside the participating practice also increased significantly in the bonus group (P &lt; .0.1). Levels of missed opportunities to immunize were high in all groups and did hot change over time. Physicians' knowledge of contraindications was low. Conclusions: Bonuses sharply and rapidly increased immunization coverage in medical records. However, much of the increase was the result of better documentation. A bonus is a powerful incentive, but more structure or education may be necessary to achieve the desired results.</t>
  </si>
  <si>
    <t>marginal</t>
  </si>
  <si>
    <t xml:space="preserve">The final statement is strong but not really a policy recommendation - hard one. </t>
  </si>
  <si>
    <t>agree - may be intrinsic limit of LLMs</t>
  </si>
  <si>
    <t>SCOPUS_ID:0032931075</t>
  </si>
  <si>
    <t>10.1093/oxfordjournals.aje.a009723</t>
  </si>
  <si>
    <t>Prospective study of diet and ovarian cancer</t>
  </si>
  <si>
    <t>['Diet', 'Nutrition', 'Ovarian neoplasms', 'Postmenopausal', 'Prospective studies', 'Risk', 'Risk factors']</t>
  </si>
  <si>
    <t>Evidence on dietary risk factors for ovarian cancer is inconsistent, but some studies have suggested positive associations with dietary fat, lactose, and cholesterol and negative associations with green and yellow vegetable intake. By using information from the Iowa Women's Health Study, the authors investigated the association of epithelial ovarian cancer with dietary factors in a prospective study of 29,083 postmenopausal women. Dietary information was ascertained via a food frequency questionnaire mailed to participants in 1986. During 10 years of follow-up (1986-1995), 139 of the women developed incident epithelial ovarian cancer. Incidence of the disease was not associated with dietary fat intake. Lactose and cholesterol showed moderately elevated risks. Multivariable-adjusted relative risks for the lowest to highest quartiles of lactose intake were 1.00, 1.38, 1.25, and 1.60 (p for trend = 0.12). For cholesterol, the corresponding values were 1.00, 1.34, 1.86, and 1.55 (p for trend = 0.06). Consumption of eggs was also associated with an increased risk of ovarian cancer. Multivariable-adjusted relative risks for increasing frequency of egg consumption were 1.00 (&lt;1/week), 1.12 (1/week), 2.04 (2-4/week), and 1.81 (&gt;4/week) (p for trend = 0.04). Total vegetable intake was modestly and inversely associated with the risk of ovarian cancer (p for trend = 0.21). Green leafy vegetable intake was more strongly associated with a decreased risk: multivariable-adjusted relative risks for the lowest to highest intake levels were 1.00, 0.80, 0.87, and 0.44 (p = 0.01). These findings are generally in agreement with the results from previous, mostly case-control studies of diet and epithelial ovarian cancer.</t>
  </si>
  <si>
    <t>SCOPUS_ID:85066260594</t>
  </si>
  <si>
    <t>10.1016/S2468-2667(19)30018-0</t>
  </si>
  <si>
    <t>Geospatial, racial, and educational variation in firearm mortality in the USA, Mexico, Brazil, and Colombia, 1990â€“2015: a comparative analysis of vital statistics data</t>
  </si>
  <si>
    <t>The Lancet Public Health</t>
  </si>
  <si>
    <t>Background: Firearm mortality is a leading, and largely avoidable, cause of death in the USA, Mexico, Brazil, and Colombia. We aimed to assess the changes over time and demographic determinants of firearm deaths in these four countries between 1990 and 2015. Methods: In this comparative analysis of firearm mortality, we examined national vital statistics data from 1990â€“2015 from four publicly available data repositories in the USA, Mexico, Brazil, and Colombia. We extracted medically-certified deaths and underlying population denominators to calculate the age-specific and sex-specific firearm deaths and the risk of firearm mortality at the national and subnational level, by education for all four countries, and by race or ethnicity for the USA and Brazil. Analyses were stratified by intent (homicide, suicide, unintentional, or undetermined). We quantified avoidable mortality for each country using the lowest number of subnational age-specific and period-specific death rates. Findings: Between 1990 and 2015, 106Â·3 million medically-certified deaths were recorded, including 2 472 000 firearm deaths, of which 851 000 occurred in the USA, 272 000 in Mexico, 855 000 in Brazil, and 494 000 in Colombia. Homicides accounted for most of the firearm deaths in Mexico (225 000 [82Â·7%]), Colombia (463 000 [93Â·8%]), and Brazil (766 000 [89Â·5%]). Suicide accounted for more than half of all firearm deaths in the USA (479 000 [56Â·3%]). In each country, firearm mortality was highest among men aged 15â€“34 years, accounting for up to half of the total risk of death in that age group. During the study period, firearm mortality risks increased in Mexico and Brazil but decreased in the USA and Colombia, with marked national and subnational geographical variation. Young men with low educational attainment were at increased risk of firearm homicide in all four countries, and in the USA and Brazil, black and brown men, respectively, were at the highest risk. The risk of firearm homicide was 14 times higher in black men in the USA aged 25â€“34 years with low educational attainment than comparably-educated white men (1Â·52% [99% CI 1Â·50â€“1Â·54] vs 0Â·11% [0Â·10â€“0Â·12]), and up to four times higher than in comparably-educated men in Brazil, Colombia, and Mexico. In the USA, the risk of firearm homicide was more than 30 times higher in black men with post-secondary education than comparably educated white men. If countries could achieve the same firearm mortality rates nationally as in their lowest-burden states, 1 777 800 firearm deaths at all ages and in both sexes could be avoided, including 1 028 000 deaths in men aged 15â€“34 years. Interpretation: Firearm mortality in the USA, Mexico, Brazil, and Colombia is highest among young adult men, and is strongly associated with race and ethnicity, and low education levels. Reductions in firearm deaths would improve life expectancy, particularly for black men in the USA, and would reduce racial and educational disparities in mortality. Funding: Canadian Institutes of Health Research and the University of Toronto Connaught Global Challenge.</t>
  </si>
  <si>
    <t>Mexico</t>
  </si>
  <si>
    <t>I think it is worded carefully ('could'). Is the use of conditional something we could add to our algorithm?</t>
  </si>
  <si>
    <t>I don't think so for the terms approach. For the analysis in which study design is correlated with claims, we can manually screen the "made policy claim" group.</t>
  </si>
  <si>
    <t>SCOPUS_ID:84895890934</t>
  </si>
  <si>
    <t>10.1093/aje/kwt327</t>
  </si>
  <si>
    <t>Trends in alcohol and other drugs detected in fatally injured drivers in the United States, 1999-2010</t>
  </si>
  <si>
    <t>['accidents', 'alcohol consumption', 'cannabinoids', 'drug users', 'motor vehicles', 'prescription drugs', 'safety', 'traffic']</t>
  </si>
  <si>
    <t>Drugged driving is a safety issue of increasing public concern. Using data from the Fatality Analysis Reporting System for 1999-2010, we assessed trends in alcohol and other drugs detected in drivers who were killed within 1 hour of a motor vehicle crash in 6 US states (California, Hawaii, Illinois, New Hampshire, Rhode Island, and West Virginia) that routinely performed toxicological testing on drivers involved in such crashes. Of the 23,591 drivers studied, 39.7% tested positive for alcohol and 24.8% for other drugs. During the study period, the prevalence of positive results for nonalcohol drugs rose from 16.6% in 1999 to 28.3% in 2010 (Z =-10.19, P &lt; 0.0001), whereas the prevalence of positive results for alcohol remained stable. The most commonly detected nonalcohol drug was cannabinol, the prevalence of which increased from 4.2% in 1999 to 12.2% in 2010 (Z =-13.63, P &lt; 0.0001). The increase in the prevalence of nonalcohol drugs was observed in all age groups and both sexes. These results indicate that nonalcohol drugs, particularly marijuana, are increasingly detected in fatally injured drivers. Â© 2014 The Author.</t>
  </si>
  <si>
    <t>SCOPUS_ID:84912129265</t>
  </si>
  <si>
    <t>10.1016/j.amepre.2014.08.009</t>
  </si>
  <si>
    <t>Adult vaccination disparities among foreign-born populations in the u.s., 2012</t>
  </si>
  <si>
    <t>American Journal of Preventive Medicine</t>
  </si>
  <si>
    <t>Background Foreign-born persons are considered at higher risk of undervaccination and exposure to many vaccine-preventable diseases. Information on vaccination coverage among foreign-born populations is limited.</t>
  </si>
  <si>
    <t>n/a abstract</t>
  </si>
  <si>
    <t>I dont know how frequent that is, but we might want to remove these?</t>
  </si>
  <si>
    <t>edited scripts to exclude abstracts &lt;100 words</t>
  </si>
  <si>
    <t>not applicable here, not really an abstract</t>
  </si>
  <si>
    <t>incomplete abstract</t>
  </si>
  <si>
    <t>SCOPUS_ID:69549088896</t>
  </si>
  <si>
    <t>10.1097/EDE.0b013e3181ad5522</t>
  </si>
  <si>
    <t>Extreme high temperatures and hospital admissions for respiratory and cardiovascular diseases</t>
  </si>
  <si>
    <t>Epidemiology</t>
  </si>
  <si>
    <t>BACKGROUND: Although the association of high temperatures with mortality is well-documented, the association with morbidity has seldom been examined. We assessed the potential impact of hot weather on hospital admissions due to cardiovascular and respiratory diseases in New York City. We also explored whether the weather-disease relationship varies with socio-demographic variables. METHOD: We investigated effects of temperature and humidity on health by linking the daily cardiovascular and respiratory hospitalization counts with meteorologic conditions during summer, 1991-2004. We used daily mean temperature, mean apparent temperature, and 3-day moving average of apparent temperature as the exposure indicators. Threshold effects for health risks of meteorologic conditions were assessed by log-linear threshold models, after controlling for ozone, day of week, holidays, and long-term trend. Stratified analyses were used to evaluate temperature-demographic interactions. RESULTS: For all 3 exposure indicators, each degree C above the threshold of the temperature-health effect curve (29Â°C-36Â°C) was associated with a 2.7%-3.1% increase in same-day hospitalizations due to respiratory diseases, and an increase of 1.4%-3.6% in lagged hospitalizations due to cardiovascular diseases. These increases for respiratory admissions were greater for Hispanic persons (6.1%/Â°C) and the elderly (4.7%/Â°C). At high temperatures, admission rates increased for chronic airway obstruction, asthma, ischemic heart disease, and cardiac dysrhythmias, but decreased for hypertension and heart failure. CONCLUSIONS: Extreme high temperature appears to increase hospital admissions for cardiovascular and respiratory disorders in New York City. Elderly and Hispanic residents may be particularly vulnerable to the temperature effects on respiratory illnesses. Â© 2009 Lippincott Williams &amp; Wilkins, Inc.</t>
  </si>
  <si>
    <t>SCOPUS_ID:85088828588</t>
  </si>
  <si>
    <t>10.1007/s10654-020-00665-w</t>
  </si>
  <si>
    <t>Body mass index in young adulthood and risk of subsequent dementia at different levels of intelligence and education in Danish men</t>
  </si>
  <si>
    <t>European Journal of Epidemiology</t>
  </si>
  <si>
    <t>['Body mass index', 'Cohort study', 'Dementia', 'Intelligence']</t>
  </si>
  <si>
    <t>The risk of dementia seems to be established already early in life, which leads to the question if overweight early in life is an important risk factor for dementia as it appears to be later in life. We examined the association between body mass index (BMI) at entry to adult life and subsequent risk of dementia in men and assessed whether the relationship differed by levels of intelligence and education. The study population consisted of 377,598 Danish men born 1939â€“1959 with measures of height, weight, intelligence test score (ITS), and educational level (EL) at conscript board examinations around the age of 19Â years. Dementia outcomes were obtained from National Patient and Prescription Registries between 1969 and 2016. The association between BMI and dementia was analysed using Cox proportional hazard regression including interactions between BMI and ITS and EL, respectively. During the follow-up through age 77 years, 6144 (1.6%) developed dementia. The frequency was highest in men with lowest BMI, lowest ITS and lowest EL. Young adult BMI below the mean of 21.8Â kg/m2 was inversely associated with subsequent dementia, whereas there was no association with higher levels of BMI. Adjustment for young adult ITS and EL attenuated the risk estimates slightly, and interaction analyses showed that the shape of the association between BMI and dementia was unaffected by the levels of ITS and EL. Regardless of levels of ITS and EL, young adult BMI below the mean is inversely associated with subsequent dementia, whereas there is no association with higher levels of BMI.</t>
  </si>
  <si>
    <t>Denmark</t>
  </si>
  <si>
    <t>SCOPUS_ID:85054204629</t>
  </si>
  <si>
    <t>10.1093/aje/kwy091</t>
  </si>
  <si>
    <t>Ramadan Exposure in Utero and Child Mortality in Burkina Faso: Analysis of a Population-Based Cohort Including 41,025 Children</t>
  </si>
  <si>
    <t>['child mortality', 'difference in differences', 'population-based cohort', 'pregnancy', 'prenatal exposure delayed effects', 'Ramadan', 'sub-Saharan Africa']</t>
  </si>
  <si>
    <t>Ramadan exposure in utero can be regarded as a natural experiment with which to study how nutritional conditions in utero influence susceptibility to disease later in life. We analyzed data from rural Burkina Faso on 41,025 children born between 1993 and 2012, of whom 25,093 were born to Muslim mothers. Ramadan exposure was assigned on the basis of overlap between Ramadan dates and gestation, creating 7 exclusive categories. We used proportional hazards regression with difference-in-differences analysis to estimate the association between Ramadan exposure at different gestational ages and mortality among children under 5 years of age. Under-5 mortality was 32 deaths per 1,000 child-years. Under-5 mortality among Muslims was 15% higher than that among non-Muslims (P &lt; 0.001). In the difference-in-differences analysis, the occurrence of Ramadan during conception or the first or second trimester was associated with higher under-5 mortality rates among Muslims only. The mortality rates of children born to Muslim mothers were 33%, 29%, and 22% higher when Ramadan occurred during conception, the first trimester, and the second trimester, respectively, compared with children of non-Muslim mothers born at the same time (P = 0.01, P &lt; 0.001, and P = 0.007). Having a Muslim mother was not associated with mortality when the child was not exposed to Ramadan, born during Ramadan, or exposed during the third trimester. Observance of Ramadan during early pregnancy can have detrimental consequences for the future health of the unborn child.</t>
  </si>
  <si>
    <t>Germany</t>
  </si>
  <si>
    <t>overly bold conclusion, but not a policy claims</t>
  </si>
  <si>
    <t>Agreed, maybe the tense is important here - can vs could.</t>
  </si>
  <si>
    <t>good, in which case all agree</t>
  </si>
  <si>
    <t>SCOPUS_ID:84946734426</t>
  </si>
  <si>
    <t>10.2105/AJPH.2015.302611</t>
  </si>
  <si>
    <t>Health care disparities in the post-affordable care act era</t>
  </si>
  <si>
    <t>Disparities in health care have been targeted for elimination by federal agencies and professional organizations, including the American Public Health Association. Although the Affordable Care Act (ACA) provides a valuable first step in reducing the disparities gap, progress is contingent upon whether opportunities in the ACA help or hinder populations at risk for impaired health and limited access to medical care.</t>
  </si>
  <si>
    <t>SCOPUS_ID:45549105637</t>
  </si>
  <si>
    <t>10.2105/AJPH.2007.121137</t>
  </si>
  <si>
    <t>Prevalence of chronic diseases and multimorbidity among the elderly population in Sweden</t>
  </si>
  <si>
    <t>We explored the role of age, gender, and socioeconomic status in the occurrence of chronic diseases and multimorbidity in 1099 elderly participants in the Kungsholmen Project. Cardiovascular and mental diseases were the most common chronic disorders. Of the participants, 55% had multimorbidity. Advanced age, female gender, and lower education were independently associated with a more than 50% increased risk for multimorbidity. Multimorbidity is the most common clinical picture of the elderly and may be increased by unhealthy behaviors linked to education.</t>
  </si>
  <si>
    <t>Sweden</t>
  </si>
  <si>
    <t>SCOPUS_ID:0025121054</t>
  </si>
  <si>
    <t>10.2105/AJPH.80.9.1101</t>
  </si>
  <si>
    <t>The effects of workplace health promotion on absenteeism and employment costs in a large industrial population</t>
  </si>
  <si>
    <t>We evaluated the impact of a comprehensive workplace health promotion program on absences among full-time employees in a large, multi-location, diversified industrial company. A pretest-posttest control group design was used to study 41 intervention sites and 19 control sites with 29,315 and 14,573 hourly employees, respectively. Blue-collar employees at intervention sites experienced an 14.0 percent decline in disability days over two years versus a 5.8 percent decline at control sites. This resulted in a net difference of 11,726 fewer disability days over two years at program sites compared with non-program sites. Savings due to lower disability costs at intervention sites offset program costs in the first year, and provided a return of $2.05 for every dollar invested in the program by the end of the second year. These results suggest that comprehensive workplace health promotion programs can reduce disability days among blue collar employees and provide a good return on investiment.</t>
  </si>
  <si>
    <t>SCOPUS_ID:84875598366</t>
  </si>
  <si>
    <t>10.1093/ije/dys214</t>
  </si>
  <si>
    <t>Consistently high estimates for the proportion of human exposure to malaria vector populations occurring indoors in rural Africa</t>
  </si>
  <si>
    <t>International Journal of Epidemiology</t>
  </si>
  <si>
    <t>['Behavior', 'Exposure', 'Malaria', 'Plasmodium', 'Transmission', 'Vector']</t>
  </si>
  <si>
    <t>Background Insecticide-treated nets (ITNs) and indoor residual spraying (IRS) are highly effective tools for controlling malaria transmission in Africa because the most important vectors, from the Anopheles gambiae complex and the A. funestus group, usually prefer biting humans indoors at night. Methods Matched surveys of mosquito and human behaviour from six rural sites in Burkina Faso, Tanzania, Zambia, and Kenya, with ITN use ranging from 0.2 to 82.5, were used to calculate the proportion of human exposure to An. gambiae sensu lato and An. funestus s.l. that occurs indoors (Ï€i), as an indicator of the upper limit of personal protection that indoor vector control measures can provide. This quantity was also estimated through use of a simplified binary analysis (Ï€iB) so that the proportions of mosquitoes caught indoors (Pi), and between the first and last hours at which most people are indoors (Pfl) could also be calculated as underlying indicators of feeding by mosquitoes indoors or at night, respectively. Results The vast majority of human exposure to Anopheles bites occurred indoors (iB 0.79-1.00). Neither An. gambiae s.l. nor An. funestus s.l. strongly preferred feeding indoors (Pi 0.40-0.63 and 0.22-0.69, respectively), but they overwhelmingly preferred feeding at times when most humans were indoors (Pfl 0.78-1.00 and 0.86-1.00, respectively). Conclusions These quantitative summaries of behavioural interactions between humans and mosquitoes constitute a remarkably consistent benchmark with which future observations of vector behaviour can be compared. Longitudinal monitoring of these quantities is vital to evaluate the effectiveness of ITNs and IRS and the need for complementary measures that target vectors outdoors. Published by Oxford University Press on behalf of the International Epidemiological Association. Â© The Author 2013; all rights reserved.</t>
  </si>
  <si>
    <t>Burkina Faso</t>
  </si>
  <si>
    <t>marginal - research is called for not policy?</t>
  </si>
  <si>
    <t xml:space="preserve">Yes research recommendation, not sure how to filter those, maybe iterations of further research needed </t>
  </si>
  <si>
    <t>I added to the LLM prompt that research recommendations don't count as policy recommendations; they might not be able to distinguish. New prompt=FALSE</t>
  </si>
  <si>
    <t>SCOPUS_ID:85045210606</t>
  </si>
  <si>
    <t>10.1016/j.amepre.2018.01.008</t>
  </si>
  <si>
    <t>Changes in School Food Preparation Methods Result in Healthier Cafeteria Lunches in Elementary Schools</t>
  </si>
  <si>
    <t>Introduction: The purpose of this study is to examine the impact of a districtwide food best practices and preparation changes in elementary schools lunches, implemented as part of the LiveWell@School childhood obesity program, funded by LiveWell Colorado/Kaiser Permanente Community Health Initiative. Methods: Longitudinal study examining how school changes in best practices for food preparation impacted the types of side items offered from 2009 to 2015 in elementary school cafeterias in a high-need school district in southern Colorado. Specifically, this study examined changes in side items (fruits, vegetables, potatoes, breads, and desserts). In Phase 1 (2009â€“2010), baseline data were collected. During Phase 2 (2010â€“2011), breaded and processed foods (e.g., frozen nuggets, pre-packaged pizza) were removed and school chefs were trained on scratch cooking methods. Phase 3 (2011â€“2012) saw an increased use of fresh/frozen fruits and vegetables after a new commodity order. During Phase 4 (2013â€“2015), chef consulting and training took place. The frequency of side offerings was tracked across phases. Analyses were completed in Fall 2016. Because of limited sample sizes, data from Phases 2 to 4 (intervention phases) were combined for potatoes and desserts. Descriptive statistics were calculated. After adjusting for length of time for each phase, Pearson chi-square tests were conducted to examine changes in offerings of side items by phase. Results: Fresh fruit offerings increased and canned fruit decreased in Phases 1â€“4 (p=0.001). A significant difference was observed for vegetables (p=0.001), with raw and steamed vegetables increasing and canned vegetables decreasing from Phase 1 to 4. Fresh potatoes (low in sodium) increased and fried potatoes (high in sodium) decreased from Phase 1 to Phases 2â€“4 (p=0.001). Breads were eliminated entirely in Phase 2, and dessert changes were not significant (p=0.927). Conclusions: This approach to promoting healthier lunch sides is a promising paradigm for improving elementary cafeteria food offerings. Supplement information: This article is part of a supplement entitled Building Thriving Communities Through Comprehensive Community Health Initiatives, which is sponsored by Kaiser Permanente, Community Health.</t>
  </si>
  <si>
    <t>SCOPUS_ID:0031194498</t>
  </si>
  <si>
    <t>10.1006/pmed.1997.0151</t>
  </si>
  <si>
    <t>Epidemiology of low total plasma cholesterol concentration among young adults: The CARDIA study</t>
  </si>
  <si>
    <t>Preventive Medicine</t>
  </si>
  <si>
    <t>['Cholesterol', 'Risk factors', 'Young adults']</t>
  </si>
  <si>
    <t>Background. Data on stability of plasma total cholesterol levels and its determinants among young adults are lacking. Knowledge of factors associated with low levels of plasma total cholesterol during young adulthood may help clarify the nature of associations between hypocholesterolemia and health or illness. Methods. Tracking of plasma total cholesterol was investigated using data from the baseline (1985-1986), Year 5 (1990-1991), and Year 7 (1992- 1993) examinations of the Coronary Artery Risk Development in Young Adults Study. Lifestyle (including dietary), physiological, medical, and psychological correlates of plasma total cholesterol were examined cross- sectionally at baseline using ANCOVA and multivariate logistic regression. The attributes of participants with persistently low plasma total cholesterol level after 7 years (i.e., remaining below the 10th percentile of sex- and race-specific distributions) were also examined. Results. The cohort in this analysis comprised 720 black men, 922 white men, 899 black women, and 944 white women who were between the ages of 18 and 30 years at baseline. Between 44 and 52% of those with plasma total cholesterol levels below the 10th percentile remained below the same percentile 7 years later. Among black men, a difference of 1 SD in age [3.7 years; odds ratio (OR) = 0.69; 95% CI = 0.52-0.91] and a difference of 1 SD in systolic blood pressure (10.5 mm Hg; OR = 0.73; 95% CI = 0.54-0.97) were independently associated with lower odds, respectively, of being in the lowest 10th percentile of the plasma total cholesterol distribution. Also among black men, current smoking and more calories from carbohydrates were associated with nonsignificantly higher odds of low total cholesterol level. Among white men, a 1 SD older age (3.4 years; OR = 0.78; 95% CI = 0.61-1.00) and a 1 SD higher physical fitness (118 see; OR = 1.41; 95% CI = 1.09-1.82) predicted lower and higher odds, respectively, of low plasma total cholesterol. Among black women, a 1 SD difference in albumin (0.3 g/dL; OR = 0.80; 95% CI = 0.63-1.03) was related to lower odds of low plasma total cholesterol. Among white women, the factors independently associated with low plasma total cholesterol were body mass index (OR for a difference in 4.0 kg/m2 = 0.73; 95% CI = 0.54-1.00) and Î³-glutamyl transferase (OR for an increase in 9.6 IU/L = 0.41; 95% CI = 0.18-0.93). The independent predictive factors of stably low total cholesterol levels were age and uric acid among black men (both inversely related) and age, Framingham Type A Behavior (inversely), and calories from carbohydrates (positively related) among white men. Conclusion: Young adults with low plasma total cholesterol level have characteristics generally associated with good cardiovascular health. However, adverse attributes such as current cigarette smoking (notably among black men) may confound future associations between low total cholesterol and disease.</t>
  </si>
  <si>
    <t>SCOPUS_ID:0029924623</t>
  </si>
  <si>
    <t>10.1097/00001648-199605000-00011</t>
  </si>
  <si>
    <t>Silica and aluminum in drinking water and cognitive impairment in the elderly</t>
  </si>
  <si>
    <t>['aluminum', "Alzheimer's disease", 'cognitive impairment', 'dementia', 'drinking water', 'elderly', 'silicon']</t>
  </si>
  <si>
    <t>We studied the relation between silica and aluminum levels in drinking water and the risk of cognitive impairment using data from a population- based survey of 3,777 French subjects age 65 years and older. We also studied the effect of pH and the concentrations of calcium, magnesium, fluorine, zinc, copper, and iron. We used a mixed effects logistic regression adjusting for age, sex, educational level, and occupation of the subjects. We confirmed the inverse relation previously found between calcium level and cognitive impairment. We found no important association between cognitive impairment and fluorine, magnesium, iron, copper, or zinc. The association between cognitive impairment and aluminum depended on the pH and the concentration of silica: high levels of aluminum appeared to have a deleterious effect when the silica concentration was low, but there was a protective effect when the pH and the silica level were high. The threshold for an aluminum effect, however, was very low (3.5 Î¼g per liter) and did not support the hypothesis of a deleterious effect for only high levels of aluminum.</t>
  </si>
  <si>
    <t>France</t>
  </si>
  <si>
    <t>SCOPUS_ID:85102828933</t>
  </si>
  <si>
    <t>10.1016/j.ypmed.2021.106507</t>
  </si>
  <si>
    <t>Associations between indicators of energy intake and expenditure with excess weight and obesity among women in sedentary and less-sedentary jobs</t>
  </si>
  <si>
    <t>['Dietary questionnaire for epidemiological studies', 'Energy balance', 'Obesity', 'Physical activity', 'Saturated fat', 'Sedentary work', 'Sugar sweetened beverages']</t>
  </si>
  <si>
    <t>The aim of this study was to compare the associations between indicators of energy intake and expenditure with excess weight and obesity in women who work full-time in sedentary and less sedentary jobs. Data were from 3444 participants the Australian Longitudinal Study on Women's Health, who reported their weight, dietary intake, physical activity and occupation in 2009 (baseline), and weight in 2012 (follow-up). Participants were categorised as being in a â€˜less sedentaryâ€™ or â€˜sedentaryâ€™ job, based on occupational activity patterns. Odds of excess weight (BMI â‰¥ 25) at baseline and of being obese (BMI â‰¥ 30) at follow-up, by indicators of energy intake and expenditure, were compared in the two occupational groups. In multivariate analyses, high non-work sitting time and saturated fat intake were associated with increased odds of obesity at 3-year follow-up in both occupational groups. In the sedentary job group, high physical activity (in leisure and transport) was associated with a 51% reduction in odds of obesity (OR 0.49, 95%CI 0.25â€“0.97). In the less-sedentary job group, energy intake and high soft drink consumption were associated with markedly increased odds of obesity (OR 1.67 95%CI 1.07â€“2.61; OR 2.08 95%CI1.42â€“3.05, respectively). In this cohort of young Australian women, sedentariness at work did not markedly affect the prevalence of excess weight or obesity. Indicators of high energy intake and low energy expenditure were associated with increased odds of both excess weight and obesity, regardless of sedentariness of occupational group.</t>
  </si>
  <si>
    <t>Australia</t>
  </si>
  <si>
    <t>SCOPUS_ID:0141997855</t>
  </si>
  <si>
    <t>10.1093/aje/kwg218</t>
  </si>
  <si>
    <t>Differences in body shape representations among young adults from a biracial (Black-White), semirural community: The Bogalusa Heart Study</t>
  </si>
  <si>
    <t>['Blacks', 'Body image', 'Body mass index', 'Body weight', 'Perception', 'Psychology', 'Whites']</t>
  </si>
  <si>
    <t>In this study, the authors examined body image perception and body mass index (weight (kg)/height (m)2) among race-gender groups in a biracial (Black-White) population of young adults in Bogalusa, Louisiana. A mail-out survey was completed in 1994 by 3,698 (65%) participants aged 18.5-35 years in the Bogalusa Heart Study (mean age = 27.6 years). As part of the survey, body image perception was determined in terms of body shape representation from a figure rating scale. A body image discrepancy score was calculated from the difference between z-standardized values of body image perception and body mass index. A stepwise proportional odds model including the covariates income, employment, education, and physical activity was used to identify factors influencing lower perception of body shape. Mean body mass index was highest among Black females (p &lt; 0.001). The odds of having a lower perception of body shape (vs. body mass index) were 1.72 times higher in Blacks (p &lt; 0.001), 0.80 times lower in persons who were currently employed (p &lt; 0.001), and 0.86 times lower in persons with a higher education (p = 0.032). Gender, income, and physical activity were not found to be significant predictors of body image perception (p &gt; 0.05). The authors conclude that significant differences exist within racial groups concerning body image perception in relation to overweight status among young adults. This has implications for prevention and education programs.</t>
  </si>
  <si>
    <t>"This has implications" - marginal, but still…</t>
  </si>
  <si>
    <t>Hard one, they do say policy implications but without specifying.</t>
  </si>
  <si>
    <t>LLM prompt edited for generic "this has policy implications" abstracts. New prompt=TRUE</t>
  </si>
  <si>
    <t>SCOPUS_ID:85195147269</t>
  </si>
  <si>
    <t>10.1007/s10654-024-01134-4</t>
  </si>
  <si>
    <t>Trends in incidence and mortality of early-onset cancer in Germany between 1999 and 2019</t>
  </si>
  <si>
    <t>['Cancer', 'Germany', 'Incidence', 'Mortality']</t>
  </si>
  <si>
    <t>Evidence on the recent temporal trend in the incidence and mortality of early-onset cancer, i.e., cancer diagnosed at ages of &lt; 50 years, in Germany is scarce. To estimate the temporal trend in the incidence and mortality of early-onset cancer in Germany between 1999 and 2019. Input data were obtained from the Centre for Cancer Registry Data (Zentrum fÃ¼r Krebsregisterdaten, ZfKD). The analysis comprised all ages until 50 years and all types of cancer classified by the International Classification of Diseases (ICD-10)-codes C00-C97 (excl. C44). Temporal trends were estimated using negative binomial regression, differentiated by sex and cancer type. Between 1999 and 2019 in Germany, we observed stable or slightly increasing trends (0% and 1%) in the incidence of all early-onset cancers combined (C00-C97) for men and women, respectively, and strict declines in the mortality for both, men and women (-2% and âˆ’ 3%). However, the trends differ largely with respect to sex and the individual cancer types. Early-onset cancer should be closely monitored to see whether stable and decreasing trends in the incidence and mortality continue. Knowing that despite decreasing incidence, the prevalence of a disease can rise due to their interplay with mortality, we recommend to maintain precise surveillance, efforts in prevention and early detection, as well as appropriate investments into healthcare resources, research and development.</t>
  </si>
  <si>
    <t xml:space="preserve">We recommend followed by policy </t>
  </si>
  <si>
    <t>SCOPUS_ID:0037209068</t>
  </si>
  <si>
    <t>10.1097/00001648-200301000-00009</t>
  </si>
  <si>
    <t>The effect of concurvity in generalized additive models linking mortality to ambient particulate matter</t>
  </si>
  <si>
    <t>['Air pollution', 'Concurvity', 'Generalized additive model', 'PM 10', 'PM 2.5', 'Sulfate particles']</t>
  </si>
  <si>
    <t>In recent years, a number of studies have applied generalized additive models to time series data to estimate associations between exposure to air pollution and cardiorespiratory morbidity and mortality. If concurvity, the nonparametric analogue of multicollinearity, is present in the data, statistical software such as S-plus can seriously underestimate the variance of fitted model parameters, leading to significance tests with inflated type 1 error. This paper uses computer simulation and analyses of actual epidemiologic data to explore this underestimation of standard errors. We provide a method for assessing concurvity in data and an alternate class of models that is unaffected by concurvity. We argue that some degree of concurvity is likely to be present in all epidemiologic time series datasets and we explore through the use of meta-analysis the possible impact of concurvity on the existing body of work relating ambient levels of sulfate particles to mortality. Copyright Â© 2002 by Lippincott Williams &amp; Wilkins, Inc.</t>
  </si>
  <si>
    <t>Canada</t>
  </si>
  <si>
    <t>SCOPUS_ID:85097113376</t>
  </si>
  <si>
    <t>10.1093/aje/kwaa139</t>
  </si>
  <si>
    <t>Incidence Correction Factors for Moderate and Severe Acute Child Malnutrition from 2 Longitudinal Cohorts in Mali and Burkina Faso</t>
  </si>
  <si>
    <t>['burden of acute malnutrition', 'child acute malnutrition', 'cumulative incidence', 'incidence correction factor K', 'longitudinal data', 'moderate acute malnutrition', 'prevalence', 'severe acute malnutrition']</t>
  </si>
  <si>
    <t>Child acute malnutrition (AM) is an important cause of child mortality. Accurately estimating its burden requires cumulative incidence data from longitudinal studies, which are rarely available in low-income settings. In the absence of such data, the AM burden is approximated using prevalence estimates from cross-sectional surveys and the incidence correction factor $K$, obtained from the few available cohorts that measured AM. We estimated $K$ factors for severe acute malnutrition (SAM) and moderate acute malnutrition (MAM) from AM incidence and prevalence using representative cross-sectional baseline and longitudinal data from 2 cluster-randomized controlled trials (Innovative Approaches for the Prevention of Childhood Malnutrition-PROMIS) conducted between 2014 and 2017 in Burkina Faso and Mali. We compared K estimates using complete (weight-for-length z score, mid-upper arm circumference (MUAC), and edema) and partial (MUAC, edema) definitions of SAM and MAM. $K$ estimates for SAM were 9.4 and 5.7 in Burkina Faso and in Mali, respectively; K estimates for MAM were 4.7 in Burkina Faso and 5.1 in Mali. The MUAC and edema-based definition of AM did not lead to different $K$ estimates. Our results suggest that $K$ can be reliably estimated when only MUAC and edema-based data are available. Additional studies, however, are required to confirm this finding in different settings.</t>
  </si>
  <si>
    <t>SCOPUS_ID:70249102791</t>
  </si>
  <si>
    <t>10.1093/aje/kwp179</t>
  </si>
  <si>
    <t>Determinants of first puff and daily cigarette smoking in adolescents</t>
  </si>
  <si>
    <t>['Adolescent', 'Epidemiologic factors', 'Incidence', 'Longitudinal studies', 'Risk factors', 'Smoking']</t>
  </si>
  <si>
    <t>Few prospective studies of smoking initiation have investigated a wide range of time-varying and invariant predictor variables at the individual and contextual levels concurrently. In this study (1999-2005), 877 Canadian students (mean age=12.7 years) who had never smoked at baseline completed self-report questionnaires on cigarette smoking and 32 predictor variables in 20 survey cycles during secondary school. Height and weight were measured in survey cycles 1, 12, and 19. School administrators completed questionnaires on school tobacco control policies/activities, and trained observers collected data on access to tobacco products in commercial establishments near schools. Younger age, single-parent family status, smoking by parents, siblings, friends, and school staff, stress, impulsivity, lower self-esteem, feeling a need to smoke, not doing well at school, susceptibility to tobacco advertising, alcohol use, use of other tobacco products, and attending a smoking-tolerant school were independent determinants of smoking initiation. Independent determinants of daily smoking onset among initiators of nondaily smoking included smoking by siblings and friends, feeling a need to smoke, susceptibility to tobacco advertising, use of other tobacco products, and self-perceived mental and physical addiction. Adolescent tobacco control programs should address multiple individual and contextual-level risk factors. Strategies that address nicotine dependence symptoms are also needed for adolescents who have already initiated smoking.</t>
  </si>
  <si>
    <t>clear</t>
  </si>
  <si>
    <t>Agreed, with the use of 'strategies'</t>
  </si>
  <si>
    <t>SCOPUS_ID:0031689886</t>
  </si>
  <si>
    <t>10.1016/S0749-3797(98)00049-X</t>
  </si>
  <si>
    <t>Costs of maternal conditions attributable to smoking during pregnancy</t>
  </si>
  <si>
    <t>['Cost', 'Economics', 'Health behavior', 'Health care costs', 'Pregnancy', 'Smoking', 'Surveys']</t>
  </si>
  <si>
    <t>Context: Despite known adverse health effects, many women continue to smoke during pregnancy. Public attention has now focused on the economic as well as health effects of this behavior. Objective: To estimate health care costs associated with smoking-attributable cases of placenta previa, abruptio placenta, ectopic pregnancy, preterm premature rupture of the membrane (PPROM), pre-eclampsia, and spontaneous abortion. Design: Pooled odds ratios were used with data on total cases to estimate smoking-attributable cases. Estimated average costs for cases of ectopic pregnancy and spontaneous abortion were used to estimate smoking-attributable health care costs for these conditions. Incremental costs, or costs above those for a 'normal' delivery, were used to estimate smoking-attributable costs of placenta previa, abruptio placenta, PPROM, and pre- eclampsia associated with delivery. Setting: National estimates for 1993. Participants: Data from the National Hospital Discharge Survey (NHDS) and claims data from a sample of large, self-insured employers across the country. Results: Smoking- attributable costs ranged from $1.3 million for PPROM to $86 million for ectopic pregnancy. Smoking during pregnancy apparently protects against pre- eclampsia and saves between $36 and $49 million, depending on smoking prevalence. Over all conditions smoking-attributable costs ranged from $135 to $167 million. Conclusions: Smoking during pregnancy is a preventable cause of higher health care costs for the conditions studied. While smoking during pregnancy was found to be protective against pre-eclampsia and, hence, saves costs, the net costs were still positive and significant, Effective smoking- cessation programs can reduce health care costs but clinicians will perhaps need to manage increased cases of pre-eclampsia in a cost-effective manner.</t>
  </si>
  <si>
    <t>SCOPUS_ID:85149642428</t>
  </si>
  <si>
    <t>10.2105/AJPH.2022.307207</t>
  </si>
  <si>
    <t>Housing Instability and Evictions Linked to Elevated Intimate Partner and Workplace Violence Among Women Sex Workers in Vancouver, Canada: Findings of a Prospective, Community-Based Cohort, 2010-2019</t>
  </si>
  <si>
    <t>Objectives. To model the relationship of unstable housing and evictions with physical and sexual violence perpetrated against women sex workers in intimate and workplace settings. Methods. We used bivariate and multivariable logistic regression with generalized estimating equations to model the association of unstable housing exposure and evictions with intimate partner violence (IPV) and workplace violence among a community-based longitudinal cohort of cisgender and transgender women sex workers in Vancouver, Canada, from 2010 through 2019. Results. Of 946 women, 85.9% experienced unstable housing, 11.1% eviction, 26.2% IPV, and 31.8% workplace violence. In multivariable generalized estimating equation models, recent exposure to unstable housing (adjusted odds ratio [AOR]52.04; 95% confidence interval [CI]51.45, 2.87) and evictions (AOR52.45; 95% CI50.99, 6.07) were associated with IPV, and exposure to unstable housing was associated with workplace violence (AOR51.46; 95% CI51.06, 2.00). Conclusions. Women sex workers face a high burden of unstable housing and evictions, which are linked to increased odds of intimate partner and workplace violence. Increased access to safe, womencentered, and nondiscriminatory housing is urgently needed.</t>
  </si>
  <si>
    <t>SCOPUS_ID:0028286476</t>
  </si>
  <si>
    <t>10.1136/jech.48.3.313</t>
  </si>
  <si>
    <t>Estimating confidence limits on a standardised mortality ratio when the expected number is not error free</t>
  </si>
  <si>
    <t>Journal of Epidemiology &amp; Community Health</t>
  </si>
  <si>
    <t>Objective - The aim was to demonstrate how the beta distribution may be used to find confidence limits on a standardised mortality ratio (SMR) when the expected number of events is subject to random variation and to compare these limits with those obtained with the standard exact approach used for SMRs and with a Fieller-based confidence interval. Design - The relationship of the binomial and the beta distributions is explained. For cohort studies in which deaths are counted in exposed and unexposed groups exact confidence limits on the relative risk are found conditional on the total number of observed deaths. A similar method for the SMR is justified by analogy between the SMR and the relative risk found from such cohort studies, and the fact that the relevant (beta) distribution does not require integer parameters. Source of data - Illustrative examples of hypothetical data were used, together with a MINITAB macro to perform the calculations. Main results - Exact confidence intervals that include error in the expected number are much wider than those found with the standard exact method. Fieller intervals are comparable with the new exact method provided the observed and expected numbers (taken to be means of Poisson variates) are large enough to approximate normality. As the expected number is increased, the standard method gives results closer to the new method, but may still lead to different conclusions even with as many as 100 expected. Conclusions - If there is reason to suppose the expected number of deaths in an SMR is subject to sampling error (because of imprecisely estimated rates in the standard population) then exact confidence limits should be found by the methods described here, or approximate Fieller-based limits provided enough events are observed and expected to approximate normality.</t>
  </si>
  <si>
    <t>United Kingdom</t>
  </si>
  <si>
    <t>clear LLM mistake?</t>
  </si>
  <si>
    <t>Agreed, not sure what it picked up here</t>
  </si>
  <si>
    <t>me neither - all we can do is a the best with our prompts</t>
  </si>
  <si>
    <t>SCOPUS_ID:0028784286</t>
  </si>
  <si>
    <t>10.1093/oxfordjournals.aje.a117747</t>
  </si>
  <si>
    <t>Preschool physical activity level and change in body fatness in young children: The framingham children's study</t>
  </si>
  <si>
    <t>['Child', 'Exercise', 'Obesity', 'Prospective studies', 'Skinfold thickness']</t>
  </si>
  <si>
    <t>This study examined the effect of preschool physical activity on the change in body fatness from preschool to first grade. The Framingham Children's Study, a longitudinal study of childhood cardiovascular risk behaviors, began in 1987 with the enrollment of 106 children aged 3-5 years and their parents. The present analyses include 97 healthy children with complete data from study entry into first grade. Physical activity was assessed twice yearly for 5 days with an electronic motion sensor. The authors estimated change in the child's level of body fat from preschool to first grade by using the slopes of triceps and subscapular skinfolds and body mass index. On average, active girls (i.e., those with above-median activity levels) gained 1.0 mm in their triceps skinfolds from baseline to first grade, while inactive girls gained 1.75 mm. Active boys lost an average of 0.75 mm in their triceps, while inactive boys gained 0.25 mm. When age, television viewing, energy intake, baseline triceps, and parents' body mass indices were controlled for, inactive preschoolers were 3.8 (95% confidence interval 1.4-10.6) times as likely as active preschoolers to have an increasing triceps slope during follow up (rather than a stable or decreasing slope). This relative risk estimate was slightly higher for children with more body fat at baseline. In this study, preschool-aged children with low levels of physical activity gained substantially more subcutaneous fat than did more active children. Â© 1995 Copyright 1995 by The Johns Hopkins University School of Hygiene and Public Health.</t>
  </si>
  <si>
    <t>SCOPUS_ID:85123459610</t>
  </si>
  <si>
    <t>10.1093/ije/dyab095</t>
  </si>
  <si>
    <t>Maternal smoking and smokeless tobacco use during pregnancy and offspring development: Sibling analysis in an intergenerational Swedish cohort</t>
  </si>
  <si>
    <t>['confounding', 'fetal growth restriction', 'Intellectual disability', 'maternal prenatal smoking', 'siblings', 'snus']</t>
  </si>
  <si>
    <t>Background: The association between maternal smoking in pregnancy and offspring intellectual disability (ID) is less well understood than that of smoking and fetal growth restriction. As fetal growth and cognitive development may share similar confounding structures, comparison of the two associations may improve understanding of the causal nature of the association with ID. Furthermore, comparisons of smoking with smokeless tobacco use may aid identification of mechanisms of action. Methods: This was a cohort study of all Swedish births between 1999 and 2012 (n = 1 070 013), with prospectively recorded data. We assessed the association between maternal smoking during pregnancy and offspring outcomes ID and born small for gestational age (SGA). Analyses were repeated for snus use in pregnancy. Using a sibling design, we estimated within-family effects that control for shared sibling characteristics. Results: Those exposed to maternal smoking in pregnancy had increased odds of ID [odds ratio (OR) = 1.24, 95% confidence interval (CI): 1.16-1.33] and SGA (OR = 2.19, 95% CI: 2.11-2.27) after confounder adjustment. Within-family effects were found for SGA (OR = 1.44, 95% CI: 1.27-1.63) but not ID (OR = 0.92, 95% CI: 0.74-1.14). For snus use, the results for ID were similar to smoking. We found increased odds of offspring SGA among mothers who used snus in pregnancy in sensitivity analyses but not in primary analyses. Conclusions: Our findings are consistent with a causal effect of maternal smoking in pregnancy on risk of offspring born SGA but not on risk of ID. We found no evidence for a causal effect of snus use in pregnancy on ID and inconclusive evidence for SGA.</t>
  </si>
  <si>
    <t>SCOPUS_ID:0028997640</t>
  </si>
  <si>
    <t>10.2105/AJPH.85.6.854</t>
  </si>
  <si>
    <t>A preventive child health program: The effect of telephone and home visits by public health nurses</t>
  </si>
  <si>
    <t>A randomized trial was conducted to determine if a public health nursing intervention consisting of telephone contacts or home visits affected the receipt of preventive health services by children eligible for the Early Periodic Screening, Diagnosis, and Treatment program. Each nursing intervention was applied using a protocol, and outcome data for 1654 case subjects were obtained from state-paid provider claims. However, the trial revealed no statistically significant differences between the study groups, nor was ethnicity a significant factor. Methodological and study context issues were identified that may have affected the results, the generalization of which is limited by the strict selection of cases.</t>
  </si>
  <si>
    <t>SCOPUS_ID:78650909890</t>
  </si>
  <si>
    <t>10.2105/AJPH.2009.182287</t>
  </si>
  <si>
    <t>Potential national and state medical care savings from primary disease prevention</t>
  </si>
  <si>
    <t>Objectives: We estimated national and state-level potential medical care cost savings achievable through modest reductions in the prevalence of several diseases associated with the same lifestyle-related risk factors. Methods: Using Medical Expenditure Panel Survey Household Component data (2003-2005), we estimated the effects on medical spending over time of reductions in the prevalence of diabetes, hypertension, and related conditions amenable to primary prevention by comparing simulated counterfactual morbidity and medical care expenditures to actual disease and expenditure patterns. We produced state-level estimates of spending by using multivariate reweighting techniques. Results. Nationally, we estimated that reducing diabetes and hypertension prevalence by 5% would save approximately $9 billion annually in the near term. With resulting reductions in comorbidities and selected related conditions, savings could rise to approximately $24.7 billion annually in the medium term. Returns were greatest in absolute terms for private payers, but greatest in percentage terms for public payers. State savings varied with demographic makeup and prevailing morbidity. Conclusions. Well-designed interventions that achieve improvements in lifestyle-related risk factors could result in sufficient savings in the short and medium term to substantially offset intervention costs.</t>
  </si>
  <si>
    <t>SCOPUS_ID:0026733346</t>
  </si>
  <si>
    <t>10.1093/oxfordjournals.aje.a116486</t>
  </si>
  <si>
    <t>Childhood weight and growth rate as predictors of adult mortality</t>
  </si>
  <si>
    <t>['Anthropometry', 'Body height', 'Body weight', 'Child', 'Growth', 'Mortality']</t>
  </si>
  <si>
    <t>The effect of rate of growth and relative weight in childhood on adult mortality was studied among 13,146 persons whose weights and heights were measured between the ages of 5 and 18 years in Hagerstown, Maryland, during the period 1933-1945. Relative weight was defined internally, age- and sex-specific Z-scores for height and weight were calculated using national standards, and height and weight velocities were measured as annual increments. Associations between growth parameters (pre- and postpubertal) and mortality through 1985 were investigated in subjects who matched the 1963 and 1975 private health censuses of Washington County, Maryland, using a nested case-control design. Odds ratios of mortality increased linearly with prepubertal relative weight (p &lt; 0.05 for both sexes combined) and with postpubertal relative weight in females (p &lt; 0.01). The associations between growth velocities or attained height with mortality tended to be inverse, although not statistically significant. These results are compatible with the existence of positive associations of overweight in school-age children with long-term mortality and seem to allay fears that harm could come from increased growth rates in childhood. Without jeopardizing growth, the avoidance of overweight in childhood might reduce mortality in middle age. Am J Epidemiol1992;136:201-13. Â© 1992 by The Johns Hopkins University School of Hypiene and Public Health.</t>
  </si>
  <si>
    <t>SCOPUS_ID:0041509097</t>
  </si>
  <si>
    <t>10.1093/aje/kwg150</t>
  </si>
  <si>
    <t>Searching for disease-susceptibility loci by testing for Hardy-Weinberg disequilibrium in a gene bank of affected individuals</t>
  </si>
  <si>
    <t>['Disease susceptibility', 'Epidemiologic methods', 'Gene library', 'Genetics', 'Genome', 'Hardy-Weinberg equilibrium', 'Monte Carlo method', 'Polymorphism, single nucleotide']</t>
  </si>
  <si>
    <t>The future of genetic studies of complex human diseases will rely more and more on the epidemiologic association paradigm. The author proposes to scan the genome for disease-susceptibility gene(s) by testing for deviation from Hardy-Weinberg equilibrium in a gene bank of affected individuals. A power formula is presented, which Is very accurate as revealed by Monte Carlo simulations. If the disease-susceptibility gene is recessive with an allele frequency of â‰¤0.5 or dominant with an allele frequency of â‰¥0.5, the number of subjects needed by the present method is smaller than that needed by using a case-parents design (using either the transmission/disequilibrium test or the 2-df likelihood ratio test). However, the method cannot detect genes with a multiplicative mode of inheritance, and the validity of the method relies on the assumption that the source population from which the cases arise is in Hardy-Weinberg equilibrium. Thus, it is prone to produce false positive and false negative results. Nevertheless, the method enables rapid gene hunting in an existing gene bank of affected individuals with no extra effort beyond simple calculations.</t>
  </si>
  <si>
    <t>Taiwan</t>
  </si>
  <si>
    <t>SCOPUS_ID:34247537778</t>
  </si>
  <si>
    <t>10.1093/ije/dyl267</t>
  </si>
  <si>
    <t>Are socially disadvantaged neighbourhoods deprived of health-related community resources?</t>
  </si>
  <si>
    <t>['Community resources', 'Context', 'Health inequality', 'Neighbourhoods', 'New Zealand']</t>
  </si>
  <si>
    <t>Background: Recent work in a number of countries has identified growing geographical inequalities in health between deprived and non-deprived neighbourhoods. The health gaps observed cannot be entirely explained by differences in the characteristics of individuals living in those neighbourhoods, which has led to a concerted international public health research effort to determine what contextual features of neighbourhoods matter. This article reports on access to potentially health-promoting community resources across all neighbourhoods in New Zealand. Prevailing international opinion is that access to community resources is worse in deprived neighbourhoods. Methods: Geographical Information Systems were used to calculate geographical access to 16 types of community resources (including recreational amenities, and shopping, educational and health facilities) in 38-350 small census areas across the country. The distribution of these access measures by neighbourhood socioeconomic deprivation was determined. Results: For 15 out of 16 measures of community resources, access was clearly better in more deprived neighbourhoods. For example, the travel time to large supermarkets was âˆ¼80% greater in the least deprived quintile of neighbourhoods compared with the most deprived quintile. Conclusions: These results challenge the widely held, but largely untested, view that areas of high social disadvantage have poorer access to community resources. Poor locational access to community resources among deprived neighbourhoods in New Zealand does not appear to be an explanation of poorer health in these neighbourhoods. If anything, a pro-equity distribution of community resources may be preventing even wider disparities in neighbourhood inequalities in health. Â© The Author 2006; all rights reserved.</t>
  </si>
  <si>
    <t>New Zealand</t>
  </si>
  <si>
    <t>SCOPUS_ID:33750628586</t>
  </si>
  <si>
    <t>10.1136/jech.2005.043182</t>
  </si>
  <si>
    <t>Validity of age at menarche self-reported in adulthood</t>
  </si>
  <si>
    <t>Objective: To test the validity of age at menarche self-reported in adulthood and examine whether socioeconomic position, education, experience of gynaecological events and psychological symptoms influence the accuracy of recall. Design: Prospective birth cohort study. Setting: England, Scotland and Wales. Participants: 1050 women from the Medical Research Council National Survey of Health and Development, with two measures of age at menarche, one recorded in adolescence and the other self-reported at age 48 years. Results: By calculating the limits of agreement, Îº statistic and Pearson's correlation coefficients (r), we found that the validity of age at menarche self-reported in middle age compared with that recorded in adolescence was moderate (Îº = 0.35, r = 0.66, n = 1050). Validity was improved by categorising age at menarche into three groups: early, normal and late (Îº = 0.43). Agreement was influenced by educational level and having had a stillbirth or miscarriage. Conclusions: The level of validity shown in this study throws some doubt on whether it is justifiable to use age at menarche self-reported in middle age. It is likely to introduce error and bias, and researchers should be aware of these limitations and use such measures with caution.</t>
  </si>
  <si>
    <t>SCOPUS_ID:0344117621</t>
  </si>
  <si>
    <t>10.1093/eurpub/9.3.181</t>
  </si>
  <si>
    <t>Physician recommendations for coronary revascularization: Variations by clinical speciality</t>
  </si>
  <si>
    <t>European Journal of Public Health</t>
  </si>
  <si>
    <t>['Appropriateness', 'Coronary artery bypass graft surgery', 'Percutaneous transluminal coronary angioplasty']</t>
  </si>
  <si>
    <t>Background: Studies have shown that clinical speciality has a strong influence on appropriateness ratings. We examined the effect of clinical speciality on physician recommendations for the performance of coronary artery bypass graft surgery (CABG) and percutaneous transluminal coronary angioplasty (PTCA) in Spain. Methods: Following the RAND appropriateness method, a 10-member multispeciality panel composed of cardiovascular surgeons (CVs), interventional cardiologists (ICs), and non-interventional cardiologists (NICs) rated the appropriateness of 1826 hypothetical indications: 936 for coronary revascularization and 890 for preference between PTCA and CABG. For all revascularization indications and for all PTCA-CABG indications for which revascularization was rated appropriate by the panel, we calculated the mean appropriateness rating, by panellist and by speciality group, and the proportion of indications rated with preference for PTCA, with preference for CABG, and with no preference, by speciality group. Results: The ICs had a higher mean rating across all revascularization indications (7.8) than either the NICs (5.7) or the CVs (5.9). For the 509 indications rated appropriate for revascularization by the panel, the ICs preferred PTCA in 54% of indications, versus 39% for the NICs and 25% for the CVs. The CVs preferred CABG in 58% of indications, versus 32% for the NICs and 20% for the ICs. Conclusions: Appropriateness ratings varied by clinical speciality. Physicians who perform a procedure may be more aggressive in recommending its use than non-performers. Appropriateness panels should be multidisciplinary to accurately reflect the judgements of the different types of physicians involved in patient care.</t>
  </si>
  <si>
    <t>hard to call</t>
  </si>
  <si>
    <t xml:space="preserve">not sure here as it is a practical implication rather than a policy implication. It is hard with the diversity of papers we have. Maybe discuss with our co-authors. </t>
  </si>
  <si>
    <t>change in policy re: future panel composition on the basis of a single study</t>
  </si>
  <si>
    <t>agree with change in policy recommended</t>
  </si>
  <si>
    <t>SCOPUS_ID:0034541277</t>
  </si>
  <si>
    <t>10.1093/aje/152.11.1072</t>
  </si>
  <si>
    <t>Validation of three food frequency questionnaires and 24-hour recalls with serum carotenoid levels in a sample of African-American adults</t>
  </si>
  <si>
    <t>['Antioxidants', 'Biological markers', 'Carotenoids', 'Diet surveys', 'Fruits', 'Questionnaires', 'Recall', 'Vegetables']</t>
  </si>
  <si>
    <t>The validity of self-reported fruit and vegetable intake in minority populations has not been adequately established. In this study, the authors examined the association of three food frequency questionnaires (FFQs) and 24-hour dietary recalls with serum carotenoid levels. Approximately 1,000 African-American adults recruited from 15 churches in Atlanta, Georgia (1997-1998) completed three fruit and vegetable FFQs: a seven-item instrument assessing intake during the past month; a two-item measure assessing usual intake; and a 36-item measure adapted from the Health Habits and History Questionnaire. A total of 414 participants received a 24-hour recall by telephone, and 105 of them received two additional recalls. Serum levels of lycopene, lutein, cryptoxanthin, Î±-carotene, and Î²-carotene were assessed in 813 participants and used as the validity criterion. The correlations of fruit and vegetable servings with specific and total serum carotenoid levels were generally higher for the 36-item FFQ than for the two-item and seven-item instruments. The strongest correlation of fruit and vegetable servings with total carotenoid levels was observed for the three recalls (r = 0.42), with the 36-item FFQ and the single 24-hour recall yielding comparable correlations (r = 0.35 and r = 0.37, respectively). The validity of the 36-item fruit and vegetable FFQ was generally as strong as the validity of both 1 and 3 days of recalls. Given the lower cost and time needed for administration relative to recalls, it appears that the 36-item FFQ has merit for evaluating fruit and vegetable health interventions.</t>
  </si>
  <si>
    <t>SCOPUS_ID:84885841557</t>
  </si>
  <si>
    <t>10.1016/j.ypmed.2013.07.007</t>
  </si>
  <si>
    <t>Who uses new walking and cycling infrastructure and how? Longitudinal results from the UK iConnect study</t>
  </si>
  <si>
    <t>['Built environment', 'Cycling', 'Infrastructure', 'Walking']</t>
  </si>
  <si>
    <t>Objective: To examine how adults use new local walking and cycling routes, and what characteristics predict use. Methods: 1849 adults completed questionnaires in 2010 and 2011, before and after the construction of walking and cycling infrastructure in three UK municipalities. 1510 adults completed questionnaires in 2010 and 2012. The 2010 questionnaire measured baseline characteristics; the follow-up questionnaires captured infrastructure use. Results: 32% of participants reported using the new infrastructure in 2011, and 38% in 2012. Walking for recreation was by far the most common use. In both follow-up waves, use was independently predicted by higher baseline walking and cycling (e.g. 2012 adjusted rate ratio 2.09 (95% CI 1.55, 2.81) for &gt; 450. min/week vs. none). Moreover, there was strong specificity by mode and purpose, e.g. baseline walking for recreation specifically predicted walking for recreation on the infrastructure. Other independent predictors included living near the infrastructure, better general health and higher education or income. Conclusions: The new infrastructure was well-used by local adults, and this was sustained over two years. Thus far, however, the infrastructure may primarily have attracted existing walkers and cyclists, and may have catered more to the socio-economically advantaged. This may limit its impacts on population health and health equity. Â© 2013 The Authors.</t>
  </si>
  <si>
    <t>SCOPUS_ID:32344440035</t>
  </si>
  <si>
    <t>10.1016/j.amepre.2005.11.001</t>
  </si>
  <si>
    <t>Cigarette promotional offers: Who takes advantage?</t>
  </si>
  <si>
    <t>Background: Promotional offers on cigarettes (e.g., dollar-off, multipack discounts) composed the largest share of tobacco industry marketing expenditures, totaling $8.9 billion, or 72% of the total budget in 2002. Internal industry documents indicate that young adults, potential quitters, and other price-sensitive groups are the targets of these marketing tactics. How effective they are in actually reaching these groups in the general population of smokers has not yet been investigated. Methods: Data were from 4618 current smokers responding to the large, random-digit-dialed population-based 2002 California Tobacco Survey. The characteristics were identified of smokers who reported that they used these offers "every time I see one." Results: Thirty-five percent of smokers used promotional offers every time they saw one. Multivariate analyses identified young adults, women, African Americans, those with higher daily cigarette consumption, and those worried about cigarette costs as more likely to use promotional offers at every opportunity. Smokers most committed to quitting were no more likely to use promotional offers than those with no intention to quit. Cigarette brand was highly correlated with age and race/ethnicity, and therefore was not included in the multivariate analysis. Those who smoked menthol cigarettes and Camels, more often young adults and African Americans, were much more likely than those of other brands to use promotional offers. Conclusions: With the exception of smokers intending to quit, cigarette promotional offers are effectively reaching most industry-targeted groups. Importantly, young adults, who have the greatest long-term customer potential, are responding. Â© 2006 American Journal of Preventive Medicine.</t>
  </si>
  <si>
    <t>SCOPUS_ID:77952942744</t>
  </si>
  <si>
    <t>10.1093/aje/kwq045</t>
  </si>
  <si>
    <t>Body fatness at young ages and risk of breast cancer throughout life</t>
  </si>
  <si>
    <t>['Adiposity', 'Adolescent', 'Breast neoplasms', 'Child', 'Obesity']</t>
  </si>
  <si>
    <t>Body fatness at young ages may be related to breast cancer risk independently of adult adiposity. The authors conducted a prospective analysis among 188,860 women (7,582 breast cancer cases) in the Nurses' Health Study (1988-2004) and Nurses' Health Study II (1989-2005) who recalled their body fatness at ages 5, 10, and 20 years using a 9-level pictogram (level 1: most lean; level 9: most overweight). Body fatness at young ages was inversely associated with risk of both premenopausal and postmenopausal breast cancer (per 1-unit increase in adolescent body fatness, relative risk (RR) = 0.88 and RR = 0.91, respectively; Ptrend &lt; 0.0001). Among all women, the RR for adolescent body fatness of level 6.5 or higher versus level 1 was 0.57 (per 1-unit increase, RR = 0.90; Ptrend &lt; 0.0001) and was unaffected by adjustment for current body mass index. The association was stronger for women with birth weights under 8.5 pounds (&lt;3.9 kg) than for women with birth weights of 8.5 pounds or more (â‰¥3.9 kg) (per 1-unit increase, RR = 0.89 and RR = 0.94, respectively; Pinteraction = 0.04) and stronger for estrogen receptor-negative tumors than for estrogen receptor-positive tumors (per 1-unit increase, RR = 0.86 and RR = 0.92, respectively; Pheterogeneity = 0.03). Body fatness at young ages has a strong and independent inverse relation to breast cancer risk throughout life. Â© The Author 2010.</t>
  </si>
  <si>
    <t>SCOPUS_ID:84929335072</t>
  </si>
  <si>
    <t>10.2105/AJPH.2015.302628</t>
  </si>
  <si>
    <t>Polling places, pharmacies, and public health: Vote &amp;amp; Vax 2012</t>
  </si>
  <si>
    <t>US national elections, which draw sizable numbers of older voters, take place during flu-shot season and represent an untapped opportunity for large-scale delivery of vaccinations. In 2012, Vote &amp; Vax deployed a total of 1585 clinics in 48 states; Washington, DC; Guam; Puerto Rico; and the US Virgin Islands. Approximately 934 clinics were located in pharmacies, and 651 were near polling places. Polling place clinics delivered significantly more vaccines than did pharmacies (5710 vs 3669). The delivery of vaccines was estimated at 9379, and approximately 45% of the recipients identified their race/ethnicity as African American or Hispanic. More than half of the White Vote &amp; Vax recipients and more than two thirds of the non-White recipients were not regular flu shot recipients.</t>
  </si>
  <si>
    <t>SCOPUS_ID:85133980653</t>
  </si>
  <si>
    <t>10.1093/aje/kwac025</t>
  </si>
  <si>
    <t>Sampling Validation Data to Achieve a Planned Precision of the Bias-Adjusted Estimate of Effect</t>
  </si>
  <si>
    <t>['epidemiologic methods', 'quantitative bias analysis', 'study design', 'validation substudies']</t>
  </si>
  <si>
    <t>Data collected from a validation substudy permit calculation of a bias-adjusted estimate of effect that is expected to equal the estimate that would have been observed had the gold standard measurement been available for the entire study population. In this paper, we develop and apply a framework for adaptive validation to determine when sufficient validation data have been collected to yield a bias-adjusted effect estimate with a prespecified level of precision. Prespecified levels of precision are decided a priori by the investigator, based on the precision of the conventional estimate and allowing for wider confidence intervals that would still be substantively meaningful. We further present an applied example of the use of this method to address exposure misclassification in a study of transmasculine/transfeminine youth and self-harm. Our method provides a novel approach to effective and efficient estimation of classification parameters as validation data accrue, with emphasis on the precision of the bias-adjusted estimate. This method can be applied within the context of any parent epidemiologic study design in which validation data will be collected and modified to meet alternative criteria given specific study or validation study objectives.</t>
  </si>
  <si>
    <t>SCOPUS_ID:0028170572</t>
  </si>
  <si>
    <t>10.2105/AJPH.84.9.1439</t>
  </si>
  <si>
    <t>Black-White differences in serum cotinine levels among pregnant women and subsequent effects on infant birthweight</t>
  </si>
  <si>
    <t>Objectives. Higher levels of serum cotinine (a metabolite of nicotine) have been found in Black smokers than in White smokers even after self- reported cigarette dose was controlled. It is unknown whether higher cotinine levels in Black pregnant smokers may increase the risk of delivering an infant of reduced birthweight. Methods. We analyzed serum cotinine levels of 374 Black and 829 White women who smoked during pregnancy and who delivered between April 1964 and April 1967. Racial differences in the relationship between cotinine and birthweight were examined. Results. Cotinine levels were 27.4 ng/mL higher in Black smokers after cigarette dose and confounding variables were controlled. Blacks had higher cotinine levels than Whites at each dose. No significant racial differences in the rate of decrease in birthweight per nanogram of cotinine per milliliter were found. Conclusions. Our results confirm previous research showing higher cotinine levels at each smoking dose in Black smokers than in White smokers. Because there was no difference in the rate of decrease in birthweight due to cotinine, our results suggest that cigarette smoking among Blacks may have a greater effect on birthweight than it does among Whites.</t>
  </si>
  <si>
    <t>SCOPUS_ID:79952050640</t>
  </si>
  <si>
    <t>10.1093/ije/dyq164</t>
  </si>
  <si>
    <t>Prospective cohort study of breast implants and the risk of connective-tissue diseases</t>
  </si>
  <si>
    <t>['Breast implants', 'Cohort studies', 'Connective-tissue diseases', "Women's health"]</t>
  </si>
  <si>
    <t>Background: A 2000 meta-analysis indicated no overall association between breast implants and risk of connective-tissue diseases (CTDs). However, a large retrospective cohort study we previously conducted suggested, instead, a small increased risk of CTDs. Because of limitations inherent to the retrospective cohort study design, we sought clarification by conducting a prospective cohort study of the association of breast implants with CTD risk. Methods:: Participants were 23 847 US women (mean age 56.6 years), 3950 of whom had breast implants and 19 897 did not. Women reported their breast implant status at baseline in 2001 and were followed for a median of 3.63 years. During follow-up, women reported incident CTD, confirmed using a CTD screening questionnaire (CSQ) and medical records. Results: In multivariate analyses, the rate ratios for self-reported CTD (113 vs 377 cases in the implanted and non-implanted group, respectively) were 1.60 [95% confidence interval (CI) 1.28-2.00], for CSQ-confirmed CTD (77 vs 226 cases), 1.80 (1.37-2.38) and for medical ecord confirmed CTD (21 vs 74 cases), 1.39 (0.82-2.35). Conclusions: Although this prospective cohort study represented a stronger design than the retrospective cohort study, the present data should still be viewed cautiously because of remaining methodological limitations, including the potential for differential self-reporting of CTD and CTD symptoms among women with and without breast implants, the difficulty of obtaining medical records for women reporting CTD and the low and possibly differential confirmation of self-reported disease against medical records. A reasonable conclusion is the lack of a large increase in CTD risk (e.g.â‰¥2-fold) associated with breast implants. Â© The Author 2010. Published by Oxford University Press on behalf of the International Epidemiological Association. All rights reserved.</t>
  </si>
  <si>
    <t>SCOPUS_ID:0041803240</t>
  </si>
  <si>
    <t>10.1023/A:1024686625528</t>
  </si>
  <si>
    <t>Birth weight and risk of angina pectoris: Analysis in Swedish twins</t>
  </si>
  <si>
    <t>['Angina pectoris', 'Birth weight', 'Coronary heart disease', 'Twin study']</t>
  </si>
  <si>
    <t>Objective: Intrauterine nutrition approximated by birth weight has been shown to be inversely associated with risk of coronary heart disease (CHD). By investigating the association within twin pairs discordant for disease, the influence of genetic and early environmental factors is substantially reduced. Methods: We have investigated the association between birth weight and angina pectoris in same-sexed twins with known zygosity included in the population-based Swedish Twin Registry. Self-reports of birth weight and angina pectoris were collected in a telephone interview between 1998 and 2000. The cohort analyses were based on 4594 same-sexed twins, and the within-pair analyses included 55 dizygotic and 37 monozygotic twin pairs discordant for angina pectoris. Odds ratios (OR) and 95% confidence intervals (CI) were calculated by logistic regression. Results: Compared with birth weight between 2.0 and 2.9 kg, low birth weight (&lt;2.0 kg) was associated with increased risk of angina pectoris in the twin cohort, (OR: 1.46; 95% CI: 1.14-1.87), but after adjustment for potential confounders the risk decreased, and did not reach significance. Within twin pairs discordant for angina pectoris, low birth weight was significantly associated with increased risk of angina pectoris within dizygotic twins (adjusted OR: 5.73; 95% CI: 1.59-20.67), but not within monozygotic twins (adjusted OR: 1.20; 95% CI: 0.40-3.58). Conclusions: The results suggest that genetic differences associated with foetal growth and adult risk of CHD may have affected previously reported associations between birth weight and CHD.</t>
  </si>
  <si>
    <t>SCOPUS_ID:0030889263</t>
  </si>
  <si>
    <t>The Dutch EPIC Food Frequency Questionnaire. I. Description of the questionnaire, and relative validity and reproducibility for food groups</t>
  </si>
  <si>
    <t>['EPIC', 'Food frequency questionnaire', 'Food groups', 'Food photographs', 'Relative validity', 'Reproducibility']</t>
  </si>
  <si>
    <t>Background. A self-administered food frequency questionnaire was developed for the Dutch cohort of the European Prospective Investigation into Cancer and Nutrition (EPIC). Habitual consumption of 178 food items can be calculated from the questionnaire data. Methods. Reproducibility and relative validity for food group intake were investigated in a population of 121 Dutch men and women. The questionnaire was administered three times at 6-month intervals in order to determine the reproducibility. To assess the relative validity 12 monthly 24-hour recalls served as the reference method. Results. Spearman rank order correlation coefficients between estimates of food group intake assessed by repeated questionnaires ranged from 0.45 to 0.92. For men, Spearman correlation coefficients between estimates of food group intake based on the questionnaire and those based on 24-hour recalls ranged from 0.21 for cooked vegetables to 0.78 for sugar and sweet products, with a range of 0.61. For women the median was 0.53, with a minimum of 0.31 for vegetables and a maximum of 0.87 for alcoholic beverages. The photographs in the questionnaire for the estimation of portion sizes contributed little to the relative validity of the ranking of subjects. However, on the group level most median food group estimates based on photographic portion sizes were closer to the median intakes as assessed by 24-hour recalls than those based on standard portion sizes. Conclusions. The questionnaire seems adequate for ranking Dutch EPIC subjects according to intake of most food groups, although the relative validity for some food groups, such as vegetables and fish, remains of concern.</t>
  </si>
  <si>
    <t>Netherlands</t>
  </si>
  <si>
    <t>SCOPUS_ID:85022341794</t>
  </si>
  <si>
    <t>10.1016/j.ypmed.2017.07.005</t>
  </si>
  <si>
    <t>Is the link between movement and mental health a two-way street? Prospective associations between physical activity, sedentary behaviour and depressive symptoms among women living in socioeconomically disadvantaged neighbourhoods</t>
  </si>
  <si>
    <t>['Exercise, sedentary lifestyle', 'Mental health', 'Sitting', 'Vulnerable populations', 'Women']</t>
  </si>
  <si>
    <t>This study aimed to investigate the bi-directional relationship between different domains of physical activity (PA), sedentary behaviour (SB) and depressive symptoms among women living in socioeconomically disadvantaged neighbourhoods in Victoria, Australia. Women (nÂ =Â 1033), aged 18â€“46Â years at Wave 1 (2007/08), completed self-report measures of PA (leisure-time, transport, occupational, domestic), SB (TV viewing, computer use, overall sitting time) and depressive symptoms (CES-D 10) at each study time-point (Wave 2: 2010/11, Wave 3: 2012/13). Separate linear mixed models were fitted to examine if change in depressive symptoms differed dependent on each of the baseline PA or SB measures. Similarly, baseline depressive symptoms were used as a predictor of change in PA and SB. In secondary analyses, associations between baseline PA or SB and odds of becoming â€˜at riskâ€™ of depression among those not â€˜at riskâ€™ at baseline were examined using logistic regression. There was no evidence that change in depressive symptoms differed depending on PA or SB at baseline. In general, there was also no evidence that change in PA or SB differed depending on baseline depressive symptoms. One exception was change in leisure-time PA, which declined more among those with heightened depressive symptoms at baseline (Interaction: Î²Â =Â âˆ’Â 0.003, 95% CIÂ =Â âˆ’Â 0.007, âˆ’Â 0.0003). Transport-related PA (adjusted ORÂ =Â 1.06, 95% CIÂ =Â 1.013, 1.101) and domestic PA (adjusted ORÂ =Â 1.02, 95% CIÂ =Â 1.003, 1.040) were associated with greater odds of becoming at risk of depression at wave 3. There was limited evidence of a bi-directional relationship between PA, SB and depressive symptoms in women living in socioeconomically disadvantaged neighbourhoods.</t>
  </si>
  <si>
    <t>SCOPUS_ID:0029949732</t>
  </si>
  <si>
    <t>10.1006/pmed.1996.0058</t>
  </si>
  <si>
    <t>Exposure to environmental tobacco smoke - Perceptions of African American children and adolescents</t>
  </si>
  <si>
    <t>['attitudes', 'environmental tobacco smoke', 'knowledge', 'preventive efforts']</t>
  </si>
  <si>
    <t>Background. A study was designed to investigate the knowledge, attitudes, and preventive efforts with regard to exposure to environmental tobacco smoke (ETS) among a sample of urban African American children and adolescents. Methods. A sample of 675 students enrolled in grades 5 through 12 in an urban public school district located in the greater metropolitan area of Detroit, Michigan, was surveyed. Results. Smoking rates among students were higher if someone else in the home was a smoker and lower if there were no other smokers in the home. Forty-eight percent of the students reported that their fathers smoked, while 46% reported mothers who smoked. In each of the areas knowledge, attitudes, and preventive efforts, elementary students scored highest and middle school students scored lowest. Attitude scores were higher if the mother or father was a nonsmoker, and nonsmokers scored higher than smokers on knowledge, attitudes, and preventive efforts. Students' preventive efforts were significantly predicted by their knowledge, attitudes, and gender, while their attitudes were in turn predicted by their knowledge, gender, school level, and smoking status and by the proportion of their friends who were smokers. Students' knowledge was significantly predicted by their gender and school level and by the proportion of their siblings who were smokers. Conclusions. It is apparent that many of the African American students surveyed in this study experience significant exposure to ETS, particularly in the home. As is evident from the literature, this has implications for the long term health of these youngsters. Health education and promotion efforts should be directed not only toward the students themselves, but should also address the smoking behavior of parents and others in the home environment.</t>
  </si>
  <si>
    <t>Agreed, clear policy recommendation, with use of 'should'</t>
  </si>
  <si>
    <t>SCOPUS_ID:85085015109</t>
  </si>
  <si>
    <t>10.1016/j.amepre.2020.03.024</t>
  </si>
  <si>
    <t>Alcohol Use and Suicidality by Sexual Orientation Among U.S. Youth, 2009â€“2017</t>
  </si>
  <si>
    <t>Introduction: Alcohol use and suicidality remain serious risks for U.S. youth. Research has established that disparities exist in these outcomes between heterosexual and sexual minority youth. However, research into the associations between alcohol use and suicidality has yet to consider the differential role of sexual orientation. Methods: Using a pooled, diverse sample from the 2009â€“2017 Youth Risk Behavior Survey, associations of alcohol use and suicidality by sex and sexual orientation, and changes in these outcomes over time, were investigated. Analyses were conducted in 2019. Results: Suicidality was highest among nonheterosexuals, who ranged from twofold to sevenfold higher odds to report suicidality across all time points, with the most striking disparities among male sexual minority youth. Rates among all students remained stable or increased over time; notable exceptions included a decrease in suicide attempts among bisexual students. Among all students, current alcohol use was associated with elevated levels of suicidality. For female students, the association between drinking and suicidality did not significantly differ by sexual identity; for male students, it was significant regardless of sexual identity and most pronounced among not sure youth. Conclusions: These results emphasize the need for additional research into the relationship between contemporaneous alcohol use and suicidality, with attention to differences based on sex, sexual orientation, and other factors that may impact these relationships. There is a particular need for research to examine the temporal nature of the association such that evidence-informed, high-impact interventions can be developed to improve suicidality outcomes among sexual minority youth.</t>
  </si>
  <si>
    <t>SCOPUS_ID:0033962566</t>
  </si>
  <si>
    <t>10.1006/pmed.1999.0608</t>
  </si>
  <si>
    <t>Changes in serum total cholesterol levels over 18 years in a cohort of men and women: The Nijmegen cohort study</t>
  </si>
  <si>
    <t>['Cholesterol', 'Cohort', 'Epidemiology']</t>
  </si>
  <si>
    <t>Background. This study aimed to investigate to what extent cholesterol levels change in individuals in different age groups over an 18-year period. Factors that contribute to the changes, with respect to prevention of cardiovascular disease, were taken into account. Methods. In 1977 serum cholesterol, systolic and diastolic blood pressures, body mass index, and smoking habits were measured in a cohort of 7,092 patients (men and women from 20 to 50 years of age) from six general practices in The Netherlands. In 1995, a sample of 2,600 of these same patients were invited to take part in a similar screening program; 2,335 patients, consisting of 1,171 men and 1,164 women, agreed to participate. Patients were derived from both high-risk and low- to normal-risk category in 1977. The differences in cholesterol between 1977 and 1995 were calculated and cholesterol levels were tracked over the study period by determining Pearson correlation coefficients. A multiple linear regression analysis was performed to investigate the determinants influencing the changes in cholesterol level. Results. The mean cholesterol levels rose during the study period in all age groups. The highest mean increase in men was 1.23 mmol/L, or 20%, in the youngest age group (20-24 years), and in women the maximum mean increase was 1.12 mmol/L, or 17%, in the age group 40-44 years. Correlation coefficients between the 1977 and 1995 readings varied from 0.63 in the youngest age group to 0.41 in the oldest. Body weight change during the study period, more than initial body weight, was found to have influenced the rise in serum cholesterol. At basic screening, 19.2% of the men and 12.4% of the women had cholesterol levels of 6.5 mmol/L or higher, as against 35.8 and 36.8%, respectively, in 1995. Conclusions. Over an 18-year period cholesterol level increased in most subjects, at a younger age in men than in women. The highest increase in women took place during the menopausal period. Weight gain, more than baseline weight, had a positive influence on the increase in cholesterol. (C) 2000 American Health Foundation and Academic Press.</t>
  </si>
  <si>
    <t>SCOPUS_ID:84959905141</t>
  </si>
  <si>
    <t>10.1016/j.ypmed.2016.02.001</t>
  </si>
  <si>
    <t>The influence of electronic cigarette age purchasing restrictions on adolescent tobacco and marijuana use</t>
  </si>
  <si>
    <t>['E-cigarettes', 'Electronic nicotine delivery systems', 'Minimum legal purchase age', 'Tobacco control']</t>
  </si>
  <si>
    <t>Objective In the United States, many states have established minimum legal purchase ages for electronic nicotine delivery systems (ENDS) to ban adolescent purchases, but these policies may also affect other related substance use. We explore whether ENDS are substitutes or complements for cigarettes, cigars, smokeless tobacco, and marijuana among adolescents by using variation in state-level implementation of ENDS age purchasing restrictions. Methods We linked data on ENDS age purchasing restrictions to state- and year-specific rates of adolescent tobacco and marijuana use in 2007â€“2013 from the Youth Risk Behavior Surveillance System. This data provides a nationally representative sample of adolescents who attend public and private schools. We performed a fixed effect regression analysis exploring the influence of ENDS age purchasing restrictions on outcomes of tobacco use and marijuana use, controlling for state and year fixed characteristics, age-race cohorts, cigarette excise taxes, and cigarette indoor use restrictions. Results For cigarette use, we separate our results into cigarette use frequency. We found causal evidence that ENDS age purchasing restrictions increased adolescent regular cigarette use by 0.8 percentage points. ENDS age purchasing restrictions were not associated with cigar use, smokeless tobacco use, or marijuana use. Conclusions We document a concerning trend of cigarette smoking among adolescents increasing when ENDS become more difficult to purchase.</t>
  </si>
  <si>
    <t>SCOPUS_ID:84890514902</t>
  </si>
  <si>
    <t>10.1093/eurpub/cks187</t>
  </si>
  <si>
    <t>Association between parental perceptions of residential neighbourhood environments and childhood obesity in Porto, Portugal</t>
  </si>
  <si>
    <t>Background: Portugal has one of the highest rates of childhood obesity in Europe. Few studies have explored the relationship between parents' perceptions of their residential neighbourhood (safety concerns and amenities of the built environment) and their children's weight status. This study aims to examine the associations between parents' perceptions of their residential neighbourhood and overweight/obesity among their children. Methods: Anthropometric measures of height and weight were taken for 2690 children in preschools and elementary schools in Porto. Body mass index (kg/m2) was calculated, and the International Obesity Taskforce (IOTF) cut-offs were used. Parents completed the 'Environmental Module' standard questionnaire of the International Physical Activity Prevalence Study. Chi-square tests and the logistic regression model adjusted for age, gender, maternal education and school cluster were used to examine the associations between parents' perceptions of their residential neighbourhood and overweight/obesity among their children. Results: In this sample, 31.8% of the children were overweight (including obese). Significant associations were found between child obesity and the following residential environmental characteristics: the odds of children being obese were lower if their parents believed that it was safe (low/no crime rate) to walk/cycle at night (OR = 0.65, 95% CI = 0.54-0.79) and during the day (OR = 0.70, 95% CI = 0.55-0.86) and that it was easy and pleasant (pedestrian safety) to walk in their neighbourhoods (OR = 0.73, 95% CI = 0.58-0.90) and when local sidewalks were well maintained and unobstructed (OR = 1.18, 95% CI = 1.01-1.40). Conclusion: Parental perceptions of neighbourhood safety and the quality of local sidewalks are significantly associated with obesity values. Â© 2013 The Author.</t>
  </si>
  <si>
    <t>Portugal</t>
  </si>
  <si>
    <t>SCOPUS_ID:67749091014</t>
  </si>
  <si>
    <t>10.1093/aje/kwp143</t>
  </si>
  <si>
    <t>Age of onset in concordant twins and other relative pairs with multiple sclerosis</t>
  </si>
  <si>
    <t>['Age of onset', 'Environment', 'Family', 'Genetics', 'Multiple sclerosis', 'Twins']</t>
  </si>
  <si>
    <t>The ages of onset in multiple sclerosis cases span more than 7 decades. Data are presented for affected relative pairs from a Canadian population base of 30,000 multiple sclerosis index cases (1993-2008). The effects of genetic sharing, parent of origin, intergenerational versus collinear differences, and gender on the ages of onset were evaluated in the following concordant pairs: monozygotic twins (n=29), dizygotic twins (n=10), siblings (n=614), first cousins (n=405), half siblings (n=29), parent/child (n=285), and aunt/uncle/niece/nephew (avunculars) (n=289). Fisher's z test assessed intraclass correlation (r) for ages of onset. Correlations for monozygotic twins, dizygotic twins, full siblings, and first cousins were 0.60, 0.54, 0.20, and 0.10, respectively. Dizygotic twins resembled monozygotic twins more than siblings. The age-of-onset correlation for maternal half siblings (r=0.37) was higher than that for paternal half siblings (r=0.26), consistent with other observations suggesting an intrauterine environmental effect on multiple sclerosis risk. Intergenerational comparisons are complicated by substantial increases of multiple sclerosis incidence over time. Genetic loading (familial vs. sporadic cases) did not generally influence the age of onset, but correlation of age of onset in multiple sclerosis relative pairs was proportional to genetic sharing. A maternal parent-of-origin effect on the age of onset in collinear generations was suggested. Â© 2009 The Authors.</t>
  </si>
  <si>
    <t>SCOPUS_ID:84857279547</t>
  </si>
  <si>
    <t>10.2105/AJPH.2011.300295</t>
  </si>
  <si>
    <t>Position-specific HIV risk in a large network of homeless youths</t>
  </si>
  <si>
    <t>We examined interconnections among runaway and homeless youths (RHYs) and how aggregated network structure position was associated with HIV risk in this population. Methods. We collected individual and social network data from 136 RHYs.On the basis of these data, we generated a sociomatrix, accomplished network visualization with a "spring embedder," and examined k-cores. We used multivariate logistic regression models to assess associations between peripheral and nonperipheral network position and recent unprotected sexual intercourse. Results. Small numbers of nominations at the individual level aggregated into a large social network with a visible core, periphery, and small clusters. Female youths were more likely to be in the core, as were youths who had been homeless for 2 years or more. Youths at the periphery were less likely to report unprotected intercourse and had been homeless for a shorter duration. Conclusions. HIV riskwas a function of risk-taking youths' connectionswith one another and was associated with position in the overall network structure. Social network-based prevention programs, young women's housing and health programs, and housing-first programs for peripheral youths could be effective strategies for preventing HIV among this population.</t>
  </si>
  <si>
    <t xml:space="preserve">Carefully worded but still a strong policy rec based on correlational analyses </t>
  </si>
  <si>
    <t>SCOPUS_ID:85084695125</t>
  </si>
  <si>
    <t>10.1093/eurpub/ckaa031</t>
  </si>
  <si>
    <t>Estonia advances on SDG achievement by tackling high alcohol consumption through a multi-pronged approach</t>
  </si>
  <si>
    <t>Estonia has implemented a comprehensive, multipronged approach to the reduction of alcohol consumption in the population, comprising a series of successful policy responses. The Estonian alcohol strategy (2014) builds on the Global strategy to reduce the harmful use of alcohol and the European action plan to reduce the harmful use of alcohol 2012-2010. It aims to decrease the overall yearly consumption of alcohol among the adult population to less than 8 litres of absolute alcohol per capita. Gathering support across society from a range of stakeholders, including policy-makers, researchers, parents and advocates, has been one of the key elements in the implementation of the policy. High-level political commitment and strategic timing of efforts have maintained the issue of alcohol control on the political agenda and in the public's mind.</t>
  </si>
  <si>
    <t>Estonia</t>
  </si>
  <si>
    <t>n/a it's a comment which describes past policy. Shouldn't be in the list but the filtering is imperfect</t>
  </si>
  <si>
    <t>SCOPUS_ID:0033557398</t>
  </si>
  <si>
    <t>10.1093/oxfordjournals.aje.a009814</t>
  </si>
  <si>
    <t>Double-blind intervention trial on modulation of ozone effects on pulmonary function by antioxidant supplements</t>
  </si>
  <si>
    <t>['Antioxidants', 'Bicycling', 'Ozone', 'Spirometry', 'Vitamins']</t>
  </si>
  <si>
    <t>The aim of this study was to investigate whether the acute effects of ozone on lung function could be modulated by antioxidant vitamin supplementation in a placebo-controlled study. Lung function was measured in Dutch bicyclists (n = 38) before and after each training session on a number of occasions (n = 380) during the summer of 1996. The vitamin group (n = 20) received 100 mg of vitamin E and 500 mg of vitamin C daily for 15 weeks. The average ozone concentration during exercise was 77 Î¼g/m3 (range, 14-186 Î¼g/m3). After exclusion of subjects with insufficient compliance from the analysis, a difference in ozone exposure of 100 Î¼g/m3 decreased forced expiratory volume in 1 second (FEV1) 95 ml (95% confidence interval (Cl) - 265 to -53) in the placebo group and 1 ml (95% Cl -94 to 132) in the vitamin group; for forced vital capacity, the change was -125 ml (95% Cl -384 to - 36) in the placebo group and -42 ml (95% Cl -130 to 35) in the vitamin group. The differences in ozone effect on lung function between the groups were statistically significant. The results suggest that supplementation with the antioxidant vitamins C and E confers partial protection against the acute effects of ozone on FEV1, and forced vital capacity in cyclists.</t>
  </si>
  <si>
    <t>SCOPUS_ID:0033019577</t>
  </si>
  <si>
    <t>10.1136/jech.53.7.412</t>
  </si>
  <si>
    <t>Determinants of self assessed health among Spanish older people living at home</t>
  </si>
  <si>
    <t>Study objective - To identify the main determinants of self assessed health among community dwelling elderly. Participants and setting - A representative sample of 677 people aged 65 and over of the city of Madrid, Spain. Design - Cross sectional study. Information was collected through personal interviews at the homes of the selected subjects. The five category dependent variable was grouped into two categories: good and poor self assessed health. Age, sex, social class, use of physician services, number of chronic conditions, and functional capacity, were included as main explanatory factors. Adjusted odds ratios were estimated through multiple logistic regression models. Main results - A total of 49.5% of subjects rated their health as good or very good. Those aged 85 and over rated their health higher than those aged 65-74 (adjusted odds ratio (OR): 0.37; 95% confidence intervals (CI): 0.18, 0.77). The adjusted OR for an increase of three chronic conditions was 3.48 (95% CI: 2.49, 4.85). Functional capacity also showed a strong independent effect (OR: 3.64; 95% CI: 1.89, 7.02). Social class was one of the main determinants for the youngest group, with those in the upper class reporting a better health perception (OR: 3.28 95% CI: 1.70, 6.35), but showed no effect in the oldest old (OR: 1.05; 95% CI: 0.57, 1.96). Conclusions - Age, chronic conditions, and functional status were the main determinants of perceived health among Spanish elderly. The effect of social class on perceived health markedly decreases with age. This study may contribute to a better utilisation and interpretation of self ratings in research and in general practice.</t>
  </si>
  <si>
    <t>Spain</t>
  </si>
  <si>
    <t>SCOPUS_ID:78751685435</t>
  </si>
  <si>
    <t>10.1016/j.ypmed.2010.07.005</t>
  </si>
  <si>
    <t>Screen time and risk behaviors in 10- to 16-year-old Canadian youth</t>
  </si>
  <si>
    <t>['Adolescent', 'Computer', 'Risky behaviors', 'Television', 'Video games']</t>
  </si>
  <si>
    <t>ObjectiveTo examine television, computer, and video game use as possible determinants of multiple risk behaviors (MRB) among Canadian youth. MethodsResults are based on the Canadian 2005/06 Health Behaviour in School-Aged Children Survey. This survey included a representative cross-sectional sample of 8215 youth in grades 6-10, and a 1-year longitudinal sample of 1424 youth in grades 9-10. Total hours per week of television, video games, and computer use were calculated and participants were grouped into quartiles. Six risk behavior variables (smoking, drunkenness, non-use of seatbelts, cannabis use, illicit drug use, non-use of condoms) were combined to form a MRB score. Ordinal and repeated measure logistic regression models were used to examine associations between screen time and MRB variables. ResultsHigh computer use (top quartile) was associated with approximately a 50% increased engagement of MRB in both samples. High television use was also associated with modestly increased engagement in MRB in the cross-sectional sample. ConclusionsHigh computer use was the screen time behavior that was mostly strongly and consistently associated with engagement in MRB. Future research is needed to understand the relationship between specific screen time behaviors and adolescent health to help strengthen current screen time guidelines for youth. Â© 2010.</t>
  </si>
  <si>
    <t>SCOPUS_ID:33744471162</t>
  </si>
  <si>
    <t>10.1136/jech.2005.039032</t>
  </si>
  <si>
    <t>Do perceptions of neighbourhood environment influence health? Baseline findings from a British survey of aging</t>
  </si>
  <si>
    <t>Objectives: To investigate the relation between perceived neighbourhood environment, social contact and support, and self efficacy, on the health of older people. Design: British cross sectional population survey of people aged 65 and over. Participants: 999 people aged 65 plus living at home in Britain. Results: Regression modelling showed that high self efficacy had a strong independent association with better self rated health status and physical functioning. Indicators of perceived neighbourhood environment that showed strong associations with both good health and functioning were: perceptions of good quality facilities in the area (social/leisure, facilities for people aged 65+, rubbish collection, health services, transport, closeness to shops, somewhere nice to walk), and high levels of neighbourliness (knows/trusts people). Perceptions of problems in the area (noise, crime, air quality, rubbish/litter, traffic, graffiti) were also predictive of poorer health. Measures of social contact and support did not show any independent associations with health or functioning. Conclusions: The unique value of this paper is in the simultaneous analysis of associations between perceived neighbourhood, social contact and support, self efficacy, and health. The consistent strength of older people's perceptions of the quality of facilities in their neighbourhoods shows that responsive reinforcement of local infrastructures might have wider health benefits. Also of interest was the strength of self efficacy as a predictor of self rated health and physical functioning. The results have implications for both neighbourhood level interventions and self management programmes in chronic illness.</t>
  </si>
  <si>
    <t>clear - broad but vague implications</t>
  </si>
  <si>
    <t>They talk about implications for… Might be stronger in the paper itself</t>
  </si>
  <si>
    <t>SCOPUS_ID:84862587399</t>
  </si>
  <si>
    <t>10.2105/AJPH.2011.300408</t>
  </si>
  <si>
    <t>Integrating biodiversity management and indigenous biopiracy protection to promote environmental justice and global health</t>
  </si>
  <si>
    <t>Many potentially useful medicines arise from developing countries' biodiverse environments and indigenous knowledge. However, global intellectual property rules have resulted in biopiracy, raising serious ethical concerns of environmental justice, exploitation, and health disparities in these populations. Furthermore, state-based approaches have not led to adequate biodiversity protection,management, or resource sharing, which affect access to lifesaving drugs. In response, country delegates adopted the Nagoya Protocol, which aims at promoting biodiversity management, combating biopiracy, and encouraging equitable benefits sharing with indigenous communities. However, the effectiveness of this framework in meeting these objectives remains in question. To address these challenges, we propose a policy building on the Nagoya Protocol that employs a World Health Organization-World Trade Organization Joint Committee on Bioprospecting and Biopiracy.</t>
  </si>
  <si>
    <t>Review article</t>
  </si>
  <si>
    <t>non emperical paper</t>
  </si>
  <si>
    <t>SCOPUS_ID:2142711607</t>
  </si>
  <si>
    <t>10.1136/jech.2003.009852</t>
  </si>
  <si>
    <t>Is perceived failure in school performance a trigger of physical injury? A case-crossover study of children in Stockholm County</t>
  </si>
  <si>
    <t>Objectives: To investigate whether perceived failure in school performance increases the potential for children to be physically injured. Subjects: Children aged 10-15 years residing in the Stockholm County and hospitalised or called back for a medical check up because of a physical injury during the school years 2000-2001 and 2001-2002 (n=592). Methods: A case-crossover design was used and information on potential injury triggers was gathered by interview. Information about family socioeconomic circumstances was gathered by a questionnaire filled in by parents during the child interview (response rate 87%). Results: Perceived failure in school performance has the potential to trigger injury within up to 10 hours subsequent to exposure (relative risk=2.70; 95% confidence intervals=1.2 to 5.8). The risk is significantly higher among pre-adolescents and among children from families at a higher education level. Conclusions: Experiencing feelings of failure may affect children's physical safety, in particular among pre-adolescents. Possible mechanisms are perceptual deficits and response changes occasioned by the stress experienced after exposure.</t>
  </si>
  <si>
    <t>SCOPUS_ID:85047410366</t>
  </si>
  <si>
    <t>10.1097/EDE.0000000000000795</t>
  </si>
  <si>
    <t>Diagnostic performance of one-off flexible sigmoidoscopy with fecal immunochemical testing in a large screening population</t>
  </si>
  <si>
    <t>Background: Flexible sigmoidoscopy and fecal immunochemical tests are established diagnostic tests for colorectal cancer (CRC) screening and less invasive, less expensive, and easier to conduct than colonoscopy. However, little is known about their joint diagnostic performance compared with colonoscopy. We aimed to assess the expected diagnostic performance of joint use of flexible sigmoidoscopy and fecal immunochemical test. Methods: We assessed the overall and site-specific prevalences of colorectal neoplasms and the overall sensitivity, specificity, area under the receiver operating characteristics curve of a quantitative fecal immunochemical test (FOB Gold, Sentinel Diagnostics, Milano, Italy) among 3,466 participants in screening colonoscopy in Germany. Results were used to model the expected diagnostic performance of joint use of flexible sigmoidoscopy and fecal immunochemical testing. Results: CRC and advanced adenomas were found in 29 (1%) and 354 (10%) participants, respectively. The area under the curve of fecal immunochemical testing for these outcomes could be raised from 96% to 100% and from 70% to 89%, respectively, by combining it with flexible sigmoidoscopy. At 90% specificity, sensitivity of fecal immunochemical testing would increase from 97% to 100% for CRC and from 40% to 79% for advanced adenomas. Conclusions: Combining flexible sigmoidoscopy and fecal immunochemical testing might strongly enhance diagnostic performance of each single test to a level close to the diagnostic performance of screening colonoscopy while avoiding many unnecessary colonoscopies.</t>
  </si>
  <si>
    <t>SCOPUS_ID:76549115338</t>
  </si>
  <si>
    <t>10.1016/j.amepre.2009.10.040</t>
  </si>
  <si>
    <t>Neighborhood, Route, and School Environments and Children's Active Commuting</t>
  </si>
  <si>
    <t>Background: Walking and cycling to school represent an opportunity for children to achieve regular physical activity. These behaviors may be influenced by characteristics of the environment around homes and schools, yet few studies have quantified the potential associations between these two sets of factors. Purpose: This study aims to assess whether objectively measured characteristics of the neighborhood, route, and school environments are associated with active commuting to school among children, and it explores whether distance acts as a moderator in this association. Methods: A cross-sectional study was conducted of 2012 children (899 boys and 1113 girls) aged 9-10 years attending 92 schools in the county of Norfolk, United Kingdom. Questionnaires were completed by children and parents during Summer 2007. Attributes around the home and children's route to school were assessed using a GIS. School environments were assessed using a newly developed school audit and via questionnaires completed by head teachers. Data were analyzed in 2008. Results: Almost half of the children usually walked or cycled to school. Children who lived in a more deprived area and whose route to school was direct were less likely to walk or cycle to school, whereas those who had a higher density of roads in their neighborhood were more likely to walk. Further, children whose routes had a high density of streetlights were less likely to cycle to school. Distance did not moderate the observed associations. Conclusions: Objectively measured neighborhood and route factors are associated with walking and cycling to school. However, distance did not moderate the associations found here. Creating safe environments by improving urban design may influence children's commuting behavior. Intervention studies are needed to confirm the findings from this observational cross-sectional study. Â© 2010 American Journal of Preventive Medicine.</t>
  </si>
  <si>
    <t>Calls for the development of interventions</t>
  </si>
  <si>
    <t>test if calling for interventions to test !=policy</t>
  </si>
  <si>
    <t>SCOPUS_ID:84905561636</t>
  </si>
  <si>
    <t>10.1097/EDE.0000000000000143</t>
  </si>
  <si>
    <t>Long-term exposure to crystalline silica and risk of heart disease mortality</t>
  </si>
  <si>
    <t>BACKGROUND: The association between crystalline silica exposure and risk of heart disease mortality remains less clear. METHODS: We investigated a cohort of 42,572 Chinese workers who were potentially exposed to crystalline silica and followed from 1960 to 2003. Cumulative silica exposure was estimated by linking a job-exposure matrix to each person's work history. Low-level silica exposure was defined as never having held a job with an exposure higher than 0.1 mg/m. We estimated hazard ratios (HRs) in exposure-response analyses using Cox proportional hazards model. RESULTS: We identified 2846 deaths from heart disease during an average of 35 years follow-up. Positive exposure-response trends were observed for cumulative silica exposure associated with mortality from total heart disease (HRs for increasing quartiles of cumulative silica exposure compared with the unexposed group = 0.89, 1.09, 1.32, 2.10; P for linear trend &lt; 0.001) and pulmonary heart disease (0.92, 1.39, 2.47, 5.46; P for linear trend &lt; 0.001). These positive trends remained among workers with both high- and low-level silica exposure. There was also a positive trend for ischemic heart disease among workers with low-level exposure, with quartile HRs of 1.04, 1.13, 1.52, and 1.60 (P for linear trend &lt; 0.001). CONCLUSION: Low-level crystalline silica exposure was associated with increased mortality from heart disease, including pulmonary heart disease and ischemic heart disease, whereas high-level exposure mainly increased mortality from pulmonary heart disease. Current permissible exposure limits for crystalline silica in many countries may be insufficient to protect people from deaths due to heart disease. Copyright Â© 2014 by Lippincott Williams &amp; Wilkins.</t>
  </si>
  <si>
    <t>They call for new thresholds, which might be a concrete interventions? hard to call this one</t>
  </si>
  <si>
    <t>agree - The LLM gave good reasoning for this call when I asked it (It suggests that current regulatory standards ("permissible exposure limits") may need revision—a clear call for attention from policymakers or occupational safety regulators.</t>
  </si>
  <si>
    <t>SCOPUS_ID:18844403140</t>
  </si>
  <si>
    <t>10.1007/s10654-004-6880-1</t>
  </si>
  <si>
    <t>The epidemiology of anophthalmia and microphthalmia in Sweden</t>
  </si>
  <si>
    <t>['Anophthalmia', 'Epidemiology', 'Maternal age', 'Microphthalmia', 'Smoking']</t>
  </si>
  <si>
    <t>Infants with a clinical diagnosis of anophthalmia or microphthalmia were identified from four health registers in Sweden, covering different parts of the period 1965-2001. During the observation period, the rate of anophthalmia decreased from the early 1970s from 0.4 to 0.2 per 10,000 births. The registered rate of microphthalmia increased markedly during the observation period to reach a maximum in 1987 of about 1.5 per 10,000. About 10% of the 432 identified children had a chromosome anomaly. There was no geographical variation in prevalence and infants born in urban or rural districts had, if anything, a lower risk than infants born in cities (0.93 and 1.13 per 10,000, respectively). Non-eye malformations were more common at anophthalmia (63%) than at microphthalmia (30%). Sex ratio was normal and no statistically significant variation between sub-groups (anophthalmia, microphthalmia, isolated, associated with non-eye malformations) could be demonstrated. There was a marked risk increase with maternal age but no certain parity effect, no effect of maternal education, but a possible association with subfertility. Maternal smoking in early pregnancy seemed to increase the risk for anophthalmia or microphthalmia in the absence of a coloboma. Â© Springer 2005.</t>
  </si>
  <si>
    <t>SCOPUS_ID:0031028150</t>
  </si>
  <si>
    <t>10.1016/s0749-3797(18)30226-5</t>
  </si>
  <si>
    <t>Representations of menopause and their health care implications: A qualitative study</t>
  </si>
  <si>
    <t>Introduction: Menopause is primarily represented as a medical condition with its associated body changes described as symptoms in need of treatment. The purpose of this study was to determine whether women's representations of and responses to menopause reflected this medical perspective. It is based on a secondary analysis of data from an earlier study in which the menopause experience of 17 middle-aged women was examined. Methods: The original study used a qualitative methodology in which data were collected by means of semistructured interviews and then analyzed for primary categories of meaning. Interview transcripts were reanalyzed for the current study. Results: Findings of that analysis indicate that, although the women were relatively uninformed about menopause, they identified themselves as menopausal on the basis of both positively and negatively defined physical and psychological changes that they associated with it. These changes were also associated with aging in general. Furthermore, although the women responded to menopause as a time-limited physiological event that sometimes required medical attention, they perceived it primarily as a marker or symbol of more general life-stage developmental issues and responded with both lifestyle changes and a search for new meaning. Discussion: These findings indicate that the women's perception of and response to menopause reflected both medical and nonmedical representations. Health care implications include the importance of health care providers supporting menopausal women in their search for both information and meaning, and of researchers investigating both medical and nonmedical approaches to reducing the negative health- related effects of decreased estrogen levels in menopausal women. Medical Subject Headings (MESH): aging, climacteric, estrogen replacement therapy, health behavior, menopause.</t>
  </si>
  <si>
    <t>SCOPUS_ID:0030039192</t>
  </si>
  <si>
    <t>10.1093/ije/25.1.5</t>
  </si>
  <si>
    <t>Cancer mortality among North African migrants in France</t>
  </si>
  <si>
    <t>['Cancer', 'Migrants', 'Mortality', 'North Africa', 'Relative risk']</t>
  </si>
  <si>
    <t>Background. Data on cancer mortality in North African migrants to France (the largest foreign-born community in the country) are presented, providing useful insights both into cancer patterns in North Africa and their changes following migration. Methods. The cancer mortality in migrants from North Africa (Algeria, Morocco, Tunisia and Egypt) resident in France relative to that of the local-born population, is estimated from mortality data for the period 1979-1985, and population data from the 1982 French census. Risks of death from different cancers were adjusted for important confounding factors such as social status and area of residence. Results. The risks are quite similar for Algerian, Tunisian and Moroccan migrants. Compared to the local-born, those Maghrebian migrants of one or both sexes have higher risks of death from cancer of the nasopharynx, gallbladder and bladder (in Algerians only). Conversely, Maghrebian migrants have lower risks of death from cancer of the oral cavity, other pharynx, oesophagus, stomach, colon, rectum, lung, larynx, melanoma (in Algerians only), kidney and nervous system (except in Tunisians), breast, ovary, and cervix uteri (except in Moroccans). For Egyptian migrants, because of small numbers, few of the estimates are statistically significant. They are at lower risk of death from lung cancer and at higher risk for lymphoma and leukaemia. Conclusion. The findings provide confirmatory evidence of the unusual cancer patterns among North African populations, who have low risks for most cancer sites, and high risks for certain cancers, such as of the nasopharynx and bladder.</t>
  </si>
  <si>
    <t>Switzerland</t>
  </si>
  <si>
    <t>SCOPUS_ID:84902668737</t>
  </si>
  <si>
    <t>10.2105/AJPH.2014.301947</t>
  </si>
  <si>
    <t>Gender-specific associations of objective and perceived neighborhood characteristics with body mass index and waist circumference among older adults in the English Longitudinal Study of Ageing</t>
  </si>
  <si>
    <t>Objectives. We sought to determine whether objective and perceived neighborhood characteristics are independently associated with obesity indicators among older adults and whether associations differ by gender. Methods. Linear regression was used to examine mutually adjusted associations of objective area-level neighborhood deprivation and perceived individuallevel neighborhood disorder in 2002-2003 with body mass index (BMI) and waist circumference (WC) 2 years later among 6297 community-dwelling older adults in the English Longitudinal Study of Ageing. Results. Associations between neighborhood characteristics and obesity indicators were evident for women only. Being in the most deprived quintile of neighborhood deprivation was associated with a BMI that was 1.18 kilograms per meters squared higher (95% confidence interval [CI] = 0.54, 1.83) and a WC that was 2.42 centimeters higher (95% CI = 0.90, 3.94) at follow-up in women after adjustment for baseline health status, socioeconomic factors, and neighborhood disorder.Neighborhood disorder was not independently associated with BMI orWC. Conclusions. Among women, greater objective neighborhood deprivation was independently associated with higher BMI and WC after 2 years. Public efforts to reduce obesity among community-dwelling older women may benefit most from addressing objective residential characteristics, over and above subjective perceptions.</t>
  </si>
  <si>
    <t>SCOPUS_ID:0032914081</t>
  </si>
  <si>
    <t>10.1136/jech.53.6.348</t>
  </si>
  <si>
    <t>Association between job characteristics and plasma fibrinogen in a normal working population: A cross sectional analysis in referents of the SHEEP study</t>
  </si>
  <si>
    <t>Study objective - To explore the association between job characteristics and plasma fibrinogen concentrations. Design - Cross sectional design. Setting - The Greater Stockholm area. Subjects - A total of 1018 men and 490 women aged 45-70 who were randomly selected from the general population during 1992-1994. They were all employed and had no history of myocardial infarction. Main results - The self reported job characteristics were measured by a Swedish version of the Karasek demand-control questionnaire. For inferred scoring of job characteristics, psychosocial exposure categories (job control and psychological demands) were assigned by linking each subject's occupational history with a work organisation exposure matrix. Job strain was defined as the ratio between demands and control. In univariate analyses, expected linear trends were found in three of four tests of association between high plasma fibrinogen and low control (the self reported score for women and the inferred score for both sexes), in one of four tests of association between high plasma fibrinogen and high demands (the inferred score for women) and in two of four tests of association between high plasma fibrinogen and job strain (the inferred score for both sexes). Multiple logistic regression analyses showed that men in the inferred job strain group have an increased risk of falling into the increased plasma fibrinogen concentration group (above median level of the distribution) (odds ratio (OR) 1.2; 95% CI 1.0, 1.5) after adjustment for the variables that were associated with plasma fibrinogen in the univariate analyses. In women, low self reported control, high inferred demand, and inferred job strain were significantly associated with increased plasma fibrinogen concentration (OR 1.3; 95% CI 1.0, 1.8, OR 1.5; 95% CI 1.0, 2.2, OR 1.5; 95% CI 1.1, 2.2, respectively). Conclusions - These results indicate that adverse job characteristics may be related to plasma fibrinogen concentrations and this relation is more relevant in female workers. The clearest evidence for psychosocial effects on plasma fibrinogen seems to be with job control and the associations are clearer for the objective than for the self report variables.</t>
  </si>
  <si>
    <t>SCOPUS_ID:85005916303</t>
  </si>
  <si>
    <t>10.1016/j.amepre.2016.09.016</t>
  </si>
  <si>
    <t>Association of Bacterial Vaginosis With Chlamydia and Gonorrhea Among Women in the U.S. Army</t>
  </si>
  <si>
    <t>Introduction Bacterial vaginosis (BV) is a common vaginal condition in women of reproductive age, which has been associated with Chlamydia trachomatis and Neisseria gonorrhoeae among commercial sex workers and women attending sexually transmitted infection clinics. Pathogen-specific associations between BV and other sexually transmitted infections among U.S. military women have not been investigated. Methods A population-based, nested case-control study was conducted of all incident chlamydia and gonorrhea cases reported to the Defense Medical Surveillance System during 2006âˆ’2012. Using a density sampling approach, for each chlamydia or gonorrhea case, 10 age-matched (Â±1 year) controls were randomly selected from those women who were never diagnosed with these infections. Incidence rate ratios were estimated using conditional logistic regression. Statistical analysis was carried out in December 2015. Results A total of 37,149 chlamydia cases and 4,987 gonorrhea cases were identified during the study period. Antecedent BV was associated with an increased risk of subsequent chlamydia (adjusted incidence rate ratio=1.51; 95% CI=1.47, 1.55) and gonorrhea (adjusted incidence rate ratio=2.42; 95% CI=2.27, 2.57) infections. For every one additional episode of BV, the risk of acquiring chlamydia and gonorrhea infections increased by 13% and 26%, respectively. A monotonic doseâˆ’response relationship was also noted between antecedent BV and subsequent chlamydia and gonorrhea infection. In addition, an effect modification on the additive scale was found between BV and African-American race for gonorrhea, but not for chlamydia. Conclusions Among U.S. Army women, antecedent BV is associated with an increased risk of subsequent chlamydia and gonorrhea infection.</t>
  </si>
  <si>
    <t>SCOPUS_ID:0032440796</t>
  </si>
  <si>
    <t>10.2105/ajph.88.12.1846</t>
  </si>
  <si>
    <t>Potential barriers to the removal of norplant among family planning clinic patients</t>
  </si>
  <si>
    <t>Objectives. This study examined the prevalence and effects of potential barriers to removal of levonorgestrel implants (Norplant) among low-income women. Methods. A sample of 687 women who received Norplant at hospital- based family planning clinics were interviewed before Norplant insertion and 6 months after Norplant insertion (or at Norplant removal if removal occurred earlier). Those who continued to use Norplant were reinterviewed at 2 years or at removal. Results. In a multivariate analysis, only 1 of the 4 potential barriers - cost - significantly impeded Norplant discontinuation. Conclusions. Family planning clinics need to make clear that they follow a policy of Norplant removal on demand, regardless of the patient's ability to pay.</t>
  </si>
  <si>
    <t>SCOPUS_ID:0032694208</t>
  </si>
  <si>
    <t>10.1023/A:1007611412532</t>
  </si>
  <si>
    <t>Osteoporosis and years since menopause</t>
  </si>
  <si>
    <t>['Bone mineral density (BMD)', 'Epidemiology', 'Osteoporosis', 'Years since menopause']</t>
  </si>
  <si>
    <t>In Fukuoka Prefecture, in south-western Japan, a regional screening program for osteoporosis was conducted from 1994 to 1995. The screening level in the bone mineral density (BMD) at the distal non-dominant radius was equal to or less than two standard deviations below age-specific mean (â‰¤ -2.0 SD). In 1177 examinees with natural menopause (mean age: 61.4, range: 42-88), 56 of those who were screened were subsequently radiologically confirmed by orthopedic specialists to have osteoporosis (case group). They were then compared with 802 normal BMD (â‰¥ -1.0 SD) women (reference group) with their lifestyle and reproductive characteristics. The adjusted odds ratio (OR) and its 95% confidence interval (CI) were calculated using a logistic regression model. A significant increase in the ORs for osteoporosis based on the number of years since menopause was observed for 7-13 years since menopause (OR = 2.3; 95% CI: 1.0-5.4) compared with &lt;7 years, however, no increasing trend in risk was evident in 14+ years since menopause (OR = 1.4; 95% CI: 0.4-5.1). Thus, the elevated risk continued up to around 10 years since menopause. These findings are consistent with previous studies that reported an alternation in the calcium metabolism and bone loss related to the length of time after menopause. Both the childhood and current milk consumption were also associated with a decreased risk: ORs were 0.4 (95% CI: 0.2-0.9) and 0.5 (95% CI: 0.3-1.0), respectively.</t>
  </si>
  <si>
    <t>Japan</t>
  </si>
  <si>
    <t>Unclear whether the abstract is not truncated</t>
  </si>
  <si>
    <t>SCOPUS_ID:0030850107</t>
  </si>
  <si>
    <t>10.2105/AJPH.87.6.1022</t>
  </si>
  <si>
    <t>Prenatal health behaviors and psychosocial risk factors in pregnant women of mexican origin: The role of acculturation</t>
  </si>
  <si>
    <t>Objectives. This study examined the association between acculturation of Mexican-origin women and factors in low birthweight and preterm delivery. Methods. Interviews were conducted with 911 Mexican-origin respondents in Los Angeles prenatal care clinics. Infant outcome data were retrieved from delivery records. Results. Mexican-American women had generally more undesirable prenatal behaviors mad risk factors than Mexican-immigrant women. Although higher acculturation was significantly associated with behavioral risk factors, there were no direct effects of acculturation on infant gestational age or birthweight. Conclusions. Future research needs to measure multiple factors to assess their effects on culture-specific protective factors.</t>
  </si>
  <si>
    <t>SCOPUS_ID:79960815320</t>
  </si>
  <si>
    <t>10.1093/aje/kwr086</t>
  </si>
  <si>
    <t>Evaluating the incremental value of new biomarkers with integrated discrimination improvement</t>
  </si>
  <si>
    <t>['biological markers', 'bootstrap confidence interval', 'prediction', 'risk assessment', 'sampling distribution', 'sampling error', 'selection bias', 'type I error']</t>
  </si>
  <si>
    <t>The integrated discrimination improvement (IDI) index is a popular tool for evaluating the capacity of a marker to predict a binary outcome of interest. Recent reports have proposed that the IDI is more sensitive than other metrics for identifying useful predictive markers. In this article, the authors use simulated data sets and theoretical analysis to investigate the statistical properties of the IDI. The authors consider the common situation in which a risk model is fitted to a data set with and without the new, candidate predictor(s). Results demonstrate that the published method of estimating the standard error of an IDI estimate tends to underestimate the error. The z test proposed in the literature for IDI-based testing of a new biomarker is not valid, because the null distribution of the test statistic is not standard normal, even in large samples. If a test for the incremental value of a marker is desired, the authors recommend the test based on the model. For investigators who find the IDI to be a useful measure, bootstrap methods may offer a reasonable option for inference when evaluating new predictors, as long as the added predictive capacity is large. Â© 2011 The Author.</t>
  </si>
  <si>
    <t>SCOPUS_ID:84880312110</t>
  </si>
  <si>
    <t>10.1016/j.amepre.2013.03.019</t>
  </si>
  <si>
    <t>Challenges in cervical cancer prevention: A survey of U.S. Obstetrician-Gynecologists</t>
  </si>
  <si>
    <t>Background Current cervical cancer prevention recommendations include human papillomavirus (HPV) vaccination, Pap and HPV co-testing, and Pap testing at 3- to 5-year intervals. Purpose To examine attitudes, practice patterns, and barriers related to HPV vaccination and cervical cancer screening guidelines among U.S. obstetrician-gynecologists. Methods In 2011-2012, a national sample of members of the American Congress of Obstetricians and Gynecologists responded to a 15-item (some with multiple parts) questionnaire assessing sociodemographic characteristics, clinical practices, and perceived barriers to HPV vaccination and cervical cancer screening. Multivariate logistic regression was used to identify factors associated with guideline adherence. Analyses were conducted in 2012. Results A total of 366 obstetrician-gynecologists participated. Ninety-two percent of respondents offered HPV vaccination to patients, but only 27% estimated that most eligible patients received vaccination. Parent and patient refusals were commonly cited barriers to HPV vaccination. Approximately half of respondents followed guidelines to begin cervical cancer screening at age 21 years, discontinue screening at age 70 years or after hysterectomy, and appropriately utilize Pap and HPV co-testing. Most physicians continued to recommend annual Paps (74% aged 21-29 years, 53% aged â‰¥30 years). Physicians felt that patients were uncomfortable with extended screening intervals and were concerned that patients would not come for annual exams without concurrent Paps. Solo practitioners were less likely to follow both vaccination and screening guidelines than those in group practices. Conclusions This survey of obstetrician-gynecologists indicates persistent barriers to the adoption of HPV vaccination and cervical cancer screening guidelines. Interventions to promote guideline adherence may help improve the quality of cervical cancer prevention. Â© 2013 American Journal of Preventive Medicine.</t>
  </si>
  <si>
    <t>I didnt not understand that they were calling for RCTs?</t>
  </si>
  <si>
    <t>LLM stated TRUE in latest prompt</t>
  </si>
  <si>
    <t>borderline. "may improve" is very carefully worded</t>
  </si>
  <si>
    <t>SCOPUS_ID:79955779649</t>
  </si>
  <si>
    <t>10.1093/aje/kwq502</t>
  </si>
  <si>
    <t>Dynamic path analysis in life-course epidemiology</t>
  </si>
  <si>
    <t>['blood pressure', 'body mass index', 'epidemiologic methods', 'heart diseases', 'path analysis', 'survival analysis']</t>
  </si>
  <si>
    <t>Life-course epidemiology seeks to better understand the mechanisms that lead to the development of chronic diseases. An example is the mechanism leading from body size to coronary heart disease (CHD); one way to acquire a better understanding of this mechanism is to investigate to what extent it works through other risk factors. In this paper, the dynamic path analysis model is presented as a tool to analyze these dynamic mechanisms in life-course epidemiology. A key feature of dynamic path analysis is its ability to decompose the total effect of a risk factor into a direct effect (not mediated by other variables) and indirect effects (mediated through other variables). This is illustrated by examining the associations between repeated measurements of body mass index (BMI) and systolic blood pressure (SBP) and the risk of CHD in a sample of Danish men between 1976 and 2006. The effect of baseline BMI on the risk of CHD is decomposed into a direct effect and indirect effects going through later BMI, concurrent SBP, or later SBP. In conclusion, dynamic path analysis is a flexible tool that by the decomposition of effects can be used to increase the understanding of mechanisms that underlie the etiology of chronic disease. Â© The Author 2011. Published by Oxford University Press on behalf of the Johns Hopkins Bloomberg School of Public Health. All rights reserved.</t>
  </si>
  <si>
    <t>SCOPUS_ID:84907201782</t>
  </si>
  <si>
    <t>10.2105/AJPH.2013.301735</t>
  </si>
  <si>
    <t>Factors influencing adoption of and adherence to indoor smoking bans among health disparity communities</t>
  </si>
  <si>
    <t>Methods: We used a cross-sectional design to assess home smoking rules, smoking status, cigarettes smoked in the home, and barriers and benefits to attaining a smoke-free home among 138 caregivers (mean age = 30.0 years; 92% women) of children aged 0 to 6 years, between April 2010 and September 2012. Indoor SHS was assessed using a nicotine dosimeter.</t>
  </si>
  <si>
    <t xml:space="preserve">Truncated abstract, I can only see the methods. </t>
  </si>
  <si>
    <t>latest filtering should remove</t>
  </si>
  <si>
    <t>scopus didnt properly obtain the abstract</t>
  </si>
  <si>
    <t>SCOPUS_ID:0028282150</t>
  </si>
  <si>
    <t>10.1136/jech.48.2.188</t>
  </si>
  <si>
    <t>Prevalence of total hip replacement: How much demand has been met?</t>
  </si>
  <si>
    <t>Objective - To determine the prevalence of completed elective total hip replacements in a defined elderly population. Design - Cross sectional postal questionnaire survey with additional data and validation from general practice and hospital records. Setting - Six general practices in the English counties of Avon, Somerset, and Oxfordshire. Subjects - A total of 7806 patients aged 65 years and over (94.7% response). Results - The overall prevalence (95% confidence intervals) of elective total hip replacement was 5.3 (4.8, 5.8)%. Age and sex specific prevalences were 2.7 (2.0, 3.5)% in men and 4.1 (3.3, 4.9)% in women aged 65-74 years, and 5.2 (4.0, 6.5)% in men and 8.8 (7.6, 10.0)% in women aged 75 years and over. Of the 415 patients who had received elective total hip replacement, 28.2% had required bilateral surgery, 20% had received at least one operation privately, and 13% had required revision surgery. Conclusion - Our results show an increased level of satisfied demand for total hip replacement in elderly people compared with earlier estimates. The increasing prevalence of hip replacement is an indicator of increasing potential demand for revision procedures. Population based surveys are required to establish the level of unmet demand for primary procedures. Differences in past surgical activity may be important in interpreting the wide variation in current surgical rates.</t>
  </si>
  <si>
    <t>SCOPUS_ID:0026747758</t>
  </si>
  <si>
    <t>10.2105/AJPH.82.8.1133</t>
  </si>
  <si>
    <t>Does equal socioeconomic status in Black and White men mean equal risk of mortality?</t>
  </si>
  <si>
    <t>Although concerns have been expressed that mortality from coronary disease and all other causes is greater among Blacks than Whites, we hypothesized that, when socioeconomic status is adequately considered, mortality inequalities between Blacks and Whites are insignificant. The study population was a random sampling of Black and White men who were 35 years of age or older when recruited into the Charleston Heart Study in 1960. Education level and occupational status at baseline were used to compare mortality over the ensuing 28 years between Black and White men, who were classified as low or high socioeconomic status. In no instance were Black- White differences in all-cause or coronary disease mortality rates significantly different when socioeconomic status was controlled. We conclude that socioeconomic status is an important predictor of mortality and that, when socioeconomic status is considered, differences in Black-White mortality rates may be small.</t>
  </si>
  <si>
    <t>SCOPUS_ID:0029968968</t>
  </si>
  <si>
    <t>10.2105/AJPH.86.11.1607</t>
  </si>
  <si>
    <t>Childhood victimization and subsequent risk for promiscuity, prostitution, and teenage pregnancy: A prospective study</t>
  </si>
  <si>
    <t>Objectives. This study examined the extent to which being abused and/or neglected in childhood increases a person's risk for promiscuity, prostitution, and teenage pregnancy. Methods. A prospective cohorts design was used to match, on the basis of age, race, sex, and social class, cases of abused and/or neglected children from 1967 to 1971 with nonabused and nonneglected children; subjects were followed into young adulthood. From 1089 to 1995, 1196 subjects (676 abused and/or neglected and 520 control subjects) were located and interviewed. Results. Early childhood abuse and/or neglect was a significant predictor of prostitution for females (odds ratio [OR] = 2.96). For females, sexual abuse (OR = 2.54) and neglect (OR = 2.58) were associated with prostitution, whereas physical abuse was only marginally associated. Childhood abuse and neglect were not associated with increased risk for promiscuity or teenage pregnancy. Conclusions. These findings strongly support a relationship between childhood victimization and subsequent prostitution. The presumed causal sequence between childhood victimization and teenage pregnancy may need to be reevaluated.</t>
  </si>
  <si>
    <t>SCOPUS_ID:85055798363</t>
  </si>
  <si>
    <t>10.1093/aje/kwy158</t>
  </si>
  <si>
    <t>The Number of Events per Confounder for Valid Estimation of Risk Difference Using Modified Least-Squares Regression</t>
  </si>
  <si>
    <t>['confounding', 'events per confounder', 'linear binomial model', 'modified least-squares regression', 'prenatal care', 'risk difference', 'simulation study']</t>
  </si>
  <si>
    <t>Risk difference is a relevant effect measure in epidemiologic research. Although it is well known that when there are few events per confounder, logistic regression is not suitable for confounding control, it is not clear how many events per confounder are required for valid estimation of risk difference using linear binomial models. Because the maximum likelihood method has a convergence problem, we investigated the number of events per confounder necessary to validly estimate risk difference using modified least-squares regression in a simulation. We simulated 864 scenarios, according to the number of confounders (2-20), the number of events per confounder (2-12), marginal risk (0.5%-40%), exposure proportion (20% and 40%), and 3 sizes of risk difference. Our simulation showed that modified least-squares regression provided unbiased risk difference-regardless of the number of events per confounder-and reliable confidence intervals when more than 5 events were expected in the exposed and in the unexposed, irrespective of the number of events per confounder. We illustrated the modified least-squares regression analysis using perinatal epidemiologic data. Modified least-squares regression is considered to be a useful analytical tool for rare binary outcomes relative to the number of confounders.</t>
  </si>
  <si>
    <t>SCOPUS_ID:84871232651</t>
  </si>
  <si>
    <t>10.1093/aje/kws212</t>
  </si>
  <si>
    <t>Perinatal and family risk factors for Hodgkin lymphoma in childhood through young adulthood</t>
  </si>
  <si>
    <t>['birth order', 'family', 'fetal development', 'gestational age', 'Hodgkin disease', 'lymphoma', 'maternal age']</t>
  </si>
  <si>
    <t>The incidence of Hodgkin lymphoma has increased among adolescents and young adults in recent decades, but the relevant risk factors in early life are still unknown. A national cohort study was conducted of 3,571,574 individuals born in Sweden in 1973-2008 and followed up for Hodgkin lymphoma incidence through 2009, to examine perinatal and family risk factors for Hodgkin lymphoma in childhood through young adulthood (ages 0-37 years). There were 943 Hodgkin lymphoma cases identified in 66.3 million person-years of follow-up. High fetal growth was associated with an increased risk of Hodgkin lymphoma after adjustment for gestational age at birth and other potential confounders (P trend = 0.005). Family history of Hodgkin lymphoma in a sibling or parent also was strongly associated with an increased risk, with adjusted hazard ratios = 8.83 (95% confidence interval: 3.67, 21.30) and 7.19 (95% confidence interval: 3.58, 14.44), respectively. No association was found between gestational age at birth, birth order, twinning, parental age, or parental education and Hodgkin lymphoma. These findings did not vary by age at Hodgkin lymphoma diagnosis. Similar associations were found for nodular sclerosis and mixed cellularity subtypes. These findings suggest that perinatal factors including possible growth factor pathways may contribute to the risk of Hodgkin lymphoma in childhood through young adulthood. Â© 2012 The Author.</t>
  </si>
  <si>
    <t>SCOPUS_ID:0034032147</t>
  </si>
  <si>
    <t>10.1023/A:1007621104789</t>
  </si>
  <si>
    <t>Use of unconventional methods of therapy by cancer patients in Pakistan</t>
  </si>
  <si>
    <t>['Alternative medicine', 'Cancer patients', 'Developing countries', 'Unconventional medicine']</t>
  </si>
  <si>
    <t>Most of the studies related to the use of unconventional methods of therapy by cancer patients have been carried out in the developed countries. This study was conducted to ascertain the frequency, type, and duration of use of unconventional methods of therapy by cancer patients in Pakistan. We also wanted to identify individuals who are most likely to use these methods and to compare the findings with those reported from the developed countries. Between 1 April and 30 May 1994, all patients with histologically proven cancer who visited the oncology unit were interviewed. A printed questionnaire with questions and options was used as an interview guide. Informed consent was obtained. One hundred and ninety-one patients were interviewed, on average, for 25 minutes each. Use of unconventional methods of therapy by cancer patients was widespread (54.5% of all patients). The majority (83.7%) were influenced by family members to use these methods. Traditional herbal medicines (70.2%) and homeopathy (64.4%) were the most commonly employed methods. Thirty-six percent of the users employed these methods before receiving any conventional therapy. Only 15% used these methods after conventional therapeutic options had been exhausted. Patients generally perceived these methods as useful, non-toxic and inexpensive. Age, marital status, socio-economic background, education level and status of underlying neoplasm did not influence the frequency of use of unconventional methods. The use, however, was influenced by gender, family size, and type of underlying malignancy. Patients aware of their diagnosis were less likely to use these methods. This study suggests that use of unconventional methods by cancer patients in Pakistan is widespread. Unlike western countries, these methods are often employed before receiving any conventional therapy. This probably results in a significant delay which can be expected to adversely influence the subsequent disease management and survival. Public education, reduction of cost and easy availability of conventional therapy may be helpful in reducing the use of methods which otherwise may have no proven value.</t>
  </si>
  <si>
    <t>Pakistan</t>
  </si>
  <si>
    <t>marginal given it's a qual study, but doesn't directly make a policy claim? [on 2nd reading I could see this be TRUE, but I kept my original rating]</t>
  </si>
  <si>
    <t>It is vaguely worded but the last sentence calls for alternative policy focus, e.g. public educatino</t>
  </si>
  <si>
    <t>OK for discrepency if marginal</t>
  </si>
  <si>
    <t>borderline case. "may improve" is very carefully worded</t>
  </si>
  <si>
    <t>SCOPUS_ID:79960805262</t>
  </si>
  <si>
    <t>10.1093/aje/kwr074</t>
  </si>
  <si>
    <t>Changes in the prevalence of cognitive impairment among older Americans, 1993-2004: Overall trends and differences by race/ethnicity</t>
  </si>
  <si>
    <t>['African Americans', 'aged', 'aged, 80 and over', 'cognition disorders', 'health status disparities', 'Hispanic Americans', 'prevalence', 'socioeconomic factors']</t>
  </si>
  <si>
    <t>The authors used data from 6 waves of the Health and Retirement Study to evaluate changes in the prevalence of cognitive impairment among adults 70 years of age or older from 1993 to 2004. Having sampling weights for each wave enabled the authors to create merged waves that represented cross-sections of the community-dwelling older population for that year. Logistic regression analyses with year as the predictor were used to estimate trends and determine the contribution of sociodemographic and health status variables to decreasing trends in the prevalence of cognitive impairment over time (score â‰¤8 on a modified Telephone Interview Cognitive Screen). Results showed an annual decline in the prevalence of cognitive impairment of 3.4% after adjustment for age, gender, and prior test exposure (odds ratio (OR) = 0.966, 95% confidence interval (CI): 0.941, 0.992). The addition of socioeconomic variables to the model attenuated the trend by 72.1%. The annual percentage of decline in impairment was larger for blacks (OR = 0.943, 95% CI: 0.914, 0.973) and Hispanics (OR = 0.954, 95% CI: 0.912, 0.997) than for whites (OR = 0.971, 95% CI: 0.936, 1.006), although the differences were not statistically significant. Linear probability models used in secondary analyses showed larger percentage-point declines for blacks and Hispanics. Improvements in educational level contributed to declines in cognitive impairment among older adults - particularly blacks and Hispanics - in the United States. Â© 2011 The Author.</t>
  </si>
  <si>
    <t>SCOPUS_ID:85042868429</t>
  </si>
  <si>
    <t>10.1136/jech-2017-209333</t>
  </si>
  <si>
    <t>Longitudinal analysis of cardiovascular disease risk profile in neighbourhood poverty subgroups: 5-year results from an afterschool fitness programme in the USA</t>
  </si>
  <si>
    <t>['cardiovascular disease', 'child health', 'health inequalities', 'physical activity', 'poverty']</t>
  </si>
  <si>
    <t>Background The WHO calls for affordable populationbased prevention strategies for reducing the global burden of cardiovascular disease (CVD) on morbidity and mortality; however, effective, sustainable and accessible community-based approaches for CVD prevention in at-risk youth have yet to be identified. We examined the effects of implementing a daily park-based afterschool fitness programme on youth CVD risk profiles over 5 years and across area poverty subgroups. Methods The study included 2264 youth (mean age 9.4 years, 54% male, 50% Hispanic, 47% non-Hispanic black, 70% high/very high area poverty) in Miami, Florida, USA. We used three-level repeated measures mixed models to determine the longitudinal effects of programme participation on modifiable CVD outcomes (2010-2016). Results Duration of programme participation was significantly associated with CVD risk profile improvements, including body mass index (BMI) z-score, diastolic/systolic blood pressure, skinfold thicknesses, waist-hip ratio, sit-ups, push-ups, Progressive Aerobic Cardiovascular Endurance Run (PACER) score, 400 m run time, probability of developing systolic/diastolic hypertension and overweight/obesity in high/very high poverty neighbourhoods (P&gt;0.001). Diastolic blood pressure decreased 3.4 percentile points (95% CI-5.85 to-0.85), 8.1 percentile points (95% CI-11.98 to-4.26), 6.1 percentile points (95% CI-11.49 to-0.66), 7.6 percentile points (95% CI-15.33 to-0.15) and 11.4 percentile points (95% CI-25.32 to 2.61) for 1-5 years, respectively, in high/very high poverty areas. In contrast, significant improvements were found only for PACER score and waist-hip ratio in low/mid poverty areas. Conclusion This analysis presents compelling evidence demonstrating that park-based afterschool programmes can successfully maintain or improve at-risk youth CVD profiles over multiple years.</t>
  </si>
  <si>
    <t>Compelling evidence' for intervention</t>
  </si>
  <si>
    <t>borderline</t>
  </si>
  <si>
    <t>They do they that their paper provides compelling evidence for the park intervention</t>
  </si>
  <si>
    <t>SCOPUS_ID:84929055179</t>
  </si>
  <si>
    <t>10.1093/eurpub/cku229</t>
  </si>
  <si>
    <t>Comparing variation across European countries: Building geographical areas to provide sounder estimates</t>
  </si>
  <si>
    <t>Background: In geographical studies, population distribution is a key issue. An unequal distribution across units of analysis might entail extra-variation and produce misleading conclusions on healthcare performance variations. This article aims at assessing the impact of building more homogeneous units of analysis in the estimation of systematic variation in three countries. Methods: Hospital discharges for six conditions (congestive heart failure, short-term complications of diabetes, hip fracture, knee replacement, prostatectomy in prostate cancer and percutaneous coronary intervention) produced in Denmark, England and Portugal in 2008 and 2009 were allocated to both original geographical units and new ad hoc areas. New areas were built using Ward's minimum variance methods. The impact of the new areas on variability was assessed using Kernel distribution curves and different statistic of variation such as Extremal Quotient, Interquartile Interval ratio, Systematic Component of Variation and Empirical Bayes statistic. Results: Ward's method reduced the number of areas, allowing a more homogeneous population distribution, yet 20% of the areas in Portugal exhibited less than 100 000 inhabitants vs. 7% in Denmark and 5% in England. Point estimates for Extremal Quotient and Interquartile Interval Ratio were lower in the three countries, particularly in less prevalent conditions. In turn, the Systematic Component of Variation and Empirical Bayes statistic were slightly lower in more prevalent conditions. Conclusions: Building new geographical areas produced a reduction of the variation in hospitalization rates in several prevalent conditions mitigating random noise, particularly in the smallest areas and allowing a sounder interpretation of the variation across countries.</t>
  </si>
  <si>
    <t>SCOPUS_ID:0027940114</t>
  </si>
  <si>
    <t>10.1093/ije/23.4.673</t>
  </si>
  <si>
    <t>No improvement in survival from melanoma diagnosed from 1973 to 1984</t>
  </si>
  <si>
    <t>Berwick M (Cancer Prevention Research Institute, 11 East 22nd Street, New York, NY 10010, USA), Dubin N, Luo S-T and Flannery J. No improvement in survival from melanoma diagnosed from 1973 to 1984. International Journal of Epidemiology 1994; 23: 673-681. Background. While the incidence and mortality of melanoma has increased dramatically during the last few decades, survival rates, based on the case-fatality ratio, have apparently improved. Efforts at early detection have probably been effective in the discovery of lesions at a curable stage. However, the effects of lead-time bias need to be accounted for in order to understand the contribution of early detection to the increased incidence. This can best be done by appropriately controlling for depth of the turnour or a surrogate of depth, at diagnosis. Methods. A survival analysis was conducted for 3197 Connecticut residents newly diagnosed with invasive melanoma between 1973 and 1984. Five prognostic variables were evaluated: sex, age at diagnosis, anatomical site, histological type, and year of diagnosis. Results. As expected, women and the young had better survival than men and the elderly. Melanomas located on the trunk had poorer prognosis than those on other sites. The survival experience by histological type was significantly different; lentigo maligna melanoma and superficial spreading melanoma had the best survival and nodular melanomas the poorest, while â€˜otherâ€™ and unclassifiable melanomas had intermediate survival. When survival by period of diagnosis was controlled by other variables, which included surrogates for disease stage, there was no improvement in survival over time. Conclusion. These data do not imply that early diagnosis and treatment are ineffective; rather, that within stages of disease, survival improvements did not occur during the period 1973-1984. Â© 1994 International Epidemiological Association.</t>
  </si>
  <si>
    <t>SCOPUS_ID:31944433220</t>
  </si>
  <si>
    <t>10.1007/s10654-005-4724-2</t>
  </si>
  <si>
    <t>Characteristics and analysis of risk factors for mortality in infective endocarditis</t>
  </si>
  <si>
    <t>['Endocarditis', 'Haemodialysis', 'Mental alteration', 'Mortality', 'Prognosis', 'Vegetation']</t>
  </si>
  <si>
    <t>Objective: The aim of our study was to establish the etiology of and risk factors for infective endocarditis (IE) and determine the prognostic factors for adverse outcome during hospital admission in a Turkish population. Material and Methods: Between January 2002 and January 2004, the clinical and laboratory features of 112 consecutive adult patients (&gt;18 years) with diagnosis of IE who were referred to the infectious diseases clinics/departments of 17 teaching hospitals in Turkey were evaluated. Cases of IE were defined according to the modified Duke Criteria. Mortality was defined as death occurring within 30 days or during hospital stay period. Univariate and multivariate analyses were performed to predict the factors related to fatal outcome. Results: A total of 112 consecutive patients presented with 101 definite and 11 probable IE episodes were defined according to the modified Duke Criteria. The mean age was 45.2Â±19.9. Fifty percent of the patients were male. Ninety (60.4%) of the 112 patients had risk factors for IE and 48 (42.9%) of them had â‰¥2 risk factors. On the other hand, 49.1% of patients had cardiac risk factors. Blood cultures were positive in 94 (83.9%) cases. Staphylococci were the most common agents (50.0%), followed by streptococci (28.7%) and enterococi (16.0%). Native cardiac valves were detected in 93 (83%) of the episodes of suspected IE. Valvular involvement was present in 103 (92%) patients; the mitral valve, alone or in combination with other valves, was affected in 70 (62.5%) of the patients. Echocardiography detected vegetations in 105 patients (93.8%). The mortality rate was 28.6%. Three factors were independently associated with mortality: haemodialysis OR: 14.5 (95% CI: 1.5-138.2), mobile vegetation OR: 4.8 (95% CI: 1.5-15.4) and mental alteration OR: 4.1 (95% CI: 1.1-15.6). Conclusion: Mortality is still high in IE. Our data indicate that patients with altered mental status, mobile vegetation, or on haemodialysis had poorer prognosis. Â© Springer 2006.</t>
  </si>
  <si>
    <t>TÃ¼rkiye</t>
  </si>
  <si>
    <t>SCOPUS_ID:0025918863</t>
  </si>
  <si>
    <t>10.2105/AJPH.81.1.53</t>
  </si>
  <si>
    <t>AIDS-related knowledge, sexual behavior, and condom use among men and women in Kinshasa, Zaire</t>
  </si>
  <si>
    <t>This study was conducted in 1988 among a random sample of 6,625 men and women of reproductive age in all 24 administrative zones of Kinshasa, the capital city of Zaire, to determine existing levels of knowledge regarding AIDS (acquired immunodeficiency syndrome), sexual behavior, knowledge and use of condoms in marital and extramarital relations; perceived risk of AIDS, and attitudes toward testing for the human immunodeficiency virus (HIV). Awareness of AIDS is almost universal, and the vast majority know the four main modes of transmission. Almost half believed in transmission by mosquitoes and in a vaccine or cure for AIDS. The majority of male respondents knew of condoms, but negative attitudes toward condom use are widespread, and few respondents perceived them to play a central role in combatting AIDS.</t>
  </si>
  <si>
    <t>SCOPUS_ID:85207423519</t>
  </si>
  <si>
    <t>10.1136/jech-2024-222677</t>
  </si>
  <si>
    <t>Association of housing tenure and unaffordable housing with preterm birth and other adverse birth outcomes in Canada: a population-based study</t>
  </si>
  <si>
    <t>Background Socioeconomic risk factors are known drivers of adverse birth outcomes. Housing is a key target for policy interventions. Objective To estimate the associations of housing tenure (renting vs owning) and unaffordable housing with preterm birth and other adverse birth outcomes. Methods We used 2014â€“2016 Canadian birth registration data linked with the 2016 long-form census and included singleton births among homeowners and renters. Unaffordable housing was defined at the family level as the proportion of pre-tax income spent on shelter, using a 30% cut-off. The primary outcome was preterm birth. Secondary outcomes were stillbirth and infant death. Log-binomial regression estimated the association of housing tenure and unaffordability with outcomes adjusting for sociodemographic risk factors and parity. Results Among 162 700 live births and stillbirths (52 740 renters, 109 960 owners), 31% of renters and 17% of owners experienced unaffordable housing. Renting was associated with an increased risk of preterm birth (7.5% vs 6.1%; adjusted risk ratio (aRR) 1.13; 95% CI 1.08 to 1.17), stillbirth (9.5 vs 6.6 per 1000; aRR 1.33, 95% CI 1.14 to 1.56) and infant death (4.2 vs 3.0 per 1000; aRR 1.52, 95% CI 1.26 to 1.82). There was no association of housing unaffordability with preterm birth or other adverse birth outcomes among owners or renters. Conclusions This nationally representative study in Canada found associations between renting versus owning and preterm birth, stillbirth and infant death, as well as a high burden of unaffordable housing, particularly among renters. This study suggests that home tenure itself is a social determinant of adverse birth outcomes.</t>
  </si>
  <si>
    <t>SCOPUS_ID:85108568071</t>
  </si>
  <si>
    <t>10.1136/jech-2021-216581</t>
  </si>
  <si>
    <t>Effectiveness of the population-based a â‚¬ check your health preventive programme' conducted in a primary care setting: A pragmatic randomised controlled trial</t>
  </si>
  <si>
    <t>['epidemiology of chronic non communicable diseases', 'health promotion', 'prevention', 'treatment outcome']</t>
  </si>
  <si>
    <t>Health checks have been suggested as an early detection approach aiming at lowering the risk of chronic disease development. This study aimed to evaluate the effectiveness of a health check programme offered to the general population, aged 30-49 years. Methods The entire population aged 30-49 years (N=26 216) living in the municipality of Randers, Denmark, was invited to a health check during 5 years. A pragmatic household cluster-randomised controlled trial was conducted in 10 505 citizens. The intervention group (IG, N=5250) included citizens randomised to the second year and reinvited in the 5th year. The comparison group (CG, N=5255) included citizens randomised to the 5th year. Outcomes were modelled cardiovascular disease (CVD) risk; self-reported physical activity (PA) and objectively measured cardio respiratory fitness (CRF); self-rated health (short-form 12 (SF-12)), self-rated mental health (SF-12_Mental Component Score (MCS)) and, registry information on sick-leave and employment. Due to low participation, we compared groups matched on propensity scores for participation when reinvited. Results Participation in the first health check was 51% (N=2698) in the IG and 40% (N=2120) in the CG. In the IG 26% (N=1340) participated in both the first and second health checks. No intervention effects were found comparing IG and CG. Mean differences were (95% CI): modelled CVD risk: -0.052 (95% CI -0.107 to 0.003)%, PA: -0.156 (-0.331 to 0.019) days/week with 30 min moderate PA, CRF: 0.133 (-0.560 to 0.826) mL O 2 /min/kg, SF-12: -0.003 (-0.032 to 0.026), SF-12_MCS: 0.355 (-0.423 to 1.132), sick leave periods â‰¥3 weeks: -0.004 (-0.025 to 0.017), employment: -0.004 (-0.032 to 0.024). Conclusions Preventive health checks offered to the general population, aged 30-49 years, had no effects on a wide range of indicators of chronic disease risk. Trial registration number NCT02028195.</t>
  </si>
  <si>
    <t>Strong claim on effectiveness of intervention in RCT</t>
  </si>
  <si>
    <t>Conclusion seemed to describe study results</t>
  </si>
  <si>
    <t>SCOPUS_ID:84856106049</t>
  </si>
  <si>
    <t>10.1093/eurpub/ckq193</t>
  </si>
  <si>
    <t>Prevalence and regional differences of gestational diabetes mellitus and oral glucose tolerance tests in Finland</t>
  </si>
  <si>
    <t>Background: The prevalence of gestational diabetes (GDM) is constantly increasing all around the world. Aim of this study is to report prevalence and regional differences of GDM, oral glucose tolerance tests (OGTT) and register-based GDM risk factors [age and body mass index (BMI)] among Finnish women. Methods: Data from the Finnish Medical Birth Register including all deliveries in Finland during 2004-06 (N=174634) were used. The criteria for GDM were abnormal results in OGTT, GDM diagnosis based on ICD-10 classification or use of insulin treatment during pregnancy. Pregnant women with type I diabetes were excluded, but women with pregestational diabetes (type II) were included since they also can receive GDM diagnosis. Results: The prevalence of GDM was 10-11% and OGTTs 22-28% between the period 2004 until 2006. Regional differences were 2-fold both in prevalence of GDM (8-15%) and OGTTs (19-34%). Proportions of obese women varied between 28% and 35% and women aged &gt;40 years between 3% and 4%. The regional differences in GDM prevalence were not attenuated when risk factors were taken into account. Overweight and age â‰¥years explained only a fourth of the variation in GDM prevalence. Conclusion: Proportion of women undergoing OGTT increased but the prevalence of GDM did not during the study period. Two-fold regional differences in OGTT prevalence explained higher proportion of variation in prevalence of GDM than risk factors available from birth registry, age and BMI. Â© The Author 2011. Published by Oxford University Press on behalf of the European Public Health Association. All rights reserved.</t>
  </si>
  <si>
    <t>Finland</t>
  </si>
  <si>
    <t>SCOPUS_ID:0842281637</t>
  </si>
  <si>
    <t>10.1016/j.ypmed.2003.11.003</t>
  </si>
  <si>
    <t>Nicotine dependence, quit attempts, and quitting among smokers in a regional population sample from a country with a high prevalence of tobacco smoking</t>
  </si>
  <si>
    <t>['Nicotine dependence', 'Quit attempts', 'Smoking', 'Smoking cessation']</t>
  </si>
  <si>
    <t>Background. Nicotine dependence might function as a barrier to smoking cessation. Therefore, the goal was to determine whether single symptoms of nicotine dependence are related to the number of quit attempts and smoking status. Methods. In a random population sample of 4075 women and men aged 18-64, drawn from 47 German communities, data about nicotine dependence according to the US Diagnostic and Statistical Manual of Mental Disorders and according to the FagerstrÃ¶m Test for Nicotine Dependence (FTND), and data on quit attempts and quitting were collected at baseline with an interview and 30 months later with a questionnaire. Results. Nicotine dependence, in particular withdrawal, was related to a high number of quit attempts and to remaining a current smoker. The urgent need for tobacco, craving for nicotine, smoking to avoid withdrawal, and the expectation of increased appetite or weight gain correctly classified smoking status in 72.1% of individuals through logistic regression analysis. Conclusions. Nicotine dependence is a strong factor that may partly explain the failure of a subpopulation of smokers to live abstinent. Population-based interventions should include measures of tobacco control and brief interventions carried out, for example, by experts in health care. Â© 2003 The Institute For Cancer Prevention and Elsevier Inc. All rights reserved.</t>
  </si>
  <si>
    <t>SCOPUS_ID:85142342895</t>
  </si>
  <si>
    <t>10.1016/j.ypmed.2022.107345</t>
  </si>
  <si>
    <t>Total cost of care associated with opioid use disorder treatment</t>
  </si>
  <si>
    <t>['Healthcare cost', 'Medicaid', 'Medication for opioid use disorder']</t>
  </si>
  <si>
    <t>The opioid epidemic in the United States disproportionately affects Medicaid beneficiaries than other groups. This results in a significant financial burden on state Medicaid programs. In this analysis, we investigate the association of medication for opioid use disorder (MOUD) treatment initiation and linkage to ongoing care on overall healthcare costs of Medicaid Fee-for-Service patients. We conducted a retrospective study among adult patients diagnosed with opioid use disorder (OUD) and who had a clinical encounter at a safety-net institution in Denver Colorado in 2020. Three categories of MOUD status of patients were defined: 1) identified with OUD but did not receive MOUD; 2) initiated MOUD but not linked to ongoing treatment and 3) received MOUD and linked to ongoing treatment. Our outcome variable was per-member per-month total healthcare cost. We estimated a multivariable model to test the association between healthcare cost and MOUD status, while controlling for demographic and risk classification variables. We found that in individuals with OUD who initiated MOUD treatment but were not linked to ongoing care had the highest healthcare cost, while those who were linked to ongoing MOUD treatment had the lowest healthcare cost. MOUD treatment is not only effective at addressing the significant morbidity and mortality burden of OUD but also associated with decreased financial cost, which is disproportionately incurred by Medicaid. Additional policy and care delivery changes are needed to focus efforts to improve linkage to ongoing treatment.</t>
  </si>
  <si>
    <t>marginal e.g., additional policy is required may be reasonable eg to solve an unresolved health issue</t>
  </si>
  <si>
    <t>Vaguely worded but calls for policy changes</t>
  </si>
  <si>
    <t>SCOPUS_ID:0035038622</t>
  </si>
  <si>
    <t>10.2105/AJPH.91.5.761</t>
  </si>
  <si>
    <t>Depression and substance use in minority middle-school students</t>
  </si>
  <si>
    <t>Objectives: This study investigated the association between depression and substance use in a sample of middleschool students. Methods: The 5721 students (59%-63% Hispanic) completed self-report items on depressive symptoms, recent smoking and binge drinking, and lifetime use of marijuana, cocaine, and inhalants. Results: Symptoms of depression were strongly and positively related to substance use. For every type of use, a stepwise increase was seen between the percentage of students with low symptom frequency and the percentage of students with more symptoms. A sizable number of users reported symptoms indicating major depression. Depression scores showed few clinically meaningful differences among demographic subgroups. Substance use scores, in contrast; showed meaningful intergroup differences for racial/ethnic group and other demographic variables. Conclusions: Depressive symptoms and substance use were associated in a sample of middle-school students who were largely non-White and predominantly Hispanic. Greater understanding of the nature of this association is needed; this understanding should be used to design prevention programs, and prevention programs should be introduced at least in the middle-school years.</t>
  </si>
  <si>
    <t>SCOPUS_ID:33947211169</t>
  </si>
  <si>
    <t>10.1093/aje/kwk063</t>
  </si>
  <si>
    <t>Smoking, hypertension, alcohol consumption, and risk of abdominal aortic aneurysm in men</t>
  </si>
  <si>
    <t>['Alcoholic beverages', 'Aorta', 'Aortic aneurysm', 'Ethanol', 'Risk factors', 'Smoking']</t>
  </si>
  <si>
    <t>Despite the known protective association between moderate alcohol consumption and ischemic heart disease, little is known about the effects of alcohol consumption on abdominal aortic aneurysms (AAA). The authors analyzed prospective, biennially updated data for a cohort of 39,352 US men from 1986 to 2002. The association of incident AAA diagnosis with alcohol consumption in grams per day was assessed at baseline and by using alcohol consumption data updated every 4 years, controlling for previously reported cardiovascular risk factors. During 576,374 person-years of follow-up, 376 newly diagnosed cases of AAA were demonstrated. After adjustment for other risk factors for AAA, including smoking, hypertension, and body mass index, alcohol consumption at baseline was independently associated with AAA diagnosis (p for trend = 0.03), with a maximum hazard ratio of 1.21 (95% confidence interval: 0.78, 1.87) for â‰¥30.0 g (approximately â‰¥2 standard drinks) of daily alcohol consumption. This association was stronger when the updated alcohol consumption data were assessed rather than simply baseline exposure (p for trend = 0.02); the hazard ratio for the highest level of intake (â‰¥30.0 g/day) was 1.65 (95% confidence interval: 1.03, 2.64). Small numbers limited analyses by beverage type, but liquor demonstrated the strongest positive association with AAA. Copyright Â© 2007 by the Johns Hopkins Bloomberg School of Public Health All rights reserved.</t>
  </si>
  <si>
    <t>SCOPUS_ID:0036301558</t>
  </si>
  <si>
    <t>10.1093/ije/31.3.587</t>
  </si>
  <si>
    <t>An ecologic study of protective equipment and injury in two contact sports</t>
  </si>
  <si>
    <t>['Football', 'Protective devices', 'Rugby Union', 'Sports injuries']</t>
  </si>
  <si>
    <t>Background. Contact sports have high rates of injury. Protective equipment regulations are widely used as an intervention to reduce injury risk. The purpose of this study was to investigate the injury prevention effect of regulations governing protective equipment in two full-body contact sports. Methods. Injury rates in US collegiate football were compared to New Zealand club Rugby Union. Both sports involve significant body contact and have a high incidence of injury. Extensive body padding and hard-shell helmets are mandated in collegiate football but prohibited in Rugby Union. Results. The injury rate in football was approximately one-third the rugby rate (rate ratio [RR] = 0.35; 95% CI: 0.31-0.40). The head was the body site with the greatest differential in injury incidence (RR = 0.11; 95% CI: 0.08-0.16). Rugby players suffered numerous lacerations, abrasions, and contusions to the head region, but the incidence of these injuries in football was almost zero (RR = 0.01; 95% CI: 0.01-0.03). Injury rates were more similar for the knee (RR = 0.61; 95% CI: 0.43-0.87) and ankle (RR = 0.72; 95% CI: 0.46-1.13), two joints largely unprotected in both sports. Conclusions. The observed differences are consistent with the hypothesis that regulations mandating protective equipment reduce the incidence of injury, although important potential biases in exposure assessment cannot be excluded. Further research is needed into head protection for rugby players.</t>
  </si>
  <si>
    <t>SCOPUS_ID:85169087027</t>
  </si>
  <si>
    <t>10.1093/eurpub/ckad083</t>
  </si>
  <si>
    <t>Impact of a sugar-sweetened beverage tax on sugar producers in Ukraine</t>
  </si>
  <si>
    <t>Taxes on sugar-sweetened beverages can promote health and raise revenue. Whether these taxes negatively impact domestic sugar producers, an argument often made by opponents, is understudied. We extended a simulation model based on a uniform specific volume-based tax of UAH 4/L in Ukraine. We estimated best-and worst-case scenarios for reductions in domestic sugar demand to be 162 and 23000 metric tons. This is at worst âˆ¼0.5% of current exports, meaning decreases in domestic demand could easily be absorbed by export markets given export trends. Due to highly protectionist sugar sector policy, sugar producers would not be able to fully substitute domestic sales revenues through increased export revenues, but the worst-case revenue gap was &lt;0.5% of total sectoral output in recent years. Overall, introducing a tax on sugar-sweetened beverages in Ukraine is likely to have a very limited impact on domestic sugar producers.</t>
  </si>
  <si>
    <t>interesting negation of a policy success claim</t>
  </si>
  <si>
    <t>SCOPUS_ID:85040574830</t>
  </si>
  <si>
    <t>10.1093/aje/kwx193</t>
  </si>
  <si>
    <t>Bias in Hazard Ratios Arising from Misclassification According to Self-Reported Weight and Height in Observational Studies of Body Mass Index and Mortality</t>
  </si>
  <si>
    <t>['body mass index', 'body weight', 'epidemiologic methods', 'mortality', 'NHANES', 'obesity', 'overweight', 'self-report']</t>
  </si>
  <si>
    <t>Misclassification of body mass index (BMI) categories arising from self-reported weight and height can bias hazard ratios in studies of BMI and mortality. We examined the effects on hazard ratios of such misclassification using national US survey data for 1976 through 2010 that had both measured and self-reported weight and height along with mortality follow-up for 48,763 adults and a subset of 17,405 healthy never-smokers. BMI was categorized as &lt;22.5 (low), 22.5-24.9 (referent), 25.0-29.9 (overweight), 30.0-34.9 (class I obesity), and =35.0 (class II-III obesity). Misreporting at higher BMI categories tended to bias hazard ratios upwards for those categories, but that effect was augmented, counterbalanced, or even reversed by misreporting in other BMI categories, in particular those that affected the reference category. For example, among healthy male never-smokers, misclassifications affecting the overweight and the reference categories changed the hazard ratio for overweight from 0.85 with measured data to 1.24 with self-reported data. Both the magnitude and direction of bias varied according to the underlying hazard ratios in measured data, showing that findings on bias from one study should not be extrapolated to a study with different underlying hazard ratios. Because of misclassification effects, self-reported weight and height cannot reliably indicate the lowest-risk BMI category.</t>
  </si>
  <si>
    <t>SCOPUS_ID:85072058175</t>
  </si>
  <si>
    <t>10.1093/aje/kwz134</t>
  </si>
  <si>
    <t>A Cross-Sectional Analysis of Telomere Length and Sleep in the Women's Health Initiative</t>
  </si>
  <si>
    <t>['sleep', 'sleep disturbance', 'sleep duration', 'telomere length', "Women's Health Initiative"]</t>
  </si>
  <si>
    <t>Telomere length is a heritable marker of cellular age that is associated with morbidity and mortality. Poor sleep behaviors, which are also associated with adverse health events, may be related to leukocyte telomere length (LTL). We studied a subpopulation of 3,145 postmenopausal women (1,796 European-American (EA) and 1,349 African-American (AA)) enrolled in the Women's Health Initiative in 1993-1998 with data on Southern blot-measured LTL and self-reported usual sleep duration and sleep disturbance. LTL-sleep associations were analyzed separately for duration and disturbance using weighted and confounder-adjusted linear regression models in the entire sample (AAs + EAs; adjusted for race/ethnicity) and in racial/ethnic strata, since LTL differs by ancestry. After adjustment for covariates, each additional daily hour of sleep beyond 5 hours, approximately, was associated with a 27-base-pair (95% confidence interval (CI): 6, 48) longer LTL in the entire sample. Associations between sleep duration and LTL were strongest among AAs (adjusted Î² = 37, 95% CI: 4, 70); a similar, nonsignificant association was observed for EAs (adjusted Î² = 20, 95% CI:-7, 48). Sleep disturbance was not associated with LTL in our study. Our models did not show departure from linearity (quadratic sleep terms: P â‰¥ 0.55). Our results suggest that longer sleep duration is associated with longer LTL in postmenopausal women.</t>
  </si>
  <si>
    <t>SCOPUS_ID:77951226515</t>
  </si>
  <si>
    <t>10.2105/AJPH.2009.177345</t>
  </si>
  <si>
    <t>Perinatal outcomes for Asian, native Hawaiian, and other Pacific Islander mothers of single and multiple race/ethnicity: California and Hawaii, 2003-2005</t>
  </si>
  <si>
    <t>Objectives. We examined characteristics and birth outcomes of Asian/Pacific Islander (API) mothers to determine whether differences in outcomes existed between mothers of single race/ethnicity and multiple race/ethnicity. Methods. We used data from California and Hawaii birth certificates from 2003 through 2005 to describe variation in birth outcomes for API subgroups by selfreported maternal race/ethnicity (single versus multiple race or API subgroup), and we also compared these outcomes to those of non-Hispanic White women. Results. Low birthweight (LBW) and preterm birth (PTB) varied more among API subgroups than between mothers of single versus multiple race/ethnicity. After adjustment for sociodemographic and behavioral risk factors, API mothers of multiple race/ethnicity had outcomes similar to mothers of single race/ ethnicity, with exceptions for multiple-race/ethnicity Chinese (higher PTB), Filipino (lower LBW and PTB), and Thai (higher LBW) subgroups. Compared with single-race non-Hispanic Whites, adverse outcomes were elevated for most API subgroups: only single-race/ethnicity Korean mothers had lower rates of both LBW (3.4%) and PTB (5.6%); single-race/ethnicity Cambodian, Laotian, and Marshallese mothers had the highest rates of both LBW (8.8%, 9.2%, and 8.4%, respectively) and PTB (14.0%, 13.7%, and 18.8%, respectively). Conclusions. Strategies to improve birth outcomes for API mothers should consider variations in risk by API subgroup and multiple race/ethnicity.</t>
  </si>
  <si>
    <t>Strategies to improve birth outcomes for API mothers should consider variations in risk by API subgroup and multiple race/ethnicity.</t>
  </si>
  <si>
    <t>SCOPUS_ID:84871329834</t>
  </si>
  <si>
    <t>10.1016/j.amepre.2012.10.002</t>
  </si>
  <si>
    <t>Breast cancer risk prediction and mammography biopsy decisions: A model-based study</t>
  </si>
  <si>
    <t>Background: Controversy continues about screening mammography, in part because of the risk of false-negative and false-positive mammograms. Pre-test breast cancer risk factors may improve the positive and negative predictive value of screening. Purpose: To create a model that estimates the potential impact of pre-test risk prediction using clinical and genomic information on the reclassification of women with abnormal mammograms (BI-RADS3 and BI-RADS4 [Breast Imaging-Reporting and Data System]) above and below the threshold for breast biopsy. Methods: The current study modeled 1-year breast cancer risk in women with abnormal screening mammograms using existing data on breast cancer risk factors, 12 validated breast cancer single-nucleotide polymorphisms (SNPs), and probability of cancer given the BI-RADS category. Examination was made of reclassification of women above and below biopsy thresholds of 1%, 2%, and 3% risk. The Breast Cancer Surveillance Consortium data were collected from 1996 to 2002. Data analysis was conducted in 2010 and 2011. Results: Using a biopsy risk threshold of 2% and the standard risk factor model, 5% of women with a BI-RADS3 mammogram had a risk above the threshold, and 3% of women with BI-RADS4A mammograms had a risk below the threshold. The addition of 12 SNPs in the model resulted in 8% of women with a BI-RADS3 mammogram above the threshold for biopsy and 7% of women with BI-RADS4A mammograms below the threshold. Conclusions: The incorporation of pre-test breast cancer risk factors could change biopsy decisions for a small proportion of women with abnormal mammograms. The greatest impact comes from standard breast cancer risk factors. Â© 2013 American Journal of Preventive Medicine.</t>
  </si>
  <si>
    <t>SCOPUS_ID:85204380600</t>
  </si>
  <si>
    <t>10.1136/jech-2024-222040</t>
  </si>
  <si>
    <t>Impact of early childhood infection on child development and school performance: a population-based study</t>
  </si>
  <si>
    <t>Background Childhood infection might be associated with adverse child development and neurocognitive outcomes, but the results have been inconsistent. Methods Two population-based record-linkage cohorts of all singleton children born at term in New South Wales, Australia, from 2001 to 2014, were set up and followed up to 2019 for developmental outcome (N=276 454) and school performance (N=644 291). The primary outcome was developmentally high risk (DHR) at age 4-6 years and numeracy and reading below the national minimum standard at age 7-9 years. Cox regression was used to assess the association of childhood infection ascertained from hospital records with each outcome adjusting for maternal, birth and child characteristics, and sensitivity analyses were conducted assessing E-values and sibling analysis for discordant exposure. Results A higher proportion of children with an infection-related hospitalisation were DHR (10.9% vs 8.7%) and had numeracy (3.7% vs 2.7%) and reading results (4.3% vs 3.1%) below the national minimum standard, compared with those without infection-related hospitalisation. In the multivariable analysis, children with infection-related hospitalisation were more likely to be DHR (adjusted HR 1.12, 95% CI 1.08 to 1.15) and have numeracy (adjusted HR 1.22, 95% CI 1.18 to 1.26) and reading results (adjusted HR 1.16, 95% CI 1.12 to 1.20) below the national minimum standard. However, these results may be impacted by unmeasured confounding, based on E-values of 1.48-1.74, and minimal association with education outcome was found in the sibling analysis. Conclusions Infection-related hospitalisation was modestly associated with adverse child development and school performance, but the association may be explained by shared familial factors, particularly in those with most socioeconomic disadvantages.</t>
  </si>
  <si>
    <t>SCOPUS_ID:77952276406</t>
  </si>
  <si>
    <t>10.2105/AJPH.2009.160002</t>
  </si>
  <si>
    <t>Herpes zoster and exposure to the varicella zoster virus in an era of varicella vaccination</t>
  </si>
  <si>
    <t>Objectives. We performed a case-control study to determine if participants with herpes zoster had fewer contacts with persons with varicella or zoster, and with young children, to explore the hypothesis that exposure to persons with varicella zoster virus (VZV) results in "immune boosting." Methods. Participants were patients of the multispecialty Marshfield Clinic in Wisconsin. We identified patients aged 40 to 79 years with a new diagnosis of zoster from August 2000 to July 2005. We frequency matched control participants to case participants for age. We confirmed diagnoses by chart review and assessed exposures by interview. Results. Interviews were completed by 633 of 902 eligible case participants &lt;70.2%) and 655 of 1149 control participants (57.0%). The number of varicella contacts was not associated with zoster; there was no trend even at the highest exposure level (3 or more contacts). Similarly, there was no association with exposure to persons with zoster or to children, or with workplace exposures. Conclusions. Although exposure to VZV in our study was relatively low, the absence of a relationship with zoster reflects the uncertain influence of varicella circulation on zoster epidemioloqy.</t>
  </si>
  <si>
    <t>SCOPUS_ID:3242669926</t>
  </si>
  <si>
    <t>10.1093/aje/kwh195</t>
  </si>
  <si>
    <t>Relative risk of mortality in the physically inactive is underestimated because of real changes in exposure level during follow-up</t>
  </si>
  <si>
    <t>['Behavior', 'Exercise', 'Follow-up studies', 'Mortality']</t>
  </si>
  <si>
    <t>Relative risk among exposure groups in prospective cohort studies is based on the assumption that all subjects are exposed at the level recorded at baseline throughout the study. Changes in risk behavior during follow-up will dilute the relative risk. This prospective cohort study in Copenhagen, Denmark, between 1964 and 1994 included 30,640 men and women; 19,149 were examined twice, with an interval of 6.7 (standard deviation, 3.4) years. Relative risks calculated from baseline measurements for moderately active and sedentary groups compared with the highly active group were 1.11 (95% confidence interval: 1.05, 1.18) and 1.64 (95% confidence interval: 1.53, 1.75), respectively. The relative risk between the highly active group and the sedentary group decreased with increasing follow-up time. When intraindividual changes in physical activity level during follow-up were taken into account, the relative risk of physical inactivity was 24-59% higher compared with the relative risk estimated from baseline measurements. The risk of a sedentary lifestyle is underestimated when it is calculated from one baseline measurement in prospective studies, because subjects change behavior during follow-up.</t>
  </si>
  <si>
    <t>SCOPUS_ID:0026322770</t>
  </si>
  <si>
    <t>10.2105/AJPH.81.9.1121</t>
  </si>
  <si>
    <t>Is coronary-care-unit admission restricted for elderly patients? A multicenter study</t>
  </si>
  <si>
    <t>Background. To investigate whether elderly patients are more likely to experience restricted access to high technology medical care, we examined the impact of age on the likelihood of coronary care unit (CCU) admission for patients with acute myocardial infarction. Methods. As part of a prospective investigation of emergency room triage for patients with suspected cardiac ischemia, we studied 4223 patients presenting to six hospitals. Because CCU admission is the accepted standard of care for acute infarction, we defined nonadmission to the CCU as a restriction of access to care. We used a logistic regression model to control for gender, hospital, and CCU occupancy at the time of admission and examined the relationship between age and CCU nonadmission. Results. Patients 75 years or older with acute myocardial infarction were 2.5 times more likely not to be admitted to the CCU than younger patients (RR 2.5, 95% CI 1.64, 3.85). Coronary unit admission was restricted even when the physician's admitting diagnosis was ''myocardial infarction'' (RR 7.1, 95% CI 2.1, 25.0) or ''rule-out myocardial infarction'' (RR 1.5, 95% CI 1.1, 2.1). Observed differences in clinical presentation or severity of illness between older and younger patients did not account for these findings. Conclusion. Our findings suggest that physicians may intentionally restrict access to coronary care for elderly patients with acute myocardial infarction.</t>
  </si>
  <si>
    <t>SCOPUS_ID:70749122175</t>
  </si>
  <si>
    <t>10.1016/j.ypmed.2009.09.017</t>
  </si>
  <si>
    <t>Oral language comprehension assessment among elderly: A population based study in Brazil</t>
  </si>
  <si>
    <t>['Ageing', 'Cognitive function', 'Oral comprehension', 'Token test']</t>
  </si>
  <si>
    <t>Background: Determinants of oral language comprehension, a complex skill, are not clearly established, but may include age, schooling, health condition, depression and quality of life. Objective: To assess oral comprehension skill among Brazilian elderly and identify factors explaining elderly variability in the Token test performance. Methods: A population-based random sample of 373 elderly (â‰¥ 60Â years) in Belo Horizonte, 2007, answered standardized questionnaire including socio-demographic and health-related questions and performed the Token Test short version (SVTT), Snellen Test, Mini Mental State Examination, General Health Questionnaire, and Health Survey Short Form (SF12). Results: Token Test scores ranged from 8 to 35 points; 50% of participants scored â‰¤ 24 points with no sex variation. Age, schooling, literacy, cognitive status, hypertension, self-rated conversational understanding and SF12 mental component explained 62% of SVTT variability. Conclusions: Language comprehension disorder was quite common and test performance was highly influenced by education and cognitive status. Association between test performance and self-rated conversational comprehension indicated that elderly were aware of their difficulty. Â© 2009 Elsevier Inc. All rights reserved.</t>
  </si>
  <si>
    <t>Brazil</t>
  </si>
  <si>
    <t>SCOPUS_ID:84867003072</t>
  </si>
  <si>
    <t>10.1093/eurpub/ckr104</t>
  </si>
  <si>
    <t>Good friends, high income or resilience? What matters most for Elderly patients?</t>
  </si>
  <si>
    <t>Background: Chronically ill patients need to adapt to their impaired life condition. Social (e.g. social support), material (e.g. income) and personal (e.g. mastery) resources are needed to cope with this challenge. It is, however, less clear whether these factors also contribute to 'relatively successful functioning' and whether these effects are disease specific or generic across chronic diseases. Methods: Baseline data from 361 Dutch men and women aged â‰¥60 years who were mildly depressed and diagnosed with type 2 diabetes or chronic obstructive pulmonary disease (COPD) were used. These persons participated in the 'Depression in Elderly with Long-Term Afflictions' (DELTA) study. Logistic regression analyses were used to study the independent association of social support, income and mastery (independent variables) with physical, mental and social functioning (dependent variables). Results: A high level of mastery is significantly associated with physical, mental and social functioning in the total study population, as well as in subgroups of patients with COPD or diabetes. This relationship remained significant after controlling for confounding factors such as gender, age, educational level and the other remaining resources. In diabetes patients, high levels of social support and income also contributed significantly to successful social functioning. Conclusion: Our findings suggest that rather than having good friends and a high income, having a high level of mastery (resilience) might best help chronically ill patients in coping with and adapting to their often co-morbid condition. Further longitudinal research is necessary to unravel the long-term effects of mastery, income and social support on 'relatively successful functioning' in chronically ill patients. Â© 2011 The Author. Published by Oxford University Press on behalf of the European Public Health Association. All rights reserved.</t>
  </si>
  <si>
    <t>SCOPUS_ID:85025662016</t>
  </si>
  <si>
    <t>10.1016/j.amepre.2017.05.019</t>
  </si>
  <si>
    <t>Yoga for Military Veterans with Chronic Low Back Pain: A Randomized Clinical Trial</t>
  </si>
  <si>
    <t>Introduction Chronic low back pain (cLBP) is prevalent, especially among military veterans. Many cLBP treatment options have limited benefits and are accompanied by side effects. Major efforts to reduce opioid use and embrace nonpharmacological pain treatments have resulted. Research with community cLBP patients indicates that yoga can improve health outcomes and has few side effects. The benefits of yoga among military veterans were examined. Design Participants were randomized to either yoga or delayed yoga treatment in 2013â€“2015. Outcomes were assessed at baseline, 6 weeks, 12 weeks, and 6 months. Intention-to-treat analyses occurred in 2016. Setting/Participants One hundred and fifty military veterans with cLBP were recruited from a major Veterans Affairs Medical Center in California. Intervention Yoga classes (with home practice) were led by a certified instructor twice weekly for 12 weeks, and consisted primarily of physical postures, movement, and breathing techniques. Main outcome measures The primary outcome was Rolandâˆ’Morris Disability Questionnaire scores after 12 weeks. Pain intensity was identified as an important secondary outcome. Results Participant characteristics were mean age 53 years, 26% were female, 35% were unemployed or disabled, and mean back pain duration was 15 years. Improvements in Rolandâˆ’Morris Disability Questionnaire scores did not differ between the two groups at 12 weeks, but yoga participants had greater reductions in Rolandâˆ’Morris Disability Questionnaire scores than delayed treatment participants at 6 months âˆ’2.48 (95% CI= âˆ’4.08, âˆ’0.87). Yoga participants improved more on pain intensity at 12 weeks and at 6 months. Opioid medication use declined among all participants, but group differences were not found. Conclusions Yoga improved health outcomes among veterans despite evidence they had fewer resources, worse health, and more challenges attending yoga sessions than community samples studied previously. The magnitude of pain intensity decline was small, but occurred in the context of reduced opioid use. The findings support wider implementation of yoga programs for veterans. Trial registration This study is registered at www.clinicaltrials.gov NCT02524158.</t>
  </si>
  <si>
    <t>The findings support wider implementation of yoga programs for veterans.</t>
  </si>
  <si>
    <t>SCOPUS_ID:84940038714</t>
  </si>
  <si>
    <t>10.1097/EDE.0000000000000350</t>
  </si>
  <si>
    <t>To Treat or to Prevent?: Reducing the Population Burden of Violence-related Post-traumatic Stress Disorder</t>
  </si>
  <si>
    <t>Background: Violence-related post-traumatic stress disorder (PTSD) remains a prevalent and disabling psychiatric disorder in urban areas. However, the most effective allocation of resources into prevention and treatment to reduce this problem is unknown. We contrasted the impact of two interventions on violence-related PTSD: (1) a population-level intervention intended to prevent violence (i.e., hot-spot policing), and (2) an individual-level intervention intended to shorten PTSD duration (i.e., cognitive-behavioral therapy - CBT). Methods: We used agent-based modeling to simulate violence and PTSD in New York City under four scenarios: (1) no intervention, (2) targeted policing to hot spots of violence, (3) increased access to CBT for people who suffered from violence-related PTSD, and (4) a combination of the two interventions. Results: Combined prevention and treatment produced the largest decrease in violence-related PTSD prevalence: hot-spot policing plus a 50% increase in CBT for 5 years reduced the annual prevalence of violence-related PTSD from 3.6% (95% confidence interval = 3.5%, 3.6%) to 3.4% (3.3%, 3.5%). It would have been necessary to implement hot-spot policing or to increase CBT by 200% for 10 years for either intervention to achieve the same reduction in isolation. Conclusions: This study provides an empirically informed demonstration that investment in combined strategies that target social determinants of mental illness and provide evidence-based treatment to those affected by psychiatric disorders can produce larger reductions in the population burden from violence-related PTSD than either preventive or treatment interventions alone. However, neither hot-spot policing nor CBT, alone or combined, will produce large shifts in the population prevalence of violence-related PTSD.</t>
  </si>
  <si>
    <t>This study provides an empirically informed demonstration that investment in combined strategies that target social determinants of mental illness and provide evidence-based treatment to those affected by psychiatric disorders can produce larger reductions in the population burden from violence-related PTSD than either preventive or treatment interventions alone</t>
  </si>
  <si>
    <t>SCOPUS_ID:0027787349</t>
  </si>
  <si>
    <t>10.1093/ije/22.6.1056</t>
  </si>
  <si>
    <t>Gender differential in all-cause and cardiovascular disease mortality</t>
  </si>
  <si>
    <t>Janghorbani M (Department of Public Health, University of Glasgow, Glasgow G12 8RZ, UK), Hedley A J, Jones R B, Zhianpour M and Gilmour W H. Gender differential in all-cause and cardiovascular disease mortality. InternationalJournal of Epidemiology 1993; 22; 1056-1063. The gender differential in mortality from all causes, cardiovascular disease (CVD), ischaemic heart disease (IHD) and stroke during the mean follow-up of 11.6 years (range 10-14) was examined among 4696 men and 5714 women aged 45-64 at entry in West of Scotland. Overall mortality was 19.4/1000 person-years of observation among men and 10.8/KXX) person-years among women. A multiple logistic regression model was used to control the influence of gender, along with seven other cardiovascular risk factors simultaneously. The risk factors considered were age, systolic (SBP) and diastolic blood pressure (DBP), serum cholesterol, casual blood glucose, body mass index (BMI) and cigarette smoking. Both the prevalence of risk factors and relative mortality risk associated with them differed by gender. Adjustment slightly reduced the gender differential in overall mortality from 2 to 1.9 and from 1.5 to 1.4 for stroke deaths. Multiple logistic regression increased minimally the gender differential for mortality from 2.4 to 2.8 for CVD and from 2.8 to 3.4 for IHD, suggesting that these cardiovascular risk factors do not account for the overall gender difference in mortality rates. Age, SBP, DBP, blood glucose and cigarette smoking were significant predictors of mortality for both genders. Serum cholesterol was a statistically significant predictor of CVD death only for men. Â© 1993, International Epidemiological Association.</t>
  </si>
  <si>
    <t>SCOPUS_ID:0029933963</t>
  </si>
  <si>
    <t>10.1007/BF00144421</t>
  </si>
  <si>
    <t>Unusual features in the epidemiology of Lyme borreliosis</t>
  </si>
  <si>
    <t>['Burgdorferi', 'Erythema migrans', 'Lyme borreliosis']</t>
  </si>
  <si>
    <t>In this study two cases of Lyme borreliosis are presented. First, the author describes how he contracted Lyme borreliosis 24 hours after he visited an endemic area. The second case described is that of a woman who developed Lyme borreliosis symptoms, when intestinal content of an infected tick came into contact with her conjunctiva. In both cases the diagnosis is based on clinical picture and positive serological tests. The first case shows the probability of contracting Lyme borreliosis when the duration of the tick's attachment to the skin is less than 24 hours. The second case, described demonstrates transmission of B. burgdorferi by contact.</t>
  </si>
  <si>
    <t>Bulgaria</t>
  </si>
  <si>
    <t>Abstract likley truncated</t>
  </si>
  <si>
    <t>SCOPUS_ID:84907336726</t>
  </si>
  <si>
    <t>10.1016/j.ypmed.2014.08.015</t>
  </si>
  <si>
    <t>The association of major patterns of physical activity, sedentary behavior and sleep with health-related quality of life: A cohort study</t>
  </si>
  <si>
    <t>['Health-related quality of life', 'Physical activity', 'Sedentary behavior', 'Sleep', 'Spain']</t>
  </si>
  <si>
    <t>Objective: To examine the prospective association of patterns of physical activity, sedentary behavior and sleep with health-related quality of life (HRQL) in the general population of Spain. Methods: A cohort study with 4271 individuals aged â‰¥. 18. years was recruited in 2008-2010 and followed-up prospectively through 2012. Activity patterns were derived from factor analysis. HRQL was assessed with the SF-12 questionnaire, and suboptimal HRQL was defined as a score below the sex-specific sample median. Results: Three main activity patterns were identified. A higher adherence to the pattern named "vigorous activity-seated at the computer" was inversely associated with a suboptimal score in the physical-composite summary (PCS) of the SF-12 (multivariate adjusted odds ratio [aOR] for the highest vs. the lowest quartile 0.71; 95% confidence interval [IC] 0.55-0.90; p-trend. =. 0.003). The "light activity-seated for reading" pattern was inversely associated with a suboptimal score in the mental-composite summary (aOR. =. 0.73; 95% CI. =. 0.61-0.89; p-trend. =. 0.002). However, a higher adherence to the "seated for watching TV-daytime sleeping" pattern was directly associated with suboptimal PCS (aOR. =. 1.35; 95% CI. =. 1.10-1.66; p-trend. =. 0.008). Conclusion: Patterns including any physical activity were associated with better physical or mental HRQL. However, a pattern defined by sedentary behavior with diurnal sleep showed worse HRQL and should be a priority target of preventive interventions. Â© 2014.</t>
  </si>
  <si>
    <t>Chile</t>
  </si>
  <si>
    <t>a pattern defined by sedentary behavior with diurnal sleep showed worse HRQL and should be a priority target of preventive interventions.</t>
  </si>
  <si>
    <t>SCOPUS_ID:85105814926</t>
  </si>
  <si>
    <t>10.1016/j.ypmed.2021.106617</t>
  </si>
  <si>
    <t>The value of adding a single co-test in HPV primary screening</t>
  </si>
  <si>
    <t>['Cervical intraepithelial neoplasia', 'Early detection of cancer', 'Human papillomavirus', 'Screening', 'Uterine cervical neoplasms']</t>
  </si>
  <si>
    <t>The screening program for cervical cancer in Sweden, recommends screening with HPV test primarily for women over 30 years, but at the first screening test that is performed after the age of 40, both HPV test and cytology is recommended, so-called co-testing. The aim of this study was to examine how many cases of HPV negative cervical dysplasia that were found in this age-group, to be able to estimate the value of adding a co-test in an HPV screening program. A retrospective study of all abnormal cytological samples found in the cytology based screening program in the age group 41â€“45 years during the years 2012â€“2016 in the Region of Ã–rebro County was performed. Out of the 10,511 women included in the study, 468 had an abnormal cytology screening test and 255/468 were HPV negative. The vast majority of the HPV negative cases had a normal cytology test as first follow-up. Of cases with remaining cytological abnormality, only four cases had histologically confirmed high-grade cervical dysplasia (CIN2) and no cases of HPV negative adenocarcinoma in situ or invasive cancer were found. Conclusion: With adding a single co-test to a HPV-based screening program, only a few extra cases of high-grade cervical dysplasia were found and the clinical significance of these cases is unclear.</t>
  </si>
  <si>
    <t>SCOPUS_ID:84950266705</t>
  </si>
  <si>
    <t>10.1093/aje/kwv152</t>
  </si>
  <si>
    <t>The Impact of Sparse Follow-up on Marginal Structural Models for Time-to-Event Data</t>
  </si>
  <si>
    <t>['available-case analysis', 'last observation carried forward', 'marginal structural models', 'missing data', 'multiple imputation', 'survival analysis']</t>
  </si>
  <si>
    <t>The impact of risk factors on the amount of time taken to reach an endpoint is a common parameter of interest. Hazard ratios are often estimated using a discrete-time approximation, which works well when the by-interval event rate is low. However, if the intervals are made more frequent than the observation times, missing values will arise. We investigated common analytical approaches, including available-case (AC) analysis, last observation carried forward (LOCF), and multiple imputation (MI), in a setting where time-dependent covariates also act as mediators. We generated complete data to obtain monthly information for all individuals, and from the complete data, we selected "observed" data by assuming that follow-up visits occurred every 6 months. MI proved superior to LOCF and AC analyses when only data on confounding variables were missing; AC analysis also performed well when data for additional variables were missing completely at random. We applied the 3 approaches to data from the Canadian HIV-Hepatitis C Co-infection Cohort Study (2003-2014) to estimate the association of alcohol abuse with liver fibrosis. The AC and LOCF estimates were larger but less precise than those obtained from the analysis that employed MI.</t>
  </si>
  <si>
    <t>SCOPUS_ID:63149172821</t>
  </si>
  <si>
    <t>10.2105/AJPH.2008.146571</t>
  </si>
  <si>
    <t>Psychosocial care for women survivors of the tsunami disaster in India</t>
  </si>
  <si>
    <t>Objectives. I investigated the effectiveness of Psychosocial Care, a community-based mental health initiative for survivors of the 2004 tsunami disaster in India. Methods. Mental health teams from the National Institute of Mental Health and Neurosciences (NIMHANS) in India implemented a train-the-trainer model of psychosocial care in one of the worst tsunami-affected areas of south India. Three months of psychosocial care was provided for an intervention group of women, but not for a control group recruited from an exposed neighboring village. Impact of Event Scale (IES) scores-both total scores and scores for subscales on hypervigilance, avoidance, and intrusion-were compiled for both the intervention and control groups and used as outcome measures. Results. For the intervention group, posttest total IES and subscale scores were significantly lower than pretest scores (P&lt;.001), indicating improvement in symptoms. Posttest total IES and subscale scores were significantly lower for the intervention group than for the control group (P&lt;.001). Conclusions. Psychosocial care is an effective mental health strategy for women survivors of disasters and should be an integral component of disaster response in resource-poor countries.</t>
  </si>
  <si>
    <t>should be an integral component of disaster response in resource-poor countries.</t>
  </si>
  <si>
    <t>SCOPUS_ID:0031661866</t>
  </si>
  <si>
    <t>10.2105/AJPH.88.10.1503</t>
  </si>
  <si>
    <t>Misclassification rates for current smokers misclassified as nonsmokers</t>
  </si>
  <si>
    <t>Objectives. This paper provides misclassification rates for current cigarette smokers who report themselves as nonsmokers. Such rates are important in determining smoker misclassification bias in the estimation of relative risks in passive smoking studies. Methods. True smoking status, either occasional or regular, was determined for individual current smokers in 3 existing studies of nonsmokers by inspecting the cotinine levels of body fluids. The new data, combined with an approximately equal amount in the 1992 Environmental Protection Agency (EPA) report on passive smoking and lung cancer, yielded misclassification rates that not only had lower standard errors but also were stratified by sex and US minority/majority status. Results. The misclassification rates for the important category of female workers misclassified as never smokers were, respectively, 0.8%, 6.0%, 2.8%, and 15.3% for majority regular, majority occasional, US minority regular, and US minority occasional smokers. Misclassification rates for males were mostly somewhat higher. Conclusions. The new information supports EPA's conclusion that smoker misclassification bias is small. Also, investigators are advised to pay attention to minority/majority status of cohorts when correcting for smoker misclassification bias.</t>
  </si>
  <si>
    <t>SCOPUS_ID:85033381429</t>
  </si>
  <si>
    <t>10.1016/j.ypmed.2017.10.035</t>
  </si>
  <si>
    <t>Modifiable predictors of insufficient sleep durations: A longitudinal analysis of youth in the COMPASS study</t>
  </si>
  <si>
    <t>['Adolescents', 'Bullying', 'Longitudinal', 'Screen use', 'Sleep', 'Sleep duration', 'Youth']</t>
  </si>
  <si>
    <t>The purpose of the current study was to simultaneously examine commonly proposed risk and protective factors for sleep deprivation over time among a large cohort of Ontario and Alberta secondary school students. Using 4-year linked longitudinal data from youth in years 1 through 4 (Y1[2012/2013], Y2[2013/2014], Y3[2014/2015], Y4[2015/2016]) of the COMPASS study (n = 26,205), the likelihood of students meeting contemporary sleep recommendations was tested based on their self-reported substance use, bullying victimization, physical activity, and homework and screen time. Models controlled for the effect of student-reported gender, race/ethnicity, grade, school clustering, and all other predictor variables. Relative to baseline, students became less likely to meet the sleep recommendations if at follow-up they had initiated binge drinking, experienced cyber bullying victimization, or were spending more time doing homework, with other factors held constant. The likelihood of reporting sufficient sleep increased if students had begun engaging in resistance training at least three times a week. No longitudinal effect was observed when students increased their caffeine consumption (energy drinks, coffee/tea), initiated cannabis or tobacco use, experienced other forms of bullying victimization (physical, verbal, or belongings), engaged in more moderate-vigorous physical activity, or increased their screen use of any type. Few of the commonly purported modifiable risk and protective factors for youth sleep deprivation held in multinomial longitudinal analyses. Causal conclusions appear premature, with further research required to confirm the targets likely to be most effective in assisting more youth in meeting the sleep recommendations.</t>
  </si>
  <si>
    <t>SCOPUS_ID:85014802814</t>
  </si>
  <si>
    <t>10.1093/aje/kww129</t>
  </si>
  <si>
    <t>Improving estimates of numbers of children with severe acute malnutrition using cohort and survey data</t>
  </si>
  <si>
    <t>['Disease burden', 'Incidence', 'Malnutrition', 'Prevalence', 'Severe acute malnutrition']</t>
  </si>
  <si>
    <t>Severe acute malnutrition (SAM) is reported to affect 19 million children worldwide. However, this estimate is based on prevalence data from cross-sectional surveys and can be expected to miss some children affected by an acute condition such as SAM. The burden of acute conditions is more appropriately represented by cumulative incidence data. In the absence of incidence data, a method for burden estimation has been proposed that corrects available prevalence estimates to account for incident cases using an "incidence correction factor." We used data from 3 West African countries (Mali, Niger, and Burkina Faso, 2009-2012) to test the hypothesis that a single incidence correction factor may be used for estimation of SAM burden. We estimated the incidence correction factor and performed meta-analysis to calculate summary estimates for each country and for all 3 countries. Heterogeneity between countries and years was assessed using the I2 statistic. We estimated a pooled incidence correction factor of 4.82 (95% confidence interval: 3.15, 7.38), although there was substantial between-country heterogeneity (I2 = 69%). Knowing how many children in a particular area will be malnourished is fundamental to planning an effective operational response. Our results show that the incidence correction factor varies widely and suggest that estimating the burden of SAM with a common incidence correction factor is unlikely to be adequate.</t>
  </si>
  <si>
    <t>SCOPUS_ID:85153610705</t>
  </si>
  <si>
    <t>10.1016/j.amepre.2023.03.006</t>
  </si>
  <si>
    <t>Effectiveness of the National Diabetes Prevention Program After Gestational Diabetes</t>
  </si>
  <si>
    <t>Introduction: Women with previous gestational diabetes are at high risk of developing Type 2 diabetes. The National Diabetes Prevention Program (NDPP) is a widely disseminated lifestyle intervention to prevent Type 2 diabetes. Although NDPP programs are open to adults of any age, participants are usually older adults. Effectiveness among younger women with previous gestational diabetes is largely unknown. Methods: The NDPP was delivered by lifestyle coaches in a large network of Federally Qualified Health Centers. Reach, retention, physical activity, and weight loss outcomes were compared between women aged &lt;40 years with previous gestational diabetes and all other participants. Data were collected from 2013 to 2019 and analyzed in 2022. Results: Among 2,865 enrollees who agreed to start the yearlong NDPP, 63.3% were Latinx, 18.8% were non-Latinx Black, and 16.4% were non-Latinx White. Younger women with previous gestational diabetes represented &lt;4% (n=107) of participants. There was no significant difference in the frequency of attending â‰¥1 NDPP session between these women and all other participants (37.4% vs 44.6%; p=0.146). However, among those attending â‰¥1 session (n=1,265), younger women with previous gestational diabetes attended more (11.27 Â± 1.27 vs 8.50 Â± 0.22 sessions, p=0.021) and had greater weight loss (3.04% Â± 0.59 vs. 1.49% Â± 0.11, p=0.010) in covariate-adjusted models than other participants. Conclusions: Diverse younger women with previous gestational diabetes attending the NDPP had one third greater attendance and twice as much weight loss as other NDPP participants but represented a much smaller proportion of enrollees. Thus, the NDPP appears to be a beneficial but underutilized resource for this high-risk population.</t>
  </si>
  <si>
    <t>SCOPUS_ID:85203007053</t>
  </si>
  <si>
    <t>10.1016/j.ypmed.2024.108125</t>
  </si>
  <si>
    <t>Relationship between participation in projects of incentives to promote walking and healthy aging among the older population: A four-year longitudinal study</t>
  </si>
  <si>
    <t>['Actigraphy feedback', 'Healthy life expectancy', 'Incentives', 'Long-term care', 'Motivation', 'Risk ratio']</t>
  </si>
  <si>
    <t>Objective: This study aimed to evaluate the association between the Yokohama Walking Point Program, which promotes walking through feedback on step counts and incentives, and the extension of healthy life expectancy. Methods: A total of 4298 individuals aged over 65 years who responded to the 2013 and 2016 surveys and who were not certified as needing long-term care in 2016 were included in this study. The participants were categorized into â€œnon-participation,â€ â€œparticipation without uploading,â€ and â€œparticipation with uploadingâ€ groups based on their involvement and uploading of pedometer data. The objective variable was the occurrence of long-term care certification and deaths over the subsequent four years. A modified Poisson regression model was applied, adjusting for 15 variables before project initiation. Results: A total of 440 participants (10.2 %) were included in the â€œparticipation with uploadingâ€ group and 206 (4.8 %) in the â€œparticipation without uploadingâ€ group. Compared with â€œnon-participation,â€ the risk ratio was 0.77 (95 % confidence interval (CI): 0.59â€“0.99) for â€œparticipation with uploadingâ€ and 1.02 (95 % CI: 0.75â€“1.38) for â€œparticipation without uploadingâ€. In the sensitivity analysis censoring death as an inapplicable outcome and considering functional decline, participation with uploading showed a risk ratio of 0.79 (95 % CI: 0.60â€“1.04) for the likelihood of functional decline. Conclusions: The use of pedometers and health point programs based on walking activity is associated with enhancing the health of older individuals participating in the program, representing a population-centric strategy targeting all citizens.</t>
  </si>
  <si>
    <t>SCOPUS_ID:85041402164</t>
  </si>
  <si>
    <t>10.1016/j.ypmed.2018.01.017</t>
  </si>
  <si>
    <t>Internet little cigar and cigarillo vendors: Surveillance of sales and marketing practices via website content analysis</t>
  </si>
  <si>
    <t>['Cigars', 'Internet', 'Tobacco', 'Tobacco Industry', 'Tobacco Products']</t>
  </si>
  <si>
    <t>Introduction: Cigar sales have nearly doubled as cigarette sales have dropped, and large cigars have been replaced by little cigars and cigarillos (LCCs). Many LCCs are flavored, are perceived as less harmful than cigarettes, and have become increasingly available from e-commerce sources. We conducted surveillance of the online retail environment in 2013 and 2014 for LCCs in order to describe characteristics of Internet tobacco vendors selling LCCs and their sales and marketing practices, youth access practices, and their practices in relation to cigarette and other tobacco product sales. Methods: In 2013, we identified and manually screened 32,446 websites, yielding 500 unique Internet LCC vendors. In 2014, we identified 511 vendors selling LCCs from a list of 31,239 manually screened websites. We then selected 249 in 2013 and 263 in 2014 for content analysis focusing on six domains including demographics, youth access, payment and delivery, products for sale, promotions and claims, and prices. Results: Just over half of vendors in both years were located solely in the U.S. with 70.1% of those selling flavored LCCs in 2013 and 76.1% in 2014. Nearly half only used proven ineffective age verification strategies and another 10% made no attempts to verify age at all. Most vendors accepted credit cards and advertised using the United States Postal Service. Half of vendors featured a variety of health warnings and most featured promotions. Conclusions: Federal bans on flavored cigarettes and restrictions on age verification, payment, and shipping for Internet tobacco sales should be extended to include LCCs.</t>
  </si>
  <si>
    <t>Federal bans on flavored cigarettes and restrictions on age verification, payment, and shipping for Internet tobacco sales should be extended to include LCCs.</t>
  </si>
  <si>
    <t>SCOPUS_ID:0028032014</t>
  </si>
  <si>
    <t>10.1093/oxfordjournals.aje.a116980</t>
  </si>
  <si>
    <t>Prevalence of low birth weight among hispanic infants with united states-born and foreign-born mothers: The effect of urban poverty</t>
  </si>
  <si>
    <t>['Birth weight', 'Hispanic Americans', 'Poverty']</t>
  </si>
  <si>
    <t>Although Hispanics are a poorly educated and medically underserved minority, the incidence of low birth weight (less than 2,500 g) Hispanic infants is similar to that of non-Hispanic whites. The authors used 1982-1983 Illinois vital records and 1980 US census income data to determine the contribution of maternal nativity and place of residence to this epidemiologic paradox. The proportion of low birth weight Hispanic (n = 22,892) infants ranged from 4.3% for Mexicans to 9.1% for Puerto Ricans. Maternal age, education, trimester of prenatal care initiation, and place of residence were associated with the prevalence of low birth weight infants among Puerto Rican but not foreign-born Mexican or Central-South American mothers. In very low-income (less than $10,000/year) census tracts, Mexican and other Hispanic infants with US-born mothers had low birth weight rates of 14 and 15%, respectively. In contrast, Mexican and other Hispanic infants with foreign-born mothers who resided in these areas had low birth weight rates of 3 and 7%, respectively. In a logistic model that included only impover ished infants, the adjusted odds ratio of low birth weight for those with US-born mothers equalled 6.3 (95 percent confidence interval 2.3-16.9). The authors conclude that urban poverty is negatively associated with Hispanic birth weight only when the mother is Puerto Rican or a US-born member of another subgroup. Â© 1994 by The Johns Hopkins University School of Hygiene and Public Health.</t>
  </si>
  <si>
    <t>SCOPUS_ID:85148892048</t>
  </si>
  <si>
    <t>10.1016/j.amepre.2023.01.039</t>
  </si>
  <si>
    <t>Spillover After Mammography Guideline Change: Evidence From State-Level Trends</t>
  </si>
  <si>
    <t>Introduction: Changes to which age groups are recommended for mammography may have affected screening rates for all women. This spillover effect has not previously been shown empirically in a national sample. Methods: Using data from the Centers for Disease Control and Prevention's Behavioral Risk Factor Surveillance System from 2002 to 2018, authors tested whether screening trends at a national level changed after the 2009 U.S. Preventive Services Task Force guideline change. The authors also tested whether state-level screening trends for women aged 40â€“49 years and 75+ years were associated with screening trends for women aged 50â€“74 years. Analyses were conducted in Marchâ€“December 2022. Results: In a model predicting state-level trends in screening for women aged 50â€“74 years, authors find positive, statistically significant associations with screening trends for women aged 40â€“49 years (p=0.033) and for women aged 75+ years (p&lt;0.001). Conclusions: Deimplementation is difficult and important for controlling healthcare spending and delivering high value care. However, states most successful at reducing mammography screening rates among those aged 40â€“49 years and 75+ years also had greater reductions in recommended screening among women aged 50â€“74 years. More work is needed to understand and mitigate the unintended consequences of deimplementation.</t>
  </si>
  <si>
    <t>SCOPUS_ID:84868300097</t>
  </si>
  <si>
    <t>10.1016/j.ypmed.2012.08.021</t>
  </si>
  <si>
    <t>Relationship between physical activity and general mental health</t>
  </si>
  <si>
    <t>['Cross-sectional', 'Dose-response', 'Exercise', 'Health Information National Trends Survey', 'HINTS', 'Mental health', 'Physical activity', 'Population']</t>
  </si>
  <si>
    <t>Purpose: We investigated the relationship between physical activity and mental health and determined the optimal amount of physical activity associated with better mental health. Method: Self-reported data from a national random sample of 7674 adult respondents collected during the 2008 U.S. Health Information National Trends 2007 Survey (HINTS) were analyzed in 2012. Mental health was plotted against the number of hours of physical activity per week using a fractional 2-degree polynomial function. Demographic and physical health factors related to poorer mental health were examined. The optimal range of physical activity associated with poorer mental health was examined by age, gender, and physical health. Results: A curvilinear association was observed between physical activity and general mental health. The optimal threshold volume for mental health benefits was of 2.5 to 7.5. h of weekly physical activity. The associations varied by gender, age, and physical health status. Individuals who engaged in the optimal amount of physical activity were more likely to have reported better mental health (odds ratio=1.39, p=0.006). Conclusions: This study established a hyperbolic dose-response relationship between physical activity and general mental health, with an optimal range of 2.5 to 7.5. h of physical activity per week. Â© 2012 Elsevier Inc.</t>
  </si>
  <si>
    <t>SCOPUS_ID:8544255516</t>
  </si>
  <si>
    <t>10.1023/A:1007369203648</t>
  </si>
  <si>
    <t>Awareness, treatment and control of hyperlipidaemia, hypertension and diabetes mellitus in a selected population of southern Italy</t>
  </si>
  <si>
    <t>['Atherosclerosis', 'Awareness', 'Diabetes Mellitus', 'Hyperlipidaemia', 'Hypertension']</t>
  </si>
  <si>
    <t>The purpose of the present study was to assess the degree of awareness, treatment and control of hyperlipidaemia compared with hypertension and diabetes mellitus in a selected population of southern Italy. All participants to a cardiovascular disease prevention campaign examined between April 1994 and July 1995 were screened for hyperlipidaemia, hypertension and diabetes mellitus. Subjects received also ECG, echo-Doppler of carotid arteries and filled in a questionnaire concerning personal and familial cardiovascular diseases, smoking habit and drug consumption. Of the 742 participants, 327 were found to have hypertension, 73 to have diabetes mellitus, 287 to have mild hyperlipidaemia and 322 to have moderate-severe hyperlipidaemia. Among hypertensive subjects, 60.2% were aware of their condition, 53.5% were treated and 15.6% had their blood pressure controlled at the recommended level(&lt; 140/90 mmHg). Among diabetic subjects, 76.7% were aware, 64.4% treated and 19.2% reached fasting blood glucose level of less than 7.77 mmol/l (140 mg/dl). Only 24.0% of subjects with mild hyperlipidaemia were aware of their condition. Of the subjects found to have moderate-severe hyperlipidaemia, 64.9% were aware, 32.3% were treated and 9.0% had plasma cholesterol and triglycerides concentration of less than 6.45 and 5.65 mmol/l (250 and 500 mg/dl), respectively (cutoffs chosen to separate mild from moderate-severe hyperlipidaemia). These results show that mild hyperlipidaemia is almost neglected whereas awareness of moderate-severe hyperlipidaemia is quite widespread and comparable to that of hypertension and diabetes mellitus. Prevalence of treatment and control of moderate- severe hyperlipidaemia is, however, much lower than that of hypertension and diabetes.</t>
  </si>
  <si>
    <t>Italy</t>
  </si>
  <si>
    <t>SCOPUS_ID:0027319802</t>
  </si>
  <si>
    <t>10.1016/s0749-3797(18)30729-3</t>
  </si>
  <si>
    <t>Cost-effectiveness of two nurse-led programs to teach breast self- examination</t>
  </si>
  <si>
    <t>The cost-effectiveness of breast cancer screening that includes breast self-examination (BSE) has not been investigated, in part because the costs and effects of programs to teach BSE are not well known. I used data from a randomized, controlled trial and national surveys to compare the benefit, cost, and cost-effectiveness of two one-year, nurse-led programs to teach BSE in a medical practice setting. One program (Mammacare, or MAM) used manufactured silicone models to develop tactile skills; the other program (Traditional, or TRAD) stressed knowledge and examination techniques. I defined benefit as the marginal one-year increase in the number of women in an 'average' adult primary care office practice who performed competent and frequent BSE. I defined cost as the marginal increase in the resources used to teach BSE and in the resources used as a result of performing BSE. Cost- effectiveness equaled the cost per competent, frequent BSE examiner added. The 'average' practice was derived based on estimates from national surveys of physicians and medical practices. The MAM program's benefit was fivefold greater than the TRAD program's; its total cost was more than threefold greater; and its cost per competent, frequent examiner added was 32% lower. Yet, regardless of the program, one year following teaching only 15%-28% of women were competent, frequent performers. Cost-effectiveness was sensitive to the definition of benefit. When benefit criteria were relaxed, the TRAD program's cost per additional competent, frequent examiner decreased dramatically and was 52% lower than that of the MAM program. Cost- effectiveness was also sensitive to some costs, but generally these sensitivities did not alter the relative cost-effectiveness of the two programs. The cost of teaching BSE was substantial. Benefit, cost, and cost- effectiveness varied by program. Cost and cost-effectiveness analyses need to be incorporated into analyses of the appropriateness of including BSE in breast cancer screening.</t>
  </si>
  <si>
    <t>I read this as a methodological recommendation rather than a policy recommendation</t>
  </si>
  <si>
    <t>SCOPUS_ID:0025031812</t>
  </si>
  <si>
    <t>10.1097/00001648-199001000-00010</t>
  </si>
  <si>
    <t>No adjustments are needed for multiple comparisons</t>
  </si>
  <si>
    <t>['Multiple comparisons', 'Null hypothesis', 'Significance testing', 'Statistics']</t>
  </si>
  <si>
    <t>Adjustments for making multiple comparisons in large bodies of data are recommended to avoid rejecting the null hypothesis too readily. Unfortunately, reducing the type I error for null associations increases the type II error for those associations that are not null. The theoretical basis for advocating a routine adjustment for multiple comparisons is the â€œuniversal null hypothesisâ€ that â€œchanceâ€ serves as the first-order explanation for observed phenomena. This hypothesis undermines the basic premises of empirical research, which holds that nature hollows regular laws that may he studied through observations. A policy of not making adjustments for multiple comparisons is preferable because it will lead to fewer errors of interpretation when the data under evaluation are not random numbers but actual observations on nature. Furthermore, scientists should not he so reluctant to explore leads that may turn out to he wrong that they penalize themselves by missing possibly important findings. Â© 1990 Epidemiology Resources Inc.</t>
  </si>
  <si>
    <t>Unknown</t>
  </si>
  <si>
    <t>A policy of not making adjustments for multiple comparisons is preferable because it will lead to fewer errors of interpretation when the data under evaluation are not random numbers but actual observations on nature</t>
  </si>
  <si>
    <t>SCOPUS_ID:79953168900</t>
  </si>
  <si>
    <t>10.1016/j.ypmed.2010.07.006</t>
  </si>
  <si>
    <t>Evaluation of policies to promote physical activity in afterschool programs: Are we meeting current benchmarks?</t>
  </si>
  <si>
    <t>['Adolescents', 'Benchmark', 'Children', 'Moderate-to-vigorous']</t>
  </si>
  <si>
    <t>Background: Policies now recommend afterschool programs (ASP, 3-6 pm) provide children a minimum amount of physical activity daily. We examined the extent to which children attending ASPs meet existing national and state-level policies that specify expected levels of physical activity (PA). Methods: Accelerometer-derived physical activity (light and moderate-to-vigorous, MVPA) of 253 children (5-13 years) was compared to policies that recommend varying amounts of PA children should achieve during an ASP. Results: The proportion of children achieving a policy ranged from 0.0% (California 60 min MVPA and North Carolina 20% of daily program time devoted to MVPA), 1.2% (California 30 min MVPA), to 48.2% (National Afterschool Association 30 min light plus MVPA). Random effects logistic models indicated boys (odds ratio [OR] range 2.0 to 6.27) and children from a minority background (Black/Hispanic, OR range 1.87 to 3.98) were more likely to achieve a recommended level of physical activity, in comparison to girls and White children. Neither age nor BMI were related to achieving a policy. Conclusions: The PA of children attending ASP falls below policy recommended levels; however, these policies were developed in absence of data on expected PA levels during ASPs. Thus, concerted effort towards building a stronger ASP evidence-base for policy refinement is required. Â© 2010 Elsevier Inc.</t>
  </si>
  <si>
    <t>Thus, concerted effort towards building a stronger ASP evidence-base for policy refinement is required</t>
  </si>
  <si>
    <t>SCOPUS_ID:85152168730</t>
  </si>
  <si>
    <t>10.1136/jech-2022-220009</t>
  </si>
  <si>
    <t>Gender identity and sexual orientation: A glossary</t>
  </si>
  <si>
    <t>['Gender Identity', 'Health inequalities', 'Public Health', 'Sexual Health']</t>
  </si>
  <si>
    <t>Gender and sexually diverse populations remain understudied and under-represented in research. This is attributable not only to significant and ongoing data collection limitations, where large population-based studies fail to ask adequate questions around gender and sexuality, but also due to continuously evolving terminology in this space. This glossary takes a preliminary step in rectifying these issues by defining and clarifying the application and understanding of key terms related to gender, gender identity, expression and sexuality. In doing so, this glossary provides a point of reference for understanding key differences in gender and sexually diverse terminology to (1) help guide researchers and practitioners in the use and understanding of terms and (2) facilitate the utility of more respectful, inclusive and consistent language application across the public health arena.</t>
  </si>
  <si>
    <t>SCOPUS_ID:84894083669</t>
  </si>
  <si>
    <t>10.2105/AJPH.2013.301600</t>
  </si>
  <si>
    <t>Suicidal ideation among community-dwelling adults in the United States</t>
  </si>
  <si>
    <t>Objectives. We examined the prevalence and correlates of past-year suicidal ideation among US community-dwelling adults. Methods. We examined data from 183 100 persons aged 18 years or older (including 9800 sampled adults with past-year suicidal ideation) who participated in the 2008-2011 National Survey on Drug Use and Health. We applied descriptive analyses and pooled and stratified (by age and major depression) multivariate logistic regression models. Results. The prevalence of past-year suicidal ideation among younger adults (6.6% among those aged 18-25 years and 4.0% among those aged 26-49 years)was higher than was that among adults aged 50 years or older (2.5%). The prevalence of suicidal ideation was high among adults with major depression (26.3%), adults with both major depression and substance use disorder (37.7%), and adults who received mental health treatment but perceived unmet treatment need (33.5%). Conclusions. Many risk and protective factors of suicidal ideation are dynamic and vary by age or major depression. These results have important implications for developing specific suicide prevention strategies that help screen, assess, and treat suicidal adults at the earliest possible time.</t>
  </si>
  <si>
    <t>These results have important implications for developing specific suicide prevention strategies that help screen, assess, and treat suicidal adults at the earliest possible time</t>
  </si>
  <si>
    <t>SCOPUS_ID:84945476876</t>
  </si>
  <si>
    <t>10.1016/j.amepre.2015.04.019</t>
  </si>
  <si>
    <t>Measles, Mumps, and Rubella Titers in Air Force Recruits: Below Herd Immunity Thresholds?</t>
  </si>
  <si>
    <t>Introduction Preventable diseases like measles and mumps are occurring with increasing frequency in the U.S. despite the availability of an effective vaccine. Given concern that an outbreak may occur among military recruits, we compared serologic evidence of immunity to measles, mumps, and rubella among military recruits with known herd immunity thresholds and determined whether the current Department of Defense policy of presuming mumps immunity based on measles and rubella titers is reliable. Methods Serum antibody levels for measles, mumps, and rubella were obtained from all new recruits upon arrival at Joint Base San Antonio-Lackland, Texas, from 25 April 2013 through 24 April 2014. Seroprevalence of each disease was assessed by age and sex, and concordance between mumps titers and measles and rubella titers was calculated. Data analysis was performed in 2014-2015. Results Among 32,502 recruits, seroprevalences for measles, mumps, and rubella antibodies were 81.6%, 80.3%, and 82.1%, respectively. Of the 22,878 recruits seropositive for both measles and rubella antibodies, 87.7% were also seropositive for mumps. Conclusions Seroprevalences for measles, mumps, and rubella antibodies among a large cohort of recruits entering U.S. Air Force basic training were generally lower than levels required to maintain herd immunity. In order to reduce the incidence of mumps infections, the Department of Defense should consider obtaining antibody titers for measles, mumps, and rubella and vaccinating all individuals susceptible to one or more of the viruses.</t>
  </si>
  <si>
    <t>In order to reduce the incidence of mumps infections, the Department of Defense should consider obtaining antibody titers for measles, mumps, and rubella and vaccinating all individuals susceptible to one or more of the viruses.</t>
  </si>
  <si>
    <t>SCOPUS_ID:0031706171</t>
  </si>
  <si>
    <t>10.1136/jech.52.10.645</t>
  </si>
  <si>
    <t>Reproductive factors and fatal hip fractures. A Norwegian prospective study of 63,000 women</t>
  </si>
  <si>
    <t>Study objective - The aim of the study was to investigate the impact of reproductive variables (age at menarche, menopause, first and last birth as well as parity, lactation, and abortions) on hip fracture mortality. Design and setting - A prospective study in Norway with more than 60,000 women followed up for 29 years. A total of 465 deaths as a result of hip fracture were recorded. Main results - Statistically significant linear relations (p â‰¤ 0.02) were found between both age at menarche and length of reproductive period (defined as age at menopause to age at menarche) and the mortality of hip fractures in women aged less than 80. The death rate for women with a late menarche (â‰¤ 17 years) was twice that of the women with relatively early menarche (â‰¤ 13 years). Compared with women with less than 30 years between menopause and menarche, the mortality rate ratio in women with more than 38 reproductive years was 0.5. We also found an inverse relation with age at first birth. Conclusions - This study supports the hypothesis that an early menarche and a long reproductive period protect against hip fracture mortality. High age at first birth may also be protective.</t>
  </si>
  <si>
    <t>Norway</t>
  </si>
  <si>
    <t>SCOPUS_ID:0033795188</t>
  </si>
  <si>
    <t>10.2105/AJPH.90.10.1526</t>
  </si>
  <si>
    <t>Childhood mortality impact and costs of integrating vitamin A supplementation into immunization campaigns</t>
  </si>
  <si>
    <t>Country-specific activity and coverage data were used to estimate the childhood mortality impact (deaths averted) and costs of integrating vitamin A supplements into immunization campaigns conducted in 1998 and 1999. More than 94 million doses of vitamin A were administered in 41 countries in 1998, helping to avert nearly 169 000 deaths. During 1999, delivery of more than 97 million doses in 50 countries helped avert an estimated 242 000 deaths. The estimated incremental cost per death averted was US $72 (range: 36-142) in 1998 and US $64 (range: 32-126) in 1999. The estimated average total cost of providing supplementation per death averted was US $310 (range: 157-609) in 1998 and US $276 (range: 139-540) in 1999. Costs per death averted varied by campaign, depending on the number and proportion of the child population reached, number of doses received per child, and child mortality rates.</t>
  </si>
  <si>
    <t>SCOPUS_ID:37249052337</t>
  </si>
  <si>
    <t>10.1093/eurpub/ckm036</t>
  </si>
  <si>
    <t>Alcohol drinking, consumption patterns and breast cancer among Danish nurses: A cohort study</t>
  </si>
  <si>
    <t>['Alcohol', 'Breast cancer', 'Drinking pattern']</t>
  </si>
  <si>
    <t>Background: The aim of this study was to analyse the impact of alcohol intake and drinking pattern on the risk of breast cancer. Methods: A total of 17 647 nurses were followed from 1993 until the end of 2001. At baseline participants completed a questionnaire on alcohol intake and other lifestyle-related factors. Data were analysed using Cox's proportional hazard model. Results: During follow-up 457 women were diagnosed with breast cancer. The relative risk of breast cancer was 2.30 [Confidence interval (CI): 1.56-3.39] for alcohol intake of 22-27 drinks per week, compared to 1-3 drinks per week. Among alcohol consumers, weekly alcohol intake increased the risk of breast cancer with 2% for each additional drink consumed. Weekend consumption increased the risk with 4% for each additional drink consumed friday through sunday. Binge drinking of 4-5 drinks the latest weekday increased risk with 55%, compared with consumption of one drink. A possible threshold in risk estimates was found for consumption above 27 drinks per week. Conclusions: For alcohol consumption above the intake most frequently reported, the risk of breast cancer is increased. The risk is minor for moderate levels but increases for each additional drink consumed during the week. Weekend consumption and binge drinking imply an additional increase in breast cancer risk. Â© The Author 2007. Published by Oxford University Press on behalf of the European Public Health Association. All rights reserved.</t>
  </si>
  <si>
    <t>SCOPUS_ID:84888263427</t>
  </si>
  <si>
    <t>10.2105/AJPH.2013.301632</t>
  </si>
  <si>
    <t>New to care: Demands on a health system when homeless veterans are enrolled in a medical home model</t>
  </si>
  <si>
    <t>Objectives. We compared service use among homeless and nonhomeless veterans newly enrolled in a medical home model and identified patterns of use among homeless veterans associated with reductions in emergency department (ED) use. Methods. We used case-control matching with a nested cohort analysis to measure 6-month health services use, new diagnoses, and care use patterns in veterans at the Providence, Rhode Island, Veterans Affairs Medical Center from 2008 to 2011. Results. We followed 127 homeless and 106 nonhomeless veterans. Both groups had similar rates of chronic medical and mental health diagnoses; 25.4% of the homeless and 18.1% of the nonhomeless group reported active substance abuse. Homeless veterans used significantly more primary, mental health, substance abuse, and ED care during the first 6 months. Homeless veterans who accessed primary care at higher rates (relative risk ratio [RRR] = 1.46; 95% confidence interval [CI] = 1.11, 1.92) or who used specialty and primary care (RRR = 10.95; 95% CI = 1.58, 75.78) had reduced ED usage. Homeless veterans in transitional housing or doubled-up at baseline (RRR = 3.41; 95% CI = 1.24, 9.42) had similar reductions in ED usage. Conclusions. Homeless adults had substantial health needs when presenting for care. High-intensity primary care and access to specialty care services could reduce ED use.</t>
  </si>
  <si>
    <t>High-intensity primary care and access to specialty care services could reduce ED use.</t>
  </si>
  <si>
    <t>SCOPUS_ID:85083882682</t>
  </si>
  <si>
    <t>10.1093/aje/kwz284</t>
  </si>
  <si>
    <t>Hospital Records of Pain, Fatigue, or Circulatory Symptoms in Girls Exposed to Human Papillomavirus Vaccination: Cohort, Self-Controlled Case Series, and Population Time Trend Studies</t>
  </si>
  <si>
    <t>['epidemiologic research design', 'papillomavirus', 'vaccination', 'vaccines']</t>
  </si>
  <si>
    <t>Human papillomavirus (HPV) vaccination has been associated with subsequent diffuse symptoms in girls, reducing public confidence in the vaccine. We examined whether girls have nonspecific outcomes of HPV vaccination, using triangulation from cohort, self-controlled case series (SCCS), and population time trend analyses carried out in Denmark between 2000 and 2014. The study population consisted of 314,017 HPV-vaccinated girls and 314,017 age-matched HPV-unvaccinated girls (cohort analyses); 11,817 girls with hospital records (SCCS analyses); and 1,465,049 girls and boys (population time trend analyses). The main outcome measures were hospital records of pain, fatigue, or circulatory symptoms. The cohort study revealed no increased risk among HPV vaccine-exposed girls, with incidence rate ratios close to 1.0 for abdominal pain, nonspecific pain, headache, hypotension/syncope, tachycardia (including postural orthostatic tachycardia syndrome), and malaise/fatigue (including chronic fatigue syndrome). In the SCCS analyses, we observed no association between HPV vaccination and subsequent symptoms. In time trend analyses, we observed a steady increase in these hospital records in both girls and (HPV-unvaccinated) boys, with no relationship to the 2009 introduction of HPV vaccine to Denmark's vaccination program. This study, which had nationwide coverage, showed no evidence of a causal link between HPV vaccination and diffuse autonomic symptoms leading to hospital contact.</t>
  </si>
  <si>
    <t>SCOPUS_ID:84959479353</t>
  </si>
  <si>
    <t>10.1016/j.amepre.2015.07.012</t>
  </si>
  <si>
    <t>Lifestyle Intervention for People with Severe Obesity and Serious Mental Illness</t>
  </si>
  <si>
    <t>Introduction People with serious mental illness experience elevated severe obesity rates, yet limited evidence documents whether lifestyle intervention participation can benefit these individuals. This study examined the impact of the In SHAPE lifestyle intervention on weight loss among participants with serious mental illness and severe obesity (BMI â‰¥40) compared with participants who are overweight (BMI 25 to &lt;30) and have class I (BMI 30 to &lt;35) or class II (BMI 35 to &lt;40) obesity. Methods Data were combined from three trials of the 12-month In SHAPE intervention for individuals with serious mental illness collected between 2007 and 2013 and analyzed in 2014. In SHAPE includes individual weekly meetings with a fitness trainer, a gym membership, and nutrition education. The primary outcome was weight loss. Secondary outcomes were fitness, blood pressure, lipids, and program adherence. Results Participants (N=192) were diagnosed with schizophrenia spectrum (53.1%) or mood (46.9%) disorders. At 12 months, the overall sample showed significant weight loss, but differences among BMI groups were not significant (severe obesity, 2.57% [7.98%]; class II, 2.26% [8.69%]; class I, 1.05% [6.86%]; overweight, 0.83% [7.62%]). One third of participants with severe obesity achieved â‰¥5% weight loss, which was comparable across groups. More participants with severe obesity achieved â‰¥10% weight loss (20%) than overweight (2.9%, p=0.001) and class I (5.9%, p&lt;0.001), but not class II (17.8%, p=0.974), obesity groups. Conclusions People with severe obesity and serious mental illness benefit similarly to those in lower BMI groups from lifestyle intervention participation.</t>
  </si>
  <si>
    <t>SCOPUS_ID:0030957690</t>
  </si>
  <si>
    <t>10.1097/00001648-199707000-00010</t>
  </si>
  <si>
    <t>Risk factors for work-related violent victimization</t>
  </si>
  <si>
    <t>['Case-control study', 'Ethnicity', 'Gender', 'Nonfatal', 'Occupational', 'Public health', 'Race', 'Violence', 'Work-related']</t>
  </si>
  <si>
    <t>This case-control study used the National Crime Victimization Survey database (a national sample of housing addresses) to examine sociodemographic risk factors for becoming a victim of work-related robbery and assault. Cases (N = 267) reported having been violently victimized in the previous 6 months. Controls (N = 1.783) were chosen from all nonvictims of violent crime at the end of the 6-month period. Risk factors varied by type of victimization, and differences were evident between men and women. Men less than 45 years of age had an increased risk for assault [odds ratio (OR) = 2.0-2.7], compared with those 55 years of age and older; and those with a family income of less than $40,000 had an increased risk for assault (OR = 1.7-1.9), compared with those having a family income of $50,000 or more. We found a decreased risk for those with a high school education (OR = 0.6), compared with those with some college education. For women, an increased risk was seen for ages 16-18 years (OR = 3.3) and 25-34 years (OR = 2.3), compared with those 55 years of age or older. Women who were divorced or separated (OR = 4.4) and never-married (OR = 2.1) were at higher risk than women who were married. We found a decreased risk for nonwhites (OR = 0.5), compared with whites.</t>
  </si>
  <si>
    <t>Abstract likely truncated</t>
  </si>
  <si>
    <t>truncated abstract</t>
  </si>
  <si>
    <t>SCOPUS_ID:0030972541</t>
  </si>
  <si>
    <t>10.1093/oxfordjournals.aje.a009170</t>
  </si>
  <si>
    <t>Families and natural history of lipids in childhood: An 18-year follow- up study</t>
  </si>
  <si>
    <t>['adolescence', 'family', 'lipids', 'natural history']</t>
  </si>
  <si>
    <t>The natural history of total cholesterol and lipoprotein cholesterol in offspring was studied in relation to total cholesterol levels in their parents in the Epidemiological Prevention Study of Zoetermeer (EPOZ). All residents of 5 or more years who were living in two districts in the Dutch town of Zoetermeer were invited to participate in a study on indicators for chronic diseases between 1975 and 1978. In a random sample of 483 youngsters who were 5-19 years old, yearly measurements of cardiovascular risk factors were performed during a follow-up period of 18 years (average follow-up, 13.8 years). Total and subfraction cholesterol levels in offspring during follow- up were studied by tertiles of age-adjusted total cholesterol in their parents. Total and low density lipoprotein (LDL) cholesterol levels measured from childhood into young adulthood differed significantly between offspring whose fathers were in the highest total cholesterol tertile compared with those whose fathers were in the lowest tertile, amounting to 0.4 mmol/liter for total cholesterol and 0.5 mmol/liter for LDL cholesterol. Offspring differences by maternal tertiles amounted to 0.5 mmol/liter for total cholesterol and 0.6 mmol/liter for LDL cholesterol. Offspring (n = 53) with both parents in the upper cholesterol fertile had almost 1 mmol/liter higher cholesterol levels compared with offspring (n = 51) with both parents in the lowest tertile, whereas offspring (n = 48) with both parents in the middle tertile had intermediate levels. Differences remained after adjustment for sex, Quetelet index, systolic and diastolic blood pressure, and use of alcohol, cigarettes, and oral contraceptives. Offspring group differences in total and LDL cholesterol were already present in childhood and persisted into young adulthood. There was no clear relation between offspring change in cholesterol levels and parental total cholesterol levels. For high density lipoprotein cholesterol and its subfractions, no relations with parental total cholesterol levels were found. Based on the evidence of a strong positive relation between total cholesterol levels in parents and offspring levels of total and LDL cholesterol measured from childhood into young adulthood, the authors conclude that total and LDL cholesterol levels in offspring may already be characterized from young age and beyond through cholesterol levels in their parents.</t>
  </si>
  <si>
    <t>SCOPUS_ID:77951236082</t>
  </si>
  <si>
    <t>10.2105/AJPH.2009.176222</t>
  </si>
  <si>
    <t>Ke Ã€no Ola: Moloka Ì€i's community-based healthy lifestyle modification program</t>
  </si>
  <si>
    <t>We evaluated a community-based 12-week healthy lifestyle program in Moloka'Ì€i, HI, called Ke "Ã€no Ola, which was developed to decrease chronic disease risk through health education emphasizing weight loss, exercise, and risk factor reduction. Program leaders' strong commitment and positive role modeling, along with social and group support and community involvement, were key elements. A pre-post evaluation of weight, blood pressure, total cholesterol, and blood sugar showed significant improvements for weight (mean change [â–³] =-7.4 lbs; P&lt;.001), systolic blood pressure (â–³ = -3.8 mm Hg; P = .027), diastolic blood pressure (â–³ = -4.6 mm Hg; P&lt;.001), and total cholesterol (â–³ = -9.7 mg/dL; P&lt; .001). Attrition was low, with 89% of participants attending all 12 sessions. Our findings show that lifestyle improvements in a predominantly Native Hawaiian community are achievable in a support group setting.</t>
  </si>
  <si>
    <t>SCOPUS_ID:0033178882</t>
  </si>
  <si>
    <t>10.1093/oxfordjournals.aje.a009996</t>
  </si>
  <si>
    <t>Increased effects of smoking and obesity on asthma among female Canadians: The National Population Health Survey, 1994-1995</t>
  </si>
  <si>
    <t>['Allergy', 'Asthma', 'Body mass index', 'Income', 'Risk', 'Sex', 'Smoking']</t>
  </si>
  <si>
    <t>To assess smoking, obesity, and other risk factors for asthma, the authors examined 17,605 subjects aged 12 years or more who partcipated n the National Population Health Survey in 1994-1995. Asthma was considered present if an affirmative response was given to the question, 'Do you have asthma diagnosed by a health professional?' The authors used analytic weights incorporating a design effect to take the complex survey design into account. The prevalence of asthma was 10.4% for males and 11.2% for females aged 12- 24 years. Among the subjects aged 25 years or more, the prevalence varied from 4.1% to 5.8% for men and from 4.9% to 6.4% for women. Female smokers demonstrated a 1.7-fold increase in the prevalence of asthma compared with female nonsmokers, with the smoking effect more pronounced among female children and young adults. In contrast, there was no significant relation between smoking and asthma in males. The prevalence of asthma increased with increasing body mass index in females, but not n males. Immigrant status, history of allergy, and household income were significant predictors for both genders. Low household income was associated with a higher prevalence of asthma in men and women.</t>
  </si>
  <si>
    <t>SCOPUS_ID:84871996226</t>
  </si>
  <si>
    <t>10.1016/j.ypmed.2012.10.014</t>
  </si>
  <si>
    <t>Acceptability of standing workstations in elementary schools: A pilot study</t>
  </si>
  <si>
    <t>['Accelerometer', 'ActivPAL', 'Physical activity', 'Sedentary', 'Sitting', 'Standing desks']</t>
  </si>
  <si>
    <t>Objective: To examine the acceptability of introducing standing workstations in elementary-school classrooms; and to quantify changes in children's time spent sitting, standing, and walking; step counts; sit-to-stand transitions; and musculoskeletal discomfort. Methods: A controlled trial was conducted in two elementary schools in Auckland, New Zealand (March-May 2012). Participants were 30 third and fourth graders (n=23 intervention, n=7 control). Intervention classes received standing workstations; control class retained usual sitting desks. Children wore ActivPAL monitors over 7. days at baseline and during the fourth week of the intervention. Results: Children spoke enthusiastically of the standing workstations. School staffs were supportive of the standing workstations because they offered "flexibility in learning". Overall, children in the intervention group sat less (intervention: 8.27 (1.45), mean (SD); control: 9.00 (0.80). h/day), stood longer (3.75 (0.88); 2.85 (0.30). h/day), and engaged in fewer transitions from sitting to standing (93 (17); 98 (26) counts) compared to the control group. Effect size ranged from small-large (-0.49; 95% confidence limits (0.64)%, 0.71; (0.48), -0.96; (0.54)% respectively). Results for time spent stepping and step counts were unclear. Conclusion: Standing workstations can be successfully integrated in classroom environments and appear to decrease overall sedentariness. Â© 2012 Elsevier Inc.</t>
  </si>
  <si>
    <t>SCOPUS_ID:0032532135</t>
  </si>
  <si>
    <t>10.1093/oxfordjournals.aje.a009695</t>
  </si>
  <si>
    <t>Ethnic disparities in patient recall of physician recommendations of diagnostic and treatment procedures for coronary disease</t>
  </si>
  <si>
    <t>['Blacks', 'Coronary disease', 'Diagnosis', 'Ethnic groups', 'Physicians']</t>
  </si>
  <si>
    <t>Despite the proven benefits of many cardiac procedures, some are used less frequently for African American than for white patients with known or suspected coronary disease. This study explored differences between ethnic groups that may affect patient recall of physician recommendations of cardiac procedures. Also examined were patients' responses when asked about adhering to those recommendations. The data examined were collected from interviews with 1,333 African American and white hospital inpatients with known coronary disease admitted to the Birmingham-Black Health Seeking for Coronary Heart Disease Project (1989-1990) in Alabama. Respondents were asked to recall previous health care encounters, physician recommendations of cardiac procedures, and adherence to those recommendations. Compared with whites, fewer African American patients recalled physicians recommending some cardiac procedures. If procedure recommendations were recalled, no ethnic differences were found in patient recall of adhering to those recommendations. Predictors of recall of the recommended procedures were identified by multivariate logistic regression. Patients' knowledge of having coronary disease was the common factor that predicted their recall of all cardiac procedures. Other predictor variables included some cardiac risk factors and symptoms, socioeconomic status, and ethnicity. Although health care practice is influenced by many factors, it is important to examine variables that may lead to a reduction in ethnic disparities in coronary disease morbidity and mortality.</t>
  </si>
  <si>
    <t>SCOPUS_ID:0032780231</t>
  </si>
  <si>
    <t>10.1006/pmed.1998.0407</t>
  </si>
  <si>
    <t>Targeting smokers with low readiness to change with tailored and nontailored self-help materials</t>
  </si>
  <si>
    <t>['Computer-tailored interventions', 'Low readiness to change', 'Smoking cessation']</t>
  </si>
  <si>
    <t>Background. Few smoking cessation self-help materials are available for smokers who are not planning to quit. However, computer-tailored interventions can be designed specifically for these smokers. Methods. In a large randomized field trial (N = 843), two different tailored smoking cessation self-help interventions (multiple tailoring and single tailoring) and one standardized smoking cessation self-help guide were compared with a no-information control group and with each other. The contents of the tailored interventions were adapted to individuals' self-reported stage of change, outcome expectations, self-efficacy levels, and smoking behavior. Results. The primary outcome measure was forward stage transition. The standardized self-help guide had no effect. Among smokers who were not planning to quit within the next 5 years the multiple-tailored intervention was more effective than the single-tailored intervention. This pattern was supported by the cognitive changes caused by the interventions. Among smokers who were planning to quit within the next 5 years but not within the next 6 months, none of the self-help materials had any effect. Conclusion. The present results show that the self-help material currently available in the Netherlands, the standardized self-help guide, was not effective among smokers with low readiness to change. However, computer-generated tailored interventions seem a promising means of communicating information on smoking and smoking cessation to these smokers.</t>
  </si>
  <si>
    <t>SCOPUS_ID:84920926388</t>
  </si>
  <si>
    <t>10.1016/j.ypmed.2014.12.015</t>
  </si>
  <si>
    <t>Occurrence and duration of various operational definitions of sedentary bouts and cross-sectional associations with cardiometabolic health indicators: The ENERGY-project</t>
  </si>
  <si>
    <t>['Body composition', 'Fasting blood', 'Sedentary bout', 'Sedentary time', 'Youth']</t>
  </si>
  <si>
    <t>Objective: This study examined the occurrence and duration of sedentary bouts and explored the cross-sectional association with health indicators in children applying various operational definitions of sedentary bouts. Methods: Accelerometer data of 647 children (10-13 years old) were collected in five European countries. We analyzed sedentary time (&lt;. 100. cpm) accumulated in bouts of at least 5, 10, 20 or 30. min based on four operational definitions, allowing 0, 30 or 60. s &gt;. 100. cpm within bouts. Health indicators included anthropometrics (i.e. waist circumference and body mass index (BMI)) and in a subsample from two European countries (n. =. 112) fasting capillary blood levels of glucose, C-peptide, high-density- and low-density cholesterol, and triglycerides. Data collection took place from March to July 2010. Associations were adjusted for age, gender, moderate-to-vigorous physical activity, total wear time and country. Results: Occurrence of sedentary bouts varied largely between the various definitions. Children spent most of their sedentary time in bouts of &gt;. 5. min while bouts of &gt;. 20. min were rare. Linear regression analysis revealed few significant associations of sedentary time accumulated in bouts of &gt;. 5-30. min with health indicators. Moreover, we found that more associations became significant when allowing no tolerance time within sedentary bouts. Conclusion: Despite a few significant associations, we found no convincing evidence for an association between sedentary time accumulated in bouts and health indicators in 10-13 year old children.</t>
  </si>
  <si>
    <t>Belgium</t>
  </si>
  <si>
    <t>SCOPUS_ID:85049344365</t>
  </si>
  <si>
    <t>10.1016/S2468-2667(18)30109-9</t>
  </si>
  <si>
    <t>Effects of restrictions to Income Support on health of lone mothers in the UK: a natural experiment study</t>
  </si>
  <si>
    <t>Background: In the UK, lone parents must seek work as a condition of receiving welfare benefits once their youngest child reaches a certain age. Since 2008, the lower age limit at which these Lone Parent Obligations (LPO) apply has been reduced in steps. We used data from a nationally representative, longitudinal, household panel study to analyse the health effects of increased welfare conditionality under LPO. Methods: From the Understanding Society survey, we used data for lone mothers who were newly exposed to LPO when the age cutoff was reduced from 7 to 5 years in 2012 (intervention group 1) and from 10 to 7 years in 2010 (intervention group 2), as well as lone mothers who remained unexposed (control group 1) or continuously exposed (control group 2) at those times. We did difference-in-difference analyses that controlled for differences in the fixed characteristics of participants in the intervention and control groups to estimate the effect of exposure to conditionality on the health of lone mothers. Our primary outcome was the difference in change over time between the intervention and control groups in scores on the Mental Component Summary (MCS) of the 12-item Short-Form Health Survey (SF-12). Findings: The mental health of lone mothers declined in the intervention groups compared with the control groups. For intervention group 1, scores on the MCS decreased by 1Â·39 (95% CI âˆ’1Â·29 to 4Â·08) compared with control group 1 and by 2Â·29 (0Â·00 to 4Â·57) compared with control group 2. For intervention group 2, MCS scores decreased by 2Â·45 (âˆ’0Â·57 to 5Â·48) compared with control group 1 and by 1Â·28 (âˆ’1Â·45 to 4Â·00) compared with control group 2. When pooling the two intervention groups, scores on the MCS decreased by 2Â·13 (0Â·10 to 4Â·17) compared with control group 1 and 2Â·21 (0Â·30 to 4Â·13) compared with control group 2. Interpretation: Stringent conditions for receiving welfare benefits are increasingly common in high-income countries. Our results suggest that requiring lone parents with school-age children toseek work as a condition of receiving welfare benefits adversely affects their mental health. Funding: UK Medical Research Council, Scottish Government Chief Scientist Office, and National Health Service Research Scotland.</t>
  </si>
  <si>
    <t>SCOPUS_ID:0032838463</t>
  </si>
  <si>
    <t>10.1016/S0749-3797(99)00060-4</t>
  </si>
  <si>
    <t>Is cigarette smoking associated with impaired physical and mental functional status? An office-based survey of primary care patients</t>
  </si>
  <si>
    <t>Objective: To examine the relationship between cigarette smoking and self-reported physical and mental functional status.Design: Cross-sectional survey of 837 patients visiting 2 family practice centers. Patients completed a self-administered survey about functional status, tobacco use, and demographic characteristics while waiting to be called back for their appointments.Setting: An inner-city family practice clinic in Richmond, Virginia, and a more affluent suburban practice outside Washington, DC.Main Outcome Measures: Physical and mental functional status, as measured by the SF-36 (Medical Outcomes Trust, Boston, MA); current and former cigarette use; and demographic variables (age, gender, education, income).Results: Among current smokers, self-reported functional status scores were significantly lower than those of nonsmokers in all SF-36 domains (p â‰¤ 0.02), a pattern that was more dramatic for mental functional status domains (social function, vitality, emotional role limitations, mental health). In several SF-36 domains, a dose-response relationship between smoking and functional status was noted. After multivariate adjustment for demographic confounders and practice site, the statistical significance of these differences diminished considerably, but it remained significant for certain domains and for the overall difference across all domains (MANCOVA p = 0.017).Conclusions: Current smokers report lower functional status than nonsmokers, in physical and especially in mental domains. The meaning of this cross-sectional relationship is unclear without further longitudinal study. Smoking may be associated with other variables that have a causal role. Copyright (C) 1999 American Journal of Preventive Medicine.</t>
  </si>
  <si>
    <t>SCOPUS_ID:85056136590</t>
  </si>
  <si>
    <t>10.1136/jech-2018-211231</t>
  </si>
  <si>
    <t>Tuberculosis and diabetes: Bidirectional association in a UK primary care data set</t>
  </si>
  <si>
    <t>['co-morbidity', 'diabetes', 'epidemiology', 'public health', 'tuberculosis']</t>
  </si>
  <si>
    <t>Background Many studies have found an increased risk of pulmonary tuberculosis (PTB) among those with diabetes mellitus (DM). However, evidence on whether the association is bidirectional remains sparse. This study investigates DM rates among those with and without prior tuberculosis (TB) disease as well as the reverse. Methods Data on a UK general practice population, between 2003 and 2009, were obtained from The Health Improvement Network database. A series of retrospective cohort studies were completed. Individuals were successively classified as 'exposed' or 'unexposed' to TB, PTB, extrapulmonary TB (EPTB) or DM. Multivariate negative binomial regression was used to calculate incidence rate ratios (IRR) among each exposure group for outcomes of interest (TB, PTB, EPTB or DM in turn) adjusting for plausible confounding variables (age, sex, region, Townsend quintile and smoking status). Potential confounding due to ethnicity was adjusted for using McNamee's external method. Results DM risk was substantially raised among individuals with a history of TB disease (IRR 5.65 (95% CI 5.19 to 6.16)), PTB (IRR 5.74 (95% CI 5.08 to 6.50)) and EPTB (IRR 4.66 (95% CI 3.94 to 5.51)) compared with those without; results were attenuated after external adjustment for ethnicity (IRR 2.33 (95% CI 2.14 to 2.53)). TB risk was raised modestly among individuals with DM (IRR 1.50 (95% CI 1.27 to 1.76)) and was attenuated slightly after adjustment for ethnicity (IRR 1.26 (95% CI 1.07 to 1.48)). Conclusion DM risk was raised among those with previous TB disease; this finding has implications for follow-up and screening of patients with TB, who may be at high risk of developing DM or related complications.</t>
  </si>
  <si>
    <t>DM risk was raised among those with previous TB disease; this finding has implications for follow-up and screening of patients with TB, who may be at high risk of developing DM or related complications</t>
  </si>
  <si>
    <t>SCOPUS_ID:84996538929</t>
  </si>
  <si>
    <t>10.1016/j.amepre.2016.08.033</t>
  </si>
  <si>
    <t>Correlates of Helmet Use Among Recreation and Transportation Bicyclists</t>
  </si>
  <si>
    <t>Introduction Helmet use prevents injury and mortality if a bicyclist is in a collision while riding. This cross-sectional study sought to identify domain-specific (recreation versus transportation) correlates of helmet use among U.S. adult bicyclists, using nationally representative data from 2012. Methods This analysis, conducted in 2015â€“2016, utilized data from the 2012 National Survey of Bicyclist and Pedestrian Attitudes and Behaviors, administered for the National Highway Traffic Safety Administration. Bivariate logistic regressions identified sociodemographic, behavioral, and environmental correlates of helmet use among U.S. adult bicyclists. Backwards elimination procedures selected final multivariate models for bicyclistsâ€™ helmet use in both domains. Results Among recreation cyclists, helmet use was significantly associated with income ($30,000â€“$75,000, OR=1.79, 95% CI=1.04, 3.10; â‰¥$75,000, OR=2.34, 95% CI=1.38, 3.97), safety training (OR=2.94, 95% CI=1.46, 5.93), not riding at dark (OR=1.92, 95% CI=1.24, 2.98), feeling threatened while riding (OR=2.24, 95% CI=1.12, 4.45), and using bike lanes/paths (OR=2.04, 95% CI=1.42, 2.93). Helmet use among transportation riders was significantly associated with education (less than high school, OR=2.45, 95% CI=1.13, 5.32; post-high school, OR=3.55, 95% CI=1.96, 6.42), income ($30,000â€“$75,000, OR=2.11, 95% CI=1.17, 3.8; â‰¥$75,000, OR=2.33, 95% CI=1.26, 4.27), unemployment (OR=0.29, 95% CI=0.11, 0.76), not using electronics while riding (OR=2.3, 95% CI=1.41, 3.75), safety training (OR=3.19, 95% CI=1.44, 7.07), and injury while riding within the past 2 years (OR=2.81, 95% CI=1.14, 6.94). Conclusions Correlates of helmet use among bicyclists are domain specific. Although confirmatory longitudinal studies are needed, findings suggest that interventions to increase bicyclistsâ€™ helmet use consider riding domain.</t>
  </si>
  <si>
    <t>Although confirmatory longitudinal studies are needed, findings suggest that interventions to increase bicyclists’ helmet use consider riding domain.</t>
  </si>
  <si>
    <t>SCOPUS_ID:7944221330</t>
  </si>
  <si>
    <t>10.1016/j.ypmed.2004.04.019</t>
  </si>
  <si>
    <t>Television viewing and smoking volume in adolescent smokers: A cross-sectional study</t>
  </si>
  <si>
    <t>['Educational level', 'Gender', 'Parental smoking', 'Peer smoking', 'Smoking', 'Smoking volume', 'Television']</t>
  </si>
  <si>
    <t>Background. Previous research has shown a relationship between television viewing and smoking initiation. The relationship between television viewing and the amount of cigarettes consumed by adolescent smokers per time unit (day, week, month...) has not yet been studied. Methods. A cross-sectional sample of children by means of self-reports administered by research assistants in schools was obtained. Participants were 421 smokers in a random sample of 4th year students in 15 secondary schools in Flanders, Belgium. Main outcome measures were quantifiable, closed survey questions about smoking volume, whether or not parents and friends smoked, frequency of going out and average weekly TV viewing volume. Results. Television viewing was a significant predictor of smoking volume. Smokers who watch more TV smoke more. The relationship was curvilinear (quadratic). The relationship becomes stronger (curves upward) for higher levels of viewing. Those who watch 5 or more hours a day smoke between 60 and 147 cigarettes more per week than those who watch 1 h or less. Conclusions. Television viewing is significantly related to smoking volume. The content of television may glamorize smoking. Children may learn to associate smoking with viewing regardless of content. It is also possible that heavier smoking leads to more viewing or that a third variable influences both smoking volume and viewing. Regardless of the causal direction of the relationship television viewing appears to be an indicator or predictor of smoking volume. The curvilinear nature of the relationship deserves further attention. Â© 2004 The Institute For Cancer Prevention and Elsevier Inc. All rights reserved.</t>
  </si>
  <si>
    <t>SCOPUS_ID:85127852077</t>
  </si>
  <si>
    <t>10.1097/EDE.0000000000001470</t>
  </si>
  <si>
    <t>Estimands and Estimation of COVID-19 Vaccine Effectiveness Under the Test-Negative Design: Connections to Causal Inference</t>
  </si>
  <si>
    <t>['Causal inference', 'Directed acyclic graphs', 'SARS-CoV-2', 'Test-negative design', 'Vaccine effectiveness']</t>
  </si>
  <si>
    <t>The test-negative design is routinely used for the monitoring of seasonal flu vaccine effectiveness. More recently, it has become integral to the estimation of COVID-19 vaccine effectiveness, in particular for more severe disease outcomes. Because the design has many important advantages and is becoming a mainstay for monitoring postlicensure vaccine effectiveness, epidemiologists and biostatisticians may be interested in further understanding the effect measures being estimated in these studies and connections to causal effects. Logistic regression is typically applied to estimate the conditional risk ratio but relies on correct outcome model specification and may be biased in the presence of effect modification by a confounder. We give and justify an inverse probability of treatment weighting (IPTW) estimator for the marginal risk ratio, which is valid under effect modification. We use causal directed acyclic graphs, and counterfactual arguments under assumptions about no interference and partial interference to illustrate the connection between these statistical estimands and causal quantities. We conduct a simulation study to illustrate and confirm our derivations and to evaluate the performance of the estimators. We find that if the effectiveness of the vaccine varies across patient subgroups, the logistic regression can lead to misleading estimates, but the IPTW estimator can produce unbiased estimates. We also find that in the presence of partial interference both estimators can produce misleading estimates.</t>
  </si>
  <si>
    <t>SCOPUS_ID:0001433962</t>
  </si>
  <si>
    <t>10.1093/eurpub/6.3.166</t>
  </si>
  <si>
    <t>Socioeconomic inequalities in perinatal and infant mortality from 1854 to 1990 in Amsterdam, the Netherlands</t>
  </si>
  <si>
    <t>['Infant mortality', 'Perinatal mortality', 'Socioeconomic status', 'Trends']</t>
  </si>
  <si>
    <t>Trends in socioeconomic differences in infant and perinatal mortality in Amsterdam were studied for the period 1854-1990, using published and unpublished material, at the aggregate and at the individual level. Absolute and relative socioeconomic mortality differences (SEMD) per data-set were calculated using inequality indices developed by Pamuk. The results show a decrease of the absolute differences in both infant and perinatal mortality. For infant mortality, this is mainly due to the overall decline of the infant mortality rate. Relative differences in infant mortality did not decrease during the study period. This is the result of separate developments in 3 time periods. From approximately 1850 to approximately 1910 an increase in relative differences can be seen, a trend which is reversed from approximately 1910 to the end of World War II. After World War II relative differences seem to stabilize at the same level. For perinatal mortality, for which only data from the post-World War II period are available, the decrease in the absolute differences is due both to the overall decline of the perinatal mortality rate and to a decline of relative differences between socioeconomic groups. It is concluded that although SEMD in infant and perinatal mortality have declined in an absolute sense, they still exist and that the relative position of deprived groups concerning infant mortality was not ameliorated during the study period.</t>
  </si>
  <si>
    <t>SCOPUS_ID:0037114889</t>
  </si>
  <si>
    <t>10.1093/aje/kwf157</t>
  </si>
  <si>
    <t>Homocysteine and blood pressure in the Third National Health and Nutrition Examination Survey, 1988-1994</t>
  </si>
  <si>
    <t>['Biological markers', 'Blood pressure', 'Cardiovascular diseases', 'Folic acid', 'Homocysteine', 'Hypertension', 'Pyridoxine']</t>
  </si>
  <si>
    <t>Studies suggest that homocysteine may elevate blood pressure and increase the risk of hypertension. The association of homocysteine with blood pressure and with the risk of hypertension was investigated using crosssectional data from the Third National Health and Nutrition Examination Survey (1998-1994). Homocysteine had an independent positive association with blood pressure after adjusting for cardiovascular risk factors. A 1 standard deviation (âˆ¼5 Î¼mol/liter) increase in homocysteine was associated with increases in diastolic and systolic blood pressure of 0.5 and 0.7 mmHg, respectively, in men and of 0.7 and 1.2 mmHg in women. Similarly, higher levels of homocysteine were associated with an increased risk of hypertension. In a comparison of the highest and lowest quintiles of homocysteine, women had a threefold increase in the risk of hypertension (95% confidence interval (Cl): 1.7, 5.4), and men had a twofold increase (95% Cl: 0.7, 5.1). In light of the homocysteineblood pressure association, the association of homocysteine with prevalent cardiovascular disease was examined with and without adjusting for blood pressure. The results support a mediating role for blood pressure in women and suggest that the full effect of homocysteine on cardiovascular risk may be underestimated when blood pressure is adjusted.</t>
  </si>
  <si>
    <t>SCOPUS_ID:78651299926</t>
  </si>
  <si>
    <t>10.1136/jech.2009.098269</t>
  </si>
  <si>
    <t>Social disparities in periodontitis among US adults: The effect of allostatic load</t>
  </si>
  <si>
    <t>Background: Periodontitis has been shown to be associated with allostatic load, a measure of physiological instability across biological systems from cumulative or repeated adaptation to stressors. Minority racial/ethnic and low socioeconomic groups tend to have higher prevalence of periodontitis and are more likely to be exposed to stress. The association between periodontitis and allostatic load and whether this association differed by race/ethnicity, education, income and age among US adults were examined. Methods: Using data from the National Health and Nutrition Examination Survey 1999-2004, prevalence ratios were calculated using logistic regression to estimate the strength of the association between allostatic load and the prevalence of periodontitis before and after adjusting for selected characteristics. Results: After adjustment for selected characteristics, including race/ethnicity, income and education, US adults with a high allostatic load were 55% (95% CI 1.05 to 2.29) more likely to have periodontitis than their counterparts with low allostatic load. This association varied by race/ethnicity where Mexican Americans with a high allostatic load were almost five (PR 4.62; 95% CI 2.52 to 8.50) times more likely to have periodontitis than their counterparts with low allostatic load. Conclusions: These data suggest that stress may be associated with periodontitis in the USA, with Mexican Americans exhibiting the strongest association. Furthermore, this group may lack appropriate coping responses to process chronic stressors that other groups may have historically been conditioned to handle. More research is needed to understand allostatic load in Mexican Americans and its influence on periodontitis.</t>
  </si>
  <si>
    <t>SCOPUS_ID:85146336085</t>
  </si>
  <si>
    <t>10.1016/j.amepre.2022.12.010</t>
  </si>
  <si>
    <t>Air Quality Index and Childhood Asthma: A Pilot Randomized Clinical Trial Intervention</t>
  </si>
  <si>
    <t>Introduction: To reduce air pollution exposure, the U.S. asthma guidelines recommend that children check the Air Quality Index before outdoor activity. Whether adding the Air Quality Index and recommendations to asthma action plans reduces exacerbations and improves control and quality of life in children with asthma is unknown. Methods: A pilot, unblinded, randomized clinical trial of 40 children with persistent asthma, stratified by age and randomized 1:1, recruited from the University of Pittsburgh Medical Center Children's Hospital of Pittsburgh (Pittsburgh, PA) was conducted. All participants received asthma action plans and Air Quality Index education. The intervention group received printed Air Quality Index information and showed the ability to use AirNow. Asthma exacerbations were assessed through a questionnaire, asthma control was assessed with the Asthma Control Test and Childhood Asthma Control Test, and quality of life was assessed with the Pediatric Asthma Quality of Life Questionnaire. After randomization (Julyâ€“October 2020), participants were followed monthly for 6 months (exit Januaryâ€“March 2021). Outcome differences between groups were evaluated at the exit visit and over time (analysis was in 2021). Results: At randomization, there were no significant differences in age, sex, race, or asthma severity. At exit, more intervention participants checked the Air Quality Index (63% vs 15%) with no differences in the proportion of asthma exacerbations or mean Childhood Asthma Control Test or Pediatric Asthma Quality of Life Questionnaire scores. The mean change in Asthma Control Test score was higher in the intervention group (change in Asthma Control Test=2.00 vs 0.15 for the control), which was modified by time (Î²=1.85, CI=0.09, 3.61). Physical activity was decreased overall and showed modification by treatment and time. Conclusions: Addition of the Air Quality Index to asthma action plans led to improved asthma control by Asthma Control Test scores but may decrease outdoor activity.</t>
  </si>
  <si>
    <t>SCOPUS_ID:0030009244</t>
  </si>
  <si>
    <t>10.1093/ije/25.2.394</t>
  </si>
  <si>
    <t>Characteristics of non-insulin-dependent diabetes mellitus in elderly men: Effect modification by family history</t>
  </si>
  <si>
    <t>['Diabetes mellitus', 'Family history', 'Glucose tolerance', 'Insulin', 'Lipoproteins', 'Non-insulin-dependent', 'Obesity']</t>
  </si>
  <si>
    <t>Background. Heredity, obesity and fat distribution may interact with each other in their association with diabetes risk. Therefore we tried to elucidate the role of familial diabetes as effect modifier in the association of obesity, glucose metabolism and lipoproteins with non-insulin-dependent diabetes mellitus. Methods. A cross-sectional study was carried out among 468 elderly men. Within strata of family history, men with diabetes and normal glucose tolerance were compared with respect to anthropometry, characteristics of glucose metabolism and serum lipids. Results Of the participants, 14.5% were diabetic. In diabetic men a family history of diabetes occurred more often (22.1%) than in men with normal (6.8%, P &lt; 0.001) or impaired glucose tolerance (8.5%). In diabetic men with a family history, the ratio of fasting insulin to glucose and the ratio of areas under the insulin and glucose curves during oral glucose tolerance testing were lower compared to men with normal glucose tolerance. In men without a family history, these differences were smaller (interaction P = 0.06). In diabetic men without a family history, fasting insulin levels were markedly elevated (P &lt; 0.001), whereas in men with a family history there was only a slight elevation. The presence of a family history resulted in more severe deteriorations in lipids, especially in fasting triglycerides (interaction P = 0.075). No interaction between indices of obesity and a family history was observed. Conclusions Our findings suggest that elderly diabetic men with a family history of diabetes represent a different subgroup than elderly men without such a history, characterized by larger deteriorations in indices for beta-cell function and higher triglyceride levels.</t>
  </si>
  <si>
    <t>SCOPUS_ID:0036721712</t>
  </si>
  <si>
    <t>10.2105/AJPH.92.9.1523</t>
  </si>
  <si>
    <t>The social-environmental context of violent behavior in persons treated for severe mental illness</t>
  </si>
  <si>
    <t>Objectives. This study examined the prevalence and correlates of violent behavior by individuals with severe mental illness. Methods. Participants (N = 802) were adults with psychotic or major mood disorders receiving inpatient or outpatient services in public mental health systems in 4 states. Results. The 1-year prevalence of serious assaultive behavior was 13%. Three variables-past violent victimization, violence in the surrounding environment, and substance abuse-showed a cumulative association with risk of violent behavior. Conclusions. Violence among individuals with severe mental illness is related to multiple variables with compounded effects over the life span. Interventions to reduce the risk of violence need to be targeted to specific subgroups with different clusters of problems related to violent behavior.</t>
  </si>
  <si>
    <t>Interventions to reduce the risk of violence need to be targeted to specific subgroups with different clusters of problems related to violent behavior</t>
  </si>
  <si>
    <t>SCOPUS_ID:84884140205</t>
  </si>
  <si>
    <t>10.2105/AJPH.2013.301487</t>
  </si>
  <si>
    <t>An empirical evaluation of the US beer institute's self-regulation code governing the content of beer advertising</t>
  </si>
  <si>
    <t>Objectives. We evaluated advertising code violations using the US Beer Institute guidelines for responsible advertising. Methods. We applied the Delphi rating technique to all beer ads (n = 289) broadcast in national markets between 1999 and 2008 during the National Collegiate Athletic Association basketball tournament games. Fifteen public health professionals completed ratings using quantitative scales measuring the content of alcohol advertisements (e.g., perceived actor age, portrayal of excessive drinking) according to 1997 and 2006 versions of the Beer Institute Code. Results. Depending on the code version, exclusion criteria, and scoring method, expert raters found that between 35% and 74% of the ads had code violations. There were significant differences among producers in the frequency with which ads with violations were broadcast, but not in the proportions of unique ads with violations. Guidelines most likely to be violated included the association of beer drinking with social success and the use of content appealing to persons younger than 21 years. Conclusions. The alcohol industry's current self-regulatory framework is ineffective at preventing content violations but could be improved by the use of new rating procedures designed to better detect content code violations.</t>
  </si>
  <si>
    <t>The alcohol industry’s current self-regulatory framework is ineffective at preventing content violations but could be improved by the use of new rating procedures designed to better detect content code violations.</t>
  </si>
  <si>
    <t>SCOPUS_ID:85122909289</t>
  </si>
  <si>
    <t>10.2105/AJPH.2021.306565</t>
  </si>
  <si>
    <t>Adherence to Social-Distancing and Personal Hygiene Behavior Guidelines and Risk of COVID-19 Diagnosis: Evidence From the Understanding America Study</t>
  </si>
  <si>
    <t>Objectives. To assess the association between individual-level adherence to social-distancing and personal hygiene behaviors recommended by public health experts and subsequent risk of COVID-19 diagnosis in the United States. Methods. Data are from waves 7 through 26 (June 10, 2020-April 26, 2021) of the Understanding America Study COVID-19 survey. We used Cox models to assess the relationship between engaging in behaviors considered high risk and risk of COVID-19 diagnosis. Results. Individuals engaging in behaviors indicating lack of adherence to social-distancing guidelines, especially those related to large gatherings or public interactions, had a significantly higher risk of COVID-19 diagnosis than did those who did not engage in these behaviors. Each additional risk behavior was associated with a 9% higher risk of COVID-19 diagnosis (hazard ratio [HR]51.09; 95% confidence interval [CI]51.05, 1.13). Results were similar after adjustment for sociodemographic characteristics and local infection rates. Conclusions. Personal mitigation behaviors appear to influence the risk of COVID-19, even in the presence of social factors related to infection risk</t>
  </si>
  <si>
    <t>SCOPUS_ID:0035863903</t>
  </si>
  <si>
    <t>10.1093/aje/153.2.145</t>
  </si>
  <si>
    <t>Effect of body mass on the association between estrogen replacement therapy and mortality among elderly US women</t>
  </si>
  <si>
    <t>['Body mass index', 'Cardiovascular diseases', 'Estrogen replacement therapy', 'Mortality']</t>
  </si>
  <si>
    <t>In observational studies, estrogen replacement therapy is associated with decreased cardiovascular disease rates and increased breast cancer rates. Recent evidence suggests that the impact of estrogen use on disease outcomes may vary by body mass. In a prospective study of 290,827 postmenopausal US women with no history of cancer or cardiovascular disease at enrollment in 1982, the authors examined the association between postmenopausal estrogen use and all-cause, coronary heart disease, stroke, all-cancer, and breast cancer death rates and whether these associations differed by body mass. After 12 years of follow-up, results from Cox proportional hazards models showed that all-cause death rates were lower among baseline estrogen users than never users (rate ratio (RR) = 0.82, 95% confidence interval (Cl): 0.78, 0.87). The lowest relative risk was found for coronary heart disease (RR = 0.66, 95% Cl: 0.58, 0.77). The inverse association between estrogen use and coronary heart disease mortality was strongest for thin women (body mass index &lt;22 kg/m2) (RR = 0.49, p for interaction = 0.02). Breast cancer mortality did not increase with estrogen use overall, and no increased risk was observed for thin or heavy women. In this population, the reduction in coronary heart disease mortality among estrogen users was greatest for thinner women. Additional studies are needed to confirm or refute these results.</t>
  </si>
  <si>
    <t>SCOPUS_ID:85034761002</t>
  </si>
  <si>
    <t>10.1093/aje/kwx170</t>
  </si>
  <si>
    <t>Sex Differences in the Association between Pain and Injurious Falls in Older Adults: A Population-Based Longitudinal Study</t>
  </si>
  <si>
    <t>['aged', 'falls', 'injury', 'pain', 'sex factors']</t>
  </si>
  <si>
    <t>We investigated whether there are sex differences in the association between pain and incident injurious falls. A total of 2,934 people (ages â‰¥60 years) from the population-based Swedish National Study on Aging and Care in Kungsholmen (2001-2004) participated. Participants were followed up for 3 and 10 years for falls leading to hospitalization or outpatient care. Data were analyzed with flexible parametric survival models that adjusted for potential confounders. During the first 3 years of follow-up, 67 men and 194 women experienced an injurious fall, and over 10 years of follow up, 203 men and 548 women experienced such a fall. In men, the presence of pain, having pain that was at least mild, having pain that affected several daily activities, and having daily pain all significantly increased the likelihood of incurring an injurious fall during the 3-year follow-up period. The multivariate-adjusted hazard ratios ranged from 1.78 (95% confidence interval: 1.00, 3.15) for the presence of pain to 2.89 (95% confidence interval: 1.41, 5.93) for several daily activities' being affected by pain. Results for the 10-year follow-up period were similar. No significant associations were detected in women. Although pain is less prevalent in men than in women, its impact on risk of injurious falls seems to be greater in men.</t>
  </si>
  <si>
    <t>SCOPUS_ID:85060567577</t>
  </si>
  <si>
    <t>10.1093/eurpub/cky107</t>
  </si>
  <si>
    <t>Predictive risk model for the diagnosis of diabetes mellitus type 2 in a follow-up study 15 years on: PRODI2 Study</t>
  </si>
  <si>
    <t>The prevalence and mortality related to diabetes mellitus type 2 (DM2) have increased consistently for decades. Identifying adults at high risk of diabetes incidence is important for the execution of intervention. The participants in the PRODI2 study (n=273), who come from the southeast of Spain and did not have diabetes at the start of the study, were followed for 15 years (1999-2014), and their risk parameters were measured, from which a predictive model was obtained which indicates the level of influence of each factor in the development of DM2. The expected risk of diabetes was calculated by binary logistic regression. Those participants whose father has suffered an acute myocardial infarction are 3.9 times more likely to develop DM2 (confidence interval 95%: 1.498, 10.339); those with at least one parent who has a history of diabetes are 2.7 times more at risk (confidence interval 95%: 1.224, 6.101); the risk of being diabetic was 1.13 times higher for every extra unit on the waist-hip ratio (confidence interval 95%: 1.073, 1.195), and for the hip perimeter an OR of 0.93 was obtained (confidence interval 95%: 0.876, 0.982). Statistically significant differences were observed in all cases (P&lt;0.05). This study shows that the risk of being diabetic rises in patients whose father has suffered an acute myocardial infarction, in those whose mother or father is diabetic and in patients with a high waist perimeter.</t>
  </si>
  <si>
    <t>SCOPUS_ID:84928910829</t>
  </si>
  <si>
    <t>10.1093/aje/kwu331</t>
  </si>
  <si>
    <t>Overweight and obesity in midlife and brain structure and dementia 26 years later</t>
  </si>
  <si>
    <t>['brain vascular lesions', 'cohort study', 'dementia', 'epidemiology', 'mortality', 'obesity']</t>
  </si>
  <si>
    <t>High adiposity in midlife might increase risk for late-life brain pathology, including dementia. Using data from the prospective Age, Gene/Environment Susceptibility-Reykjavik Study of men and women (born 1907-1935), we studied the associations of overweight and obesity at midlife (mean age, 50 (standard deviation, 4.7) years) with 1.5-T brain magnetic resonance imaging measures of infarct-like brain lesions, cerebral microbleeds, total brain volume, and white matter lesions volume, as well as dementia, in late life (mean age, 76 (standard deviation, 5.2) years). We used linear and Poisson models to estimate associations in 3,864 persons after adjustment for sociodemographic, health, and lifestyle characteristics. In midlife, the prevalence of overweight was 39% and that of obesity was 8%. After a mean follow-up of 26.2 (standard deviation, 4.9) years, midlife overweight and obesity were not associated with infarct-like brain lesions (relative risk (RR) = 0.82, 95% confidence interval (CI): 0.61, 1.10), cerebral microbleeds (RR = 0.69, 95% CI: 0.37, 1.32), total brain volume (Î² = 0.05, 95% CI: -0.34, 0.45), white matter lesions volume (Î² = -0.10, 95% CI: -0.20, 0.01), or dementia (RR = 0.91, 95% CI: 0.49, 1.72) compared with normal weight. These findings do not support the hypothesis that high body mass index in midlife modulates the risk for dementia.</t>
  </si>
  <si>
    <t>SCOPUS_ID:26444557985</t>
  </si>
  <si>
    <t>10.1093/aje/kwi249</t>
  </si>
  <si>
    <t>Evaluation of offspring and maternal genetic effects on disease risk using a family-based approach: The "pent" design</t>
  </si>
  <si>
    <t>['Alleles', 'Epidemiologic methods', 'Genotype', 'Linkage (genetics)', 'Linkage disequilibrium', 'Models, genetic', 'Models, statistical']</t>
  </si>
  <si>
    <t>Diseases that develop during gestation may be influenced by the genotype of the mother and the inherited genotype of the embryo/fetus. However, given the correlation between maternal and offspring genotypes, differentiating between inherited and maternal genetic effects is not straightforward. The two-step transmission disequilibrium test was the first, family-based test proposed for the purpose of differentiating between maternal and offspring genetic effects. However, this approach, which requires data from "pents" comprising an affected child, mother, father, and maternal grandparents, provides biased tests for maternal genetic effects when the offspring genotype is associated with disease. An alternative approach based on transmissions from grandparents provides unbiased tests for maternal and offspring genetic effects but requires genotype information for paternal grandparents in addition to pents. The authors have developed two additional, pent-based approaches for the evaluation of maternal and offspring genetic effects. One approach requires the assumption of genetic mating type symmetry (pent-1), whereas the other does not (pent-2). Simulation studies demonstrate that both of these approaches provide valid estimation and testing for offspring and maternal genotypic effects. In addition, the power of the pent-1 approach is comparable with that of the approach based on data using all four grandparents. Copyright Â© 2005 by the Johns Hopkins Bloomberg School of Public Health. All rights reserved.</t>
  </si>
  <si>
    <t>SCOPUS_ID:0035863840</t>
  </si>
  <si>
    <t>10.1093/aje/153.2.153</t>
  </si>
  <si>
    <t>Factors associated with earthquake deaths in the great Hanshin-Awaji earthquake, 1995</t>
  </si>
  <si>
    <t>['Case-control studies', 'Mortality', 'Multivariate analysis', 'Natural disasters', 'Risk factors']</t>
  </si>
  <si>
    <t>The authors conducted descriptive and case-control studies to find factors associated with earthquake deaths due to the Great Hanshin-Awaji earthquake on January 17, 1995, in Nishinomiya, Japan. In the case-control study, cases included all 1,104 deaths. Controls were randomly selected from survivors. Earthquake mortality increased for people over age 50 years. Mortality among people who had lived in dwellings that were completely destroyed was much higher. One risk factor was physical disabilities (odds ratio = 1.9, 95% confidence interval (CI): 1.0, 3.4). When the analysis was limited to the people who had lived in intact or partially destroyed dwellings, the odds ratio rose to 5.6 (95% CI: 1.6, 19.8).</t>
  </si>
  <si>
    <t>SCOPUS_ID:84879015315</t>
  </si>
  <si>
    <t>10.2105/AJPH.2012.300783</t>
  </si>
  <si>
    <t>Associations between psychiatric inpatient bed supply and the prevalence of serious mental illness in veterans affairs nursing homes</t>
  </si>
  <si>
    <t>Objectives. We assessed whether reductions in inpatient psychiatric beds resulted in transinstitutionalization to nursing home care of patients with serious mental illness (SMI) within the Veterans Health Administration (VHA). Methods. We assessed trends in national and site-level inpatient psychiatric beds and nursing home patient demographics, service use, and functioning from the VHA National Patient Care Database, VHA Service Support Center Bed Control, and VHA Minimum Data Set. We estimated nursing home admission appropriateness using propensity score analyses based on Michigan Medicaid Nursing Facility Level of Care Determinations ratings. Results. From 1999 to 2007, the number of VHA inpatient psychiatric beds declined (43 894-40 928), the average inpatient length of stay decreased (33.1-19.0 days), and the prevalence of SMI in nursing homes rose (29.4%-43.8%). At site level, psychiatric inpatient bed availability was unrelated to SMI prevalence in nursing home admissions. However, nursing home residents with SMI were more likely to be inappropriately admitted than were residents without SMI (4.0% vs 3.2%). Conclusions. These results suggest the need for increased attention to the long-term care needs of individuals with SMI. Additional steps need to be taken to ensure that patients with SMI are offered appropriate alternatives to nursing home care and receive adequate screening before admission to nursing home treatment. Copyright Â© 2012 by the American Public Health AssociationÂ®.</t>
  </si>
  <si>
    <t>Additional steps need to be taken to ensure that patients with SMI are offered appropriate alternatives to nursing home care and receive adequate screening before admission to nursing home treatment.</t>
  </si>
  <si>
    <t>SCOPUS_ID:85163105729</t>
  </si>
  <si>
    <t>10.1016/j.ypmed.2023.107569</t>
  </si>
  <si>
    <t>The need for a personalized, core digital resource to facilitate health self-management</t>
  </si>
  <si>
    <t>['Digital technology', 'Health services', 'Preventive medicine', 'Public health', 'Risk assessment', 'Self-management', 'Social medicine', 'Telemedicine']</t>
  </si>
  <si>
    <t>High quality healthcare is becoming increasingly unaffordable and inaccessible. To reverse this trend, people need to self-manage as much of their health as possible. They need to take appropriate preventive actions and use health services in a timely and efficient manner. Yet health self-management is challenging in an increasingly complex environment that involves competing demands and sometimes contradictory advice as well as increasingly fragmented delivery of health services. Digital tools have added a new dimension to healthcare and hold the potential to help bridge these challenges. Unfortunately, much of the potential benefit of digital resources is not being realized, partly because of difficulties people face in identifying appropriate and effective resources in a haystack of mainly unevaluated and often poorly conceived resources. Underuse and failure to maintain use of resources found to be effective also retards progress. Furthermore, people need more help to understand their needs and establish priorities around their health self-management. We argue that these needs can be met with a person-centered, digital self-management core resource that supports people to better understand their needs and priorities and has links to find the resources they need to manage their health, alone or by judicious use of health services.</t>
  </si>
  <si>
    <t>We argue that these needs can be met with a person-centered, digital self-management core resource that supports people to better understand their needs and priorities and has links to find the resources they need to manage their health, alone or by judicious use of health services.</t>
  </si>
  <si>
    <t>sadly not an emperical paper. we didn't prompt the LLM to exclude these and can't fully exlude using scopus. Assuming it's a valid paper oit's TRUE as it does argue policy change</t>
  </si>
  <si>
    <t>Commentary?</t>
  </si>
  <si>
    <t>SCOPUS_ID:84939488498</t>
  </si>
  <si>
    <t>10.1093/eurpub/cku178</t>
  </si>
  <si>
    <t>Vaccination coverage for measles, mumps and rubella in anthroposophical schools in Gelderland, the Netherlands</t>
  </si>
  <si>
    <t>Background: Social clustering of unvaccinated children in anthroposophical schools occurs, as inferred from various measles outbreaks that can be traced to these schools. However, accurate vaccination coverage data of anthroposophical schools are not widely available. Methods: In 2012, we performed a survey to estimate the vaccination coverage in three different grades of 11 anthroposophical schools in Gelderland, The Netherlands. We also gauged the opinion on childhood vaccination of the parents and compared these with the results of a national survey. In 2014, we were also able to obtain the registered total vaccination coverage per school from the national vaccination register to compare this with our survey data. Results: The self-reported MMR vaccination coverage (2012) in the three grades of the schools in our study was 83% (range 45-100% per school). The registered total vaccination coverage (2014) was 78% (range 59-88% per school). The 95% confidence intervals of the two different vaccination coverages overlap for all schools. The parents in this study were less convinced about the beneficial effect of vaccinations and more worried about the possible side effects of vaccination compared with parents in general. Conclusion: Despite high overall vaccination coverage, the WHO goal to eliminate measles and rubella will not easily be achieved when social clustering of unvaccinated children in anthroposophical schools remains.</t>
  </si>
  <si>
    <t>SCOPUS_ID:77956579128</t>
  </si>
  <si>
    <t>10.1016/j.amepre.2010.05.023</t>
  </si>
  <si>
    <t>Weight concerns, mood, and postpartum smoking relapse</t>
  </si>
  <si>
    <t>Background The majority of women who quit smoking as a result of pregnancy will resume smoking during the first 6 months postpartum. Evidence suggests that changes in depressive symptoms, perceived stress, and concerns about weight may relate to postpartum smoking relapse. Purpose This study was designed to prospectively evaluate the relationship of mood and weight concerns to postpartum smoking among women who quit smoking during pregnancy. Methods Pregnant women who had quit smoking (N=183) were recruited between February 2003 and November 2006. Women completed assessments of mood (depressive symptoms, perceived stress, positive and negative affect) and weight concerns during the third trimester of pregnancy and at 6, 12, and 24 weeks postpartum. Self-reported smoking status was verified by expired-air carbon monoxide and salivary cotinine at each assessment. Cox regression analyses in which mood and weight concerns were treated as time-dependent covariates were conducted in 2007 and 2009. Results By 24 weeks postpartum, 65% of women had resumed smoking. Smoking-related weight concerns increased risk of relapse, and positive affect and self-efficacy for weight management without smoking decreased risk of relapse postpartum. Moreover, after controlling for variables previously related to postpartum relapse, weight concerns remained significantly related to smoking relapse. Conclusions Smoking-related weight concerns and positive affect increase the likelihood that a woman will resume smoking postpartum. Moreover, weight concerns appear to be salient even in the context of other factors shown to affect postpartum smoking. This study suggests that interventions may need to address women's weight concerns and mood to help sustain smoking abstinence after childbirth. Â© 2010 American Journal of Preventive Medicine.</t>
  </si>
  <si>
    <t>This study suggests that interventions may need to address women’s weight concerns and mood to help sustain smoking abstinence after childbirth</t>
  </si>
  <si>
    <t>SCOPUS_ID:85006078355</t>
  </si>
  <si>
    <t>10.2105/AJPH.2016.303450</t>
  </si>
  <si>
    <t>A public-private partnership to mitigate food insecurity and food waste in Orange County, California</t>
  </si>
  <si>
    <t>Food insecurity is a global issue that arises owing to systemic socioeconomic inequities and environmental constraints. To highlight the existence and the extent of food insecurity and food waste, the Orange County Health Department in Orange County, California, created a coalition called "Waste Not Orange County." Orange County is the sixth most populous county in California and has the highest median income, yet 11.4% of those residing in Orange County are food insecure, and 24.0% live in poverty. The overall vision of the coalition is to mitigate hunger in Orange County by educating the community about food donations, identifying food-insecure individuals, and connecting those individuals to sources of food. We examine the coalition's impacts between 2014 and 2016.</t>
  </si>
  <si>
    <t>SCOPUS_ID:85102907333</t>
  </si>
  <si>
    <t>10.2105/AJPH.2020.306097</t>
  </si>
  <si>
    <t>Establishing a SARS-CoV-2 (COVID-19) Drive-Through Collection Site: A Community-Based Participatory Research Partnership With a Federally Qualified Health Center</t>
  </si>
  <si>
    <t>The COVID-19 pandemic has disproportionately affected underserved and minority populations in the United States. This is partially attributable to limited access to diagnostic testing from deeply rooted structural inequities precipitating higher infection and mortality rates. We describe the process of establishing a drive-through collection site by leveraging an academic-community partnership between a medical institution and a federally qualified health center in Minnesota. Over 10 weeks, 2006 COVID-19 tests were provided to a socioeconomically disadvantaged population of racial/ethnic minorities and low-income essential workers.</t>
  </si>
  <si>
    <t>SCOPUS_ID:85044271034</t>
  </si>
  <si>
    <t>10.1097/EDE.0000000000000753</t>
  </si>
  <si>
    <t>The Relationship between 2009 Pandemic H1N1 Influenza during Pregnancy and Preterm Birth: A Population-based Cohort Study</t>
  </si>
  <si>
    <t>Background: Previous studies of maternal influenza illness and preterm birth have yielded inconsistent results. Our objective was to assess the association between 2009 pandemic H1N1 (pH1N1) influenza during pregnancy and preterm birth in a large obstetrical population. Methods: We linked a province-wide birth registry with health administrative databases to identify influenza-coded hospitalizations, emergency department visits, or physician visits among pregnant women during the 2009 H1N1 pandemic (our proxy for clinical pH1N1 influenza illness). Using Cox regression, we estimated adjusted hazard ratios (aHR) for preterm birth and spontaneous preterm birth treating influenza as a time-varying exposure. Results: Among 192,082 women with a singleton live birth, 2,925 (1.5%) had an influenza-coded health care encounter during the 2009 H1N1 pandemic. Compared with unexposed pregnancy time, there was no association between exposure to the pandemic, with or without clinical influenza illness, and preterm birth (no pH1N1 diagnosis: aHR = 1.0; 95% confidence interval [CI] = 0.98, 1.1; pH1N1 diagnosis: aHR = 1.0; 95% CI = 0.88, 1.2). Among women with preexisting medical conditions, influenza was associated with increased preterm birth (aHR = 1.5; 95% CI = 1.1, 2.2) and spontaneous preterm birth (aHR = 1.7; 95% CI = 1.1, 2.6), and these associations were strongest in the third trimester and when data were analyzed to allow for a transient acute effect of influenza. Conclusions: In the general obstetrical population, there was no association between pH1N1 influenza illness and preterm birth, but women with preexisting medical conditions known to increase the risk of influenza-associated morbidity were at elevated risk.</t>
  </si>
  <si>
    <t>SCOPUS_ID:85067089244</t>
  </si>
  <si>
    <t>10.1093/aje/kwz056</t>
  </si>
  <si>
    <t>Optimism and Healthy Aging in Women and Men</t>
  </si>
  <si>
    <t>['Chronic Disease', 'Cognitive Function', 'Health Psychology', 'Healthy Aging', 'Optimism', 'Physical Function', 'Psychological Well-Being', 'Resilience']</t>
  </si>
  <si>
    <t>Mounting evidence indicates that there are specific associations between higher levels of optimism and healthier behaviors, reduced risk of chronic diseases, and lower mortality. Yet, for public health purposes, it is critical to consider how optimismmight be related to a full scope of health conditions in aging-from cognitive to physical health. Using prospective data from the Health and Retirement Study (n = 5,698), we examined whether higher baseline optimism was associated with subsequent increased likelihood of maintaining healthy aging over 6-8 years of follow-up. Optimism was assessed at study baseline (2006 or 2008), and components of healthy aging were assessed every 2 years, defined as: 1) remaining free of major chronic diseases; 2) having no cognitive impairment; and 3) good physical functioning. Hazard ratios were obtained using Cox proportional hazards models, and a range of relevant covariates were considered (sociodemographic factors, depressive symptoms, and health behaviors). After adjusting for sociodemographic factors and depression, the most (top quartile) versus least (bottom quartile) optimistic participants had a 24% increased likelihood of maintaining healthy aging (95% CI: 1.11, 1.38). Further adjustment for health behaviors did not meaningfully change the findings. Optimism, a potentially modifiable health asset, merits further research for its potential to improve likelihood of health in aging.</t>
  </si>
  <si>
    <t>SCOPUS_ID:0030991841</t>
  </si>
  <si>
    <t>10.1093/eurpub/7.2.153</t>
  </si>
  <si>
    <t>Cost-effectiveness of vaccination against pneumococcal pneumonia in The Netherlands</t>
  </si>
  <si>
    <t>['Cost-effectiveness', 'Decision tree', 'Economic evaluation', 'Pneumococcal pneumonia', 'Vaccine']</t>
  </si>
  <si>
    <t>Because of the prevalence of pneumococcal pneumonia and the substantial morbidity and mortality associated with many pneumococcal infections, considerable efforts have been made in disease prevention, using a polyvalent polysaccharide pneumococcal vaccine. Although the WHO has endorsed a policy of universal vaccination of all elderly people, the economic aspects of such a policy have not been determined. Using a decision tree framework, this paper examines the cost-effectiveness of various strategies of pneumococcal vaccination for the elderly in The Netherlands. For various age categories, the economic attractiveness of the vaccination of all individuals as well as the vaccination of only those individuals with a specific disease has been calculated. We conclude that, allowing for some uncertainty regarding key variables such as the vaccine efficacy and the hospital admission rate, the vaccination of all individuals above the age of 65 years is comparable in terms of cost-effectiveness to many existing health care interventions. The vaccination of individuals above the age of 55 years with chronic lung disease or chronic heart disease is similarly attractive from an economic point of view, as is the vaccination of individuals above the age of 65 years with diabetes mellitus.</t>
  </si>
  <si>
    <t>SCOPUS_ID:84939523052</t>
  </si>
  <si>
    <t>10.1093/eurpub/cku191</t>
  </si>
  <si>
    <t>Cybervictimization and somatic and psychological symptoms among Italian middle school students</t>
  </si>
  <si>
    <t>Background: Existing literature clearly documents the association between cybervictimization and psychological symptoms; less clear is the association between cybervictimization and somatic symptoms. This study aims to verify the association between cybervictimization and both psychological and somatic symptoms on a representative sample of Italian early adolescents. Methods: This study used data from 24 099 students aged 13 years participating in the 2009/2010 Health Behaviour in School-aged Children Survey. Self-completed questionnaires, devised by the HBSC international group, were administered in classrooms. Multilevel models of logistic regression (controlling for traditional bullying victimization, computer use and demographics) were used to investigate the association between cybervictimization and psychological and somatic symptoms. Results: Overall, 3.1% of the students reported having been bullied frequently electronically and 8.7% occasionally (compared, respectively, to 4.0 and 9.2% victims of traditional forms of bullying). Overall, prevalence of students reporting psychological and somatic symptoms was 32.5 and 12.0%, respectively. Being victims of cyberbullying was positively associated to students' psychological and somatic symptoms, after controlling for traditional bullying victimization and computer use. Conclusion: Cybervictimization has similar psychological and somatic consequences for boys and girls, thus suggesting that intervention and prevention efforts should focus on both gender groups.</t>
  </si>
  <si>
    <t>Cybervictimization has similar psychological and somatic consequences for boys and girls, thus suggesting that intervention and prevention efforts should focus on both gender groups</t>
  </si>
  <si>
    <t>SCOPUS_ID:85040537803</t>
  </si>
  <si>
    <t>10.2105/AJPH.2017.304179</t>
  </si>
  <si>
    <t>Various Types of Arthritis in the United States: Prevalence and Age-Related Trends From 1999 to 2014</t>
  </si>
  <si>
    <t>Objectives. To determine the prevalence trends of osteoarthritis (OA), rheumatoid arthritis (RA), and other types of arthritis in the United States from 1999 to 2014. Methods. We analyzed data on 43 706 community-dwelling adults aged 20 years and older who participated in the 1999â€“2014 National Health and Nutrition Examination Surveys. We accounted for survey design and sampling weights so that estimates were nationally representative. We assessed temporal trends in age-standardized arthritis prevalence by using joinpoint regression. Results. Age-adjusted prevalence of arthritis was 24.7% (OA = 9.7%; RA = 4.2%; other arthritis = 2.8%; â€œdonâ€™t knowâ€ type = 8.0%). Prevalence of OA increased from 6.6% to 14.3%, whereas RA prevalence decreased from 5.9% to 3.8%. Increase in OA prevalence was significant in both genders; in non-Hispanic Whites, non-Hispanic Blacks, and Hispanics; and in people with high socioeconomic status. Decrease in RA prevalence was more pronounced in men, non-Hispanic Blacks, and participants with low income or obesity. Conclusions. Between 1999 and 2014, nearly one quarter of American adults reported arthritis. The prevalence of OA has more than doubled over time whereas RA prevalence has declined.</t>
  </si>
  <si>
    <t>SCOPUS_ID:7244239176</t>
  </si>
  <si>
    <t>10.1136/jech.2003.015370</t>
  </si>
  <si>
    <t>History of addictions.</t>
  </si>
  <si>
    <t>This glossary arises out of research interests in the 19th and 20th century in the history of drugs, including the contemporary history of drug policy. It is necessarily brief, and British and American focused; it is also concentrated on narcotic drugs rather than alcohol and tobacco. However, the comments take on board the recent discussions of convergence across the substances, and also the spread of the concept of addiction to tobacco in recent years. The bibliography is also limited to specific interests.</t>
  </si>
  <si>
    <t>Likely not an empirical paper? It says glossary?</t>
  </si>
  <si>
    <t>SCOPUS_ID:10744220752</t>
  </si>
  <si>
    <t>10.1016/j.ypmed.2003.08.009</t>
  </si>
  <si>
    <t>Changes in the nutrient content of school lunches: Results from the Pathways study</t>
  </si>
  <si>
    <t>['American-Indian children', 'Native American', 'Obesity prevention', 'School food service', 'School lunch']</t>
  </si>
  <si>
    <t>Background. Pathways, a randomized trial, evaluated the effectiveness of a school-based multicomponent intervention to reduce fatness in American-Indian schoolchildren. The goal of the Pathways food service intervention component was to reduce the fat in school lunches to no more than 30% of energy from fat while maintaining recommended levels of calories and key nutrients. Methods. The intervention was implemented by school food service staff in intervention schools over a 3-year period. Five consecutive days of school lunch menu items were collected from 20 control and 21 intervention schools at four time periods, and nutrient content was analyzed. Results. There was a significantly greater mean reduction in percent energy from fat and saturated fat in the intervention schools compared to the control schools. Mean percentages of energy from fat decreased from 33.1% at baseline to 28.3% at the end of the study in intervention schools compared to 33.2% at baseline and 32.2% at follow-up in the control schools (P &lt; 0.003). There were no statistically significant differences for calories or nutrients between intervention and control schools. Conclusions. The Pathways school food lunch intervention documented the feasibility of successfully lowering the percent of energy from fat, as part of a coordinated obesity prevention program for American-Indian children. Â© 2003 American Health Foundation and Elsevier Science (USA). All rights reserved.</t>
  </si>
  <si>
    <t>SCOPUS_ID:18444365008</t>
  </si>
  <si>
    <t>10.1093/ije/dyh377</t>
  </si>
  <si>
    <t>Pre-hospital coronary care and coronary fatality in the Belfast and Glasgow MONICA populations</t>
  </si>
  <si>
    <t>['Coronary event register', 'Coronary heart disease', 'MONICA', 'Mortality', 'Myocardial infarction', 'Pre-hospital care']</t>
  </si>
  <si>
    <t>Background: The aim of this study was to describe and compare coronary event case fatality and care pathways in two defined populations with access to different models of pre-hospital care provision. Methods: Secondary analysis of MONItoring of Trends and Determinants in CArdiovascular Disease (MONICA) population coronary event registers (1988, 1989, 1990, 1992 and 1993). Results: Case fatality at 28 days following an acute coronary event was 6.5% greater in the Glasgow MONICA Project (GMP) population (46.7%) than in the Belfast MONICA Project (BMP) population (40.2%). Pre-hospital case fatality was 33.9% in the GMP population and 28.3% in the BMP population. These differences could not be fully explained by mobile coronary care unit (MCCU) responses in the BMP area. Initial care was provided in hospital for 28.3% of the BMP events and only 7.7% of the GMP events. Additional data collected by the Belfast and Glasgow MONICA investigators support a large difference between the median delay to main medical care in the BMP events (120 min) and the median delay to ward admission in the GMP area (220 min) at this time. Conclusions: Our findings suggest that the delay between coronary event onset and access to specialist coronary care was the most likely critical difference, irrespective of hospital-based MCCU provision in the BMP area. An established 'culture of early intervention' in Belfast may have been an important factor. As a large proportion of coronary event fatalities continue to occur outside hospital, there is a need to strengthen the evidence base underpinning the provision of appropriate skilled care and treatment at the earliest possible opportunity. Â© The Author 2005; all rights reserved.</t>
  </si>
  <si>
    <t>There is a need to strengthen the evidence base underpinning the provision of appropriate skilled care and treatment at the earliest possible opportunity.</t>
  </si>
  <si>
    <t>just calling for more research</t>
  </si>
  <si>
    <t>SCOPUS_ID:85131904117</t>
  </si>
  <si>
    <t>10.1093/ije/dyac049</t>
  </si>
  <si>
    <t>Decline in attention-deficit hyperactivity disorder traits over the life course in the general population: Trajectories across five population birth cohorts spanning ages 3 to 45 years</t>
  </si>
  <si>
    <t>['ADHD', 'ALSPAC', 'Attention-deficit hyperactivity disorder', 'Dunedin', 'E-Risk', 'neurodevelopment', 'Pelotas', 'TEDS', 'trajectories']</t>
  </si>
  <si>
    <t>Background: Trajectories of attention-deficit hyperactivity disorder (ADHD) traits spanning early childhood to mid-life have not been described in general populations across different geographical contexts. Population trajectories are crucial to better understanding typical developmental patterns. Methods: We combined repeated assessments of ADHD traits from five population-based cohorts, spanning ages 3 to 45 years. We used two measures: (i) the Strengths and Difficulties Questionnaire (SDQ) hyperactive-inattentive subscale (175831 observations, 29519 individuals); and (ii) scores from DSM-referenced scales (118144 observations, 28685 individuals). Multilevel linear spline models allowed for non-linear change over time and differences between cohorts and raters (parent/teacher/self). Results: Patterns of age-related change differed by measure, cohort and country: overall, SDQ scores decreased with age, most rapidly declining before age 8 years (-0.157, 95% CI:-0.170,-0.144 per year). The pattern was generally consistent using DSM scores, although with greater between-cohort variation. DSM scores decreased most rapidly between ages 14 and 17 years (-1.32%, 95% CI:-1.471,-1.170 per year). Average scores were consistently lower for females than males (SDQ:-0.818, 95% CI:-0.856,-0.780; DSM:-4.934%, 95% CI:-5.378,-4.489). This sex difference decreased over age for both measures, due to an overall steeper decrease for males. Conclusions: ADHD trait scores declined from childhood to mid-life, with marked variation between cohorts. Our results highlight the importance of taking a developmental perspective when considering typical population traits. When interpreting changes in clinical cohorts, it is important to consider the pattern of expected change within the general population, which is influenced by cultural context and measurement.</t>
  </si>
  <si>
    <t>SCOPUS_ID:85163144598</t>
  </si>
  <si>
    <t>10.1016/j.ypmed.2023.107582</t>
  </si>
  <si>
    <t>Action recognition for sports combined training based on wearable sensor technology and SVM prediction</t>
  </si>
  <si>
    <t>['Action recognition', 'Injury prevention', 'Sports combined training', 'SVM algorithm', 'Wearable sensor']</t>
  </si>
  <si>
    <t>In the field of sports, coaches have mainly relied on observing the performance of athletes on the spot to formulate suitable training plans for athletes, which has extremely high requirements for the professionalism of coaches. Based on the above requirements, this paper designs a sports action recognition system for sports enthusiasts based on the SVM algorithm optimization model, and for the purpose of verifying the applicability of the system to different sports fields, experiments are carried out on basketball actions and race walking actions. The system uses wearable sensors to capture the motion data of the user, and then analyzes and identifies the user's actions through the SVM algorithm optimization model. By standardizing the user's sports combination training under the system algorithm, the user can improve their training efficiency and reduce the risk of injury. To establish the human body motion model, this paper divides the human skeleton model into five motion branches. The rotation freedom constraints and joint rotation angle range limits are added to the model to ensure the accuracy of the motion analysis. Combining the forward kinematics of the robot and the homogeneous coordinate transformation, the human body joint rotation motion model and the human bone position and posture model are established. In the end, the user can standardize the sports combination training under the system algorithm. In this paper, through the research of wearable sensor technology and sports combined training action recognition, and apply it to practical life, it aims to promote its development and application.</t>
  </si>
  <si>
    <t>China</t>
  </si>
  <si>
    <t>SCOPUS_ID:85053424873</t>
  </si>
  <si>
    <t>10.1016/S2468-2667(18)30097-5</t>
  </si>
  <si>
    <t>The effect of public health-oriented drug law reform on HIV incidence in people who inject drugs in Tijuana, Mexico: an epidemic modelling study</t>
  </si>
  <si>
    <t>Background: As countries embark on public health-oriented drug law reform, health impact evaluations are needed. In 2012, Mexico mandated the narcomenudeo reform, which depenalised the possession of small amounts of drugs and instituted drug treatment instead of incarceration. We investigated the past and future effect of this drug law reform on HIV incidence in people who inject drugs in Tijuana, Mexico. Methods: In this epidemic modelling study, we used data from the El Cuete IV cohort study to develop a deterministic model of injecting and sexual HIV transmission in people who inject drugs in Tijuana between 2012 and 2030. The population was stratified by sex, incarceration status, syringe confiscation by the police, HIV stage, and exposure to drug treatment or rehabilitation (either opioid agonist treatment or compulsory drug abstinence programmes). We modelled the effect of these exposures on HIV risk in people who inject drugs, estimating the effect of observed and potential future reform enforcement levels. Findings: In 2011, prior to the narcomenudeo reform, 547 (75%) of 733 people who inject drugs in the El Cuete cohort reported having ever been incarcerated, on average five times since starting injecting. Modelling estimated the limited reform implementation averted 2% (95% CI 0Â·2â€“3Â·0) of new HIV infections in people who inject drugs between 2012 and 2017. If implementation reduced incarceration in people who inject drugs by 80% from 2018 onward, 9% (95% CI 4â€“16) of new HIV infections between 2018 and 2030 could be averted, with 21% (10â€“33) averted if people who inject drugs were referred to opioid agonist treatment instead of being incarcerated. Referral to compulsory drug abstinence programmes instead of prison could have a lower or potentially negative impact with âˆ’2% (95% CI âˆ’23 to 9) infections averted. Interpretation: Mexican drug law reform has had a negligible effect on the HIV epidemic among people who inject drugs in Tijuana. However, appropriate implementation could markedly reduce HIV incidence if linked to opioid agonist treatment. Unfortunately, compulsory drug abstinence programmes are the main type of drug rehabilitation available and their expansion could potentially increase HIV transmission. Funding: National Institute on Drug Abuse, UC San Diego Center for AIDS Research.</t>
  </si>
  <si>
    <t>Appropriate implementation could markedly reduce HIV incidence if linked to opioid agonist treatment.</t>
  </si>
  <si>
    <t>SCOPUS_ID:0036392038</t>
  </si>
  <si>
    <t>10.1006/pmed.2002.1064</t>
  </si>
  <si>
    <t>Clustering of lifestyle risk factors in a general adult population</t>
  </si>
  <si>
    <t>['Adults', 'Clustering', 'Lifestyle']</t>
  </si>
  <si>
    <t>Background. The objective of the study was to evaluate the degree of clustering of common lifestyle risk factors in a general adult population and to define subgroups with elevated clustering. Methods. Data on lifestyle risk factors (smoking, low vegetable and fruit consumption, excessive alcohol intake, and low physical activity), sociodemographics, and health perception were collected by questionnaire from 16,789 men and women aged 20 to 59. Results. About 20% of the subjects had at least three lifestyle risk factors. Prevalence of risk factors was higher among unemployed, low-educated subjects and those who had experienced health deterioration. All lifestyle risk factors showed significant clustering, except for low physical activity and excessive alcohol consumption. The strongest association was observed for alcohol and smoking (prevalence odds ratio (POR): 2.38; 95% confidence interval: 2.18-2.61). Clustering of smoking and alcohol consumption was strongest among the young subjects (POR: 3.78) and, although moderately, clustering of lifestyle risk factors was elevated in subjects who had experienced a deterioration in health. Conclusions. These findings suggest that common lifestyle risk factors cluster among adult subjects. The tendency for risk factors to aggregate has important implications for health promotion. Information on high-risk groups will help in planning future preventive strategies. Â© 2002 American Health Foundation and Elsevier Science (USA).</t>
  </si>
  <si>
    <t>The tendency for risk factors to aggregate has important implications for health promotion. Information on high-risk groups will help in planning future preventive strategies</t>
  </si>
  <si>
    <t>SCOPUS_ID:0031925067</t>
  </si>
  <si>
    <t>10.1093/ije/27.2.222</t>
  </si>
  <si>
    <t>Morbidity differences by occupational class among men in seven European countries: An application of the Erikson-Goldthorpe social class scheme</t>
  </si>
  <si>
    <t>['Health surveys', 'International comparison', 'Occupational class', 'Self-reported morbidity', 'Socioeconomic status']</t>
  </si>
  <si>
    <t>Background: This paper describes morbidity differences according to occupational class among men from France, Switzerland, (West) Germany, Great Britain, the Netherlands, Denmark, and Sweden. Methods: Data were obtained from national health interview surveys or similar surveys between 1986 and 1992. Four morbidity indicators were included. For each country, individual-level data on occupation were recoded according to one standard occupational class scheme: the Erikson-Goldthorpe social class scheme. To describe the pattern of morbidity by occupational class, odds ratios (OR) were calculated for each class using the average of the population as a reference. The size of morbidity differences was summarized by the OR of two broad hierarchical classes. All OR were age-adjusted. Results: For all countries, a lower than average prevalence of morbidity was found for higher and lower administrators and professionals as well as for routine non-manual workers, whereas a higher than average prevalence was found for skilled and unskilled manual workers and agricultural workers. Self-employed men were in general healthier than the average population. The relative health of farmers differed between countries. The morbidity difference between manual workers and the class of administrators and professionals was approximately equally large in all countries. Consistently larger inequality estimates, with no or slightly overlapping confidence intervals, were only found for Sweden in comparison with Germany. Conclusions: Thanks to the use of a common social class scheme in each country, a high degree of comparability was achieved. The results suggest that morbidity differences according to occupational class among men are very similar between different European countries.</t>
  </si>
  <si>
    <t>SCOPUS_ID:0027287546</t>
  </si>
  <si>
    <t>10.1093/oxfordjournals.aje.a116744</t>
  </si>
  <si>
    <t>Breast cancer risk associated with abnormal cytology in nipple aspirates of breast fluid and prior history of breast biopsy</t>
  </si>
  <si>
    <t>['Biopsy', 'Breast', 'Breast neoplasms', 'Cohort studies', 'Cytology', 'Risk factors']</t>
  </si>
  <si>
    <t>The authors previously reported an increased risk of breast cancer in women from the San Francisco Bay Area first enrolled between 1973 and 1980 with proliferative cytologic findings (hyperplasia, moderate hyperplasia, and atypia) compared with women with normal cytologic findings in breast fluids obtained by nipple aspiration and with women from whom breast fluid could not be obtained. To look for factors which might modify the risks associated with cytology, the authors examined several standard breast cancer risk factors: parity, age at first pregnancy, age at menarche, family history of breast cancer, and prior history of breast biopsy. Among women aged 30 years or over, only prior biopsy modified the effect of proliferative cytologic findings on the risk of breast cancer (p&lt;0.10). For those women with no prior biopsy, breast cancer incidence was 5% (47 of 985) among women with normal cytology and 5% (13 of 277) among women with proliferative findings, whereas among those women with prior biopsy, breast cancer incidence was 4% (eight of 185) among women with normal cytology and 18% (11 of 62) among women with proliferative cytology. Age-adjusted as well as multivariate-adjusted relative risks indicated that the increased risk of breast cancer associated with proliferative cytologic findings was largely confined to women who had a prior history of breast biopsy. Â© 1993 by The Johns Hopkins University School of Hygene and Public Health.</t>
  </si>
  <si>
    <t>SCOPUS_ID:0033230487</t>
  </si>
  <si>
    <t>10.1016/S0749-3797(99)00087-2</t>
  </si>
  <si>
    <t>Policy tools for building health education and preventive counseling into managed care</t>
  </si>
  <si>
    <t>['Counseling', 'Health education', 'Health policy', 'Managed care programs', 'Primary prevention']</t>
  </si>
  <si>
    <t>Content: Six policy tools for building health education and preventive counseling into managed care are presented, and the opportunities and barriers to implementing each are described based largely on managed care plans operating in California in 1998. The six policy tools include (1) covering health education and preventive counseling as defined benefits, (2) increasing access to and use of health promotion programs, (3) incorporating health education into disease-management programs, (4) defining quality performance measures for health education and preventive counseling, (5) defining performance targets and guarantees for health education and preventive counseling to hold health plans accountable for providing these services, and (6) building collaboration between public health agencies and managed care on public health education and health promotion. For each of these, the policy option is described, examples of current practice are provided, and the problems and limitations associated with each are discussed.</t>
  </si>
  <si>
    <t>whole abstract is about recommending and describing these tools</t>
  </si>
  <si>
    <t>not an emperical paper;  a policy discussion paper, so should be removed from population (we could have asked LLM to classify as n/a non emperical paper)</t>
  </si>
  <si>
    <t>not sure how to classify this, it looks like a commentary?</t>
  </si>
  <si>
    <t>SCOPUS_ID:84987962219</t>
  </si>
  <si>
    <t>10.2105/AJPH.2016.303362</t>
  </si>
  <si>
    <t>Impact of the Berkeley excise tax on sugar-sweetened beverage consumption</t>
  </si>
  <si>
    <t>Objectives. To evaluate the impact of the excise tax on sugar-sweetened beverage (SSB) consumption in Berkeley, California, which became the first US jurisdiction to implement such a tax ($0.01/oz) in March 2015. Methods. We used a repeated cross-sectional design to examine changes in pre- to post tax beverage consumption in low-income neighborhoods in Berkeley versus in the comparison cities of Oakland and San Francisco, California. A beverage frequency questionnaire was interviewer administered to 990 participants before the tax and 1689 after the tax (approximately 8 months after the vote and 4 months after implementation) to examine relative changes in consumption. Results. Consumption of SSBs decreased 21% in Berkeley and increased 4% in comparison cities (P = .046). Water consumption increased more in Berkeley (+63%) than in comparison cities (+19%; P &lt; .01). Conclusions. Berkeley's excise tax reduced SSB consumption in low-income neighborhoods. Evaluating SSB taxes in other cities will improve understanding of their public health benefit and their generalizability.</t>
  </si>
  <si>
    <t>Berkeley’s excise tax reduced SSB consumption in low-income neighborhoods. Evaluating SSB taxes in other cities will improve understanding of their public health benefit and their generalizability.</t>
  </si>
  <si>
    <t xml:space="preserve">FALSE </t>
  </si>
  <si>
    <t>just calling for more research in other settings</t>
  </si>
  <si>
    <t>SCOPUS_ID:0028139166</t>
  </si>
  <si>
    <t>10.1006/pmed.1994.1134</t>
  </si>
  <si>
    <t>Correlates of healthy eating habits in low-income Black women and Latinas</t>
  </si>
  <si>
    <t>Background. Few factors related to healthy or unhealthy eating habits in low-income, ethnic minority groups have been identified. In this study, factors associated with healthy and unhealthy eating habits and intent to change eating habits were examined in a sample of low-income Black and Latino women. Methods. Survey questionnaires designed to identify correlates of healthy eating habits were administered to 243 Black and Latino women whose children were enrolled in Head Start programs in South Central Los Angeles. Results. Having health insurance, lower perceived susceptibility to cancer, and higher levels of social support were significantly related to healthy eating habits. Exposure to domestic violence, lower income and knowledge of risk factors, and lower perceived efficacy in changing health outcome were associated with lower levels of intent to change eating habits. Conclusions. Economic factors such as insurance coverage and level of social support should be considered in evaluating and addressing eating habits in low- income, ethnic minority women. Exposure to domestic violence and self- efficacy may also be related to intent to change eating habits in these groups. Â© 1994 by Academic Press, Inc.</t>
  </si>
  <si>
    <t>Economic factors such as insurance coverage and level of social support should be considered in evaluating and addressing eating habits in low-income, ethnic minority women.</t>
  </si>
  <si>
    <t>SCOPUS_ID:71449114462</t>
  </si>
  <si>
    <t>10.1093/eurpub/ckp065</t>
  </si>
  <si>
    <t>Prevalence of family violence in adults and children: Estimates using the capture-recapture method</t>
  </si>
  <si>
    <t>['Capture-recapture method', 'Child abuse', 'Family violence', 'Health-care coverage', 'Prevalence']</t>
  </si>
  <si>
    <t>Background: Reliable prevalence estimates of family violence in adults and children are difficult to obtain. Most are based on surveys or registration counts, whose research designs and methods are often questionable, making the results difficult to compare. This article presents an alternative approach. Methods: The capture-recapture method (CRC), which makes it possible to estimate unknown numbers in a partly hidden population, was applied to data from eight collaborating organizations in Haarlem, The Netherlands. Results: Uniform data registration took place over a 7-month period. The 1-year prevalence rate for adult victims of family violence was estimated to be 2.0 of the adult population (95 CI: 1.3-3.1). For victims of child abuse, it was 1.5-2.5, and for child witnesses of spouse-abuse, it was 1.2-2.1, though small numbers made these results more uncertain. Only âˆ¼20 of all victims in the study were known to one or more of the participating organizations. Our results accorded quite well with results obtained by general health surveys in the Netherlands. Conclusions: CRC appears to be a valid and feasible research method for estimating the prevalence of family violence and child abuse. It can be used to complement other methods, especially in young children, in whom valid results are otherwise difficult to obtain.</t>
  </si>
  <si>
    <t>SCOPUS_ID:85051131275</t>
  </si>
  <si>
    <t>10.1016/j.ypmed.2018.08.001</t>
  </si>
  <si>
    <t>Associations of volumes and patterns of physical activity with metabolic health in children: A multivariate pattern analysis approach</t>
  </si>
  <si>
    <t>['Accelerometer', 'Bouts', 'Breaks', 'Childhood', 'Metabolic risk factors', 'Multivariate pattern analysis', 'Pediatric', 'Pre-pubertal']</t>
  </si>
  <si>
    <t>Physical activity (PA) favorably affects metabolic health in children, but it is unclear how total volumes versus patterns (bouts and breaks) of PA relate to health. By means of multivariate pattern analysis that can handle collinear variables, we determined the associations of PA volumes and patterns with children's metabolic health using different epoch settings. A sample of 841 Norwegian children (age 10.2 Â± 0.3 years) provided in 2014 data on accelerometry (ActiGraph GT3X+), using epoch settings of 1, 10, and 60 s and several indices of metabolic health used to create a composite metabolic health score. We created 355 PA indices covering the whole intensity and bout duration spectrum, and used multivariate pattern analysis to analyze the data. Findings showed that bouts of PA added information about childhood health beyond total volumes of PA for all epoch settings. Yet, associations of PA patterns with metabolic health were completely dependent on the epoch settings used. Vigorous PA was strongly associated with metabolic health, while associations of light and moderate PA were weak to moderate, and associations of sedentary time with metabolic health was non-existing. Short intermittent bursts of PA were favorably associated with children's metabolic health, whereas associations of prolonged bouts were weak. This study is the first to determine the multivariate physical activity association pattern related to metabolic health in children across the whole PA intensity and bout duration spectrum. The findings challenge our understanding of PA patterns, and are of major importance for the analysis of accelerometry data.</t>
  </si>
  <si>
    <t>SCOPUS_ID:17844400812</t>
  </si>
  <si>
    <t>10.1016/j.ypmed.2004.09.018</t>
  </si>
  <si>
    <t>Pap smear use in California: Are we closing the racial/ethnic gap?</t>
  </si>
  <si>
    <t>['Cervical cancer', 'Pap smear', 'Race/ethnicity', 'Screening']</t>
  </si>
  <si>
    <t>Background. Minority women continue to be disproportionately affected by cervical cancer. Minority population groups at high risk for cervical cancer may be failing to fully comply with screening recommendations. The use of Pap smears among women in California was evaluated to identify ethnic groups at higher risk for noncompliance with cervical cancer screening. Methods. Cross-sectional analysis of 2001 California Health Interview Survey data. Logistic regression was used to assess the independent contribution of race/ethnicity to the use of Pap smears. Results. Hispanic (aPR = 1.03, 95%CI 1.02-1.05) and Black (aPR = 1.03, 95% CI 1.001-1.06) women are more likely to report a Pap smear in the past 3 years as compared to White women. Asians were the least likely to report cervical cancer screening despite a more favorable sociodemographic profile. Screening rates varied among Hispanic or Asian subgroups; Mexicans, Vietnamese, Chinese, and South Asians are particularly underserved. Conclusions. In contrast to the country as a whole, Hispanic women in California are more likely to report a recent Pap smear as compared to White women. However, racial/ethnic disparities in Pap smear use persist; Asian women are the least likely to report cervical cancer screening as compared to any other group. Â© 2004 Elsevier Inc. All rights reserved.</t>
  </si>
  <si>
    <t>SCOPUS_ID:85006166037</t>
  </si>
  <si>
    <t>10.1016/j.amepre.2016.09.018</t>
  </si>
  <si>
    <t>Factors Perceived as Influencing Local Health Department Involvement in Mental Health</t>
  </si>
  <si>
    <t>Introduction Local health departments (LHDs) are potentially well positioned to implement population-based approaches to mental health promotion, but research indicates that most LHDs are not substantively engaged in activities to address mental health. Little is known about factors that influence if and how LHDs address population mental health. The objectives of this qualitative study were to (1) understand how LHD officials perceive population mental health; (2) identify factors that influence these perceptions and LHD activities to address population mental health; and (3) develop an empirically derived conceptual framework of LHD engagement in population mental health. Methods Twenty-one semi-structured interviews were conducted with a purposive sample of LHD officials and analyzed using thematic content analysis in 2014â€“2015. Transcripts were double coded, inter-rater reliability statistics were calculated, and categories with Îº â‰¥0.60 were retained. Results Respondents perceived mental health as a public health issue and expressed that it has emerged as a priority through community health needs assessment processes, such as those conducted for health department accreditation. However, most LHDs were not substantively engaged in population mental health activities because of limited resources, knowledge, data, and hesitancy to infringe upon the territory of local behavioral health agencies. LHDs and local behavioral health agencies had difficulty communicating and collaborating because of divergent perspectives and financing arrangements. Conclusions LHD officials are eager to embrace population mental health, but resources, training and education, and systems-level changes are needed. Contemporary reforms to the structure and financing of the U.S. health system offer opportunities to address these challenges.</t>
  </si>
  <si>
    <t>LHD officials are eager to embrace population mental health, but resources, training and education, and systems-level changes are needed</t>
  </si>
  <si>
    <t>SCOPUS_ID:85121236733</t>
  </si>
  <si>
    <t>10.1093/eurpub/ckab152</t>
  </si>
  <si>
    <t>Health workforce protection and preparedness during the covid-19 pandemic: A tool for the rapid assessment of EU health systems</t>
  </si>
  <si>
    <t>This article is dedicated to the WHO International Year of Health and Care Workers in 2021 in recognition of their commitment during the COVID-19 pandemic. The study aims to strengthen health workforce preparedness, protection and ultimately resilience during a pandemic. We argue for a health system approach and introduce a tool for rapid comparative assessment based on integrated multi-level governance. We draw on secondary sources and expert information, including material from Denmark, Germany, Portugal and Romania. The results reveal similar developments across countries: Action has been taken to improve physical protection, digitalization and prioritization of healthcare worker vaccination, whereas social and mental health support programmes were weak or missing. Developments were more diverse in relation to occupational and organizational preparedness: some adhoc transformations of work routines and tasks were observed in all countries, yet skill-mix innovation and collaboration were strongest in Demark and weak in Portugal and Romania. Major governance gaps exist in relation to education and health integration, surveillance, social and mental health support programmes, gendered issues of health workforce capacity and integration of migrant healthcare workers (HCW). There is a need to step up efforts and make health systems more accountable to the needs of HCW during global public health emergencies.</t>
  </si>
  <si>
    <t>There is a need to step up efforts and make health systems more accountable to the needs of HCW during global public health emergencies</t>
  </si>
  <si>
    <t>This looks like a commentary to me?</t>
  </si>
  <si>
    <t>SCOPUS_ID:85131903072</t>
  </si>
  <si>
    <t>10.1093/ije/dyab204</t>
  </si>
  <si>
    <t>Pre-eclampsia and risk of early-childhood asthma: A register study with sibling comparison and an exploration of intermediate variables</t>
  </si>
  <si>
    <t>['Asthma', 'caesarean section', 'child', 'epidemiology', 'intermediate', 'pre-eclampsia', 'prematurity', 'registers', 'sibling', 'small for gestational age']</t>
  </si>
  <si>
    <t>Background: We aimed to study whether pre-eclampsia is associated with childhood asthma, allergic and non-Allergic asthma, accounting for family factors and intermediate variables. Methods: The study population comprised 779 711 children born in 2005-2012, identified from Swedish national health registers (n = 14 823/7410 exposed to mild/moderate and severe pre-eclampsia, respectively). We used Cox regression to estimate the associations of mild/moderate and severe pre-eclampsia with incident asthma, before and after age 2 years. Cox regressions were controlled for familial factors using sibling comparisons, then stratified on high and low risk for intermediate variables: caesarean section, prematurity and small for gestational age. We used logistic regression for allergic and non-Allergic prevalent asthma at 6 years as a measure of more established asthma. Results: The incidence of asthma in children was 7.7% (n = 60 239). The associations varied from adjusted hazard ratio (adjHR) 1.11, 95% confidence interval (CI): 1.00, 1.24 for mild/moderate pre-eclampsia and asthma at &gt;2 years age, to adjHR 1.78, 95% CI: 1.64, 1.95 for severe pre-eclampsia and asthma at &lt;2 years age. Sibling comparisons attenuated most estimates except for the association between severe pre-eclampsia and asthma at &lt;2 years age (adjHR 1.45, 95% CI: 1.10, 1.90), which also remained when stratifying for the risk of intermediates. Mild/moderate and severe pre-eclampsia were associated with prevalent non-Allergic (but not allergic) asthma at 6 years, with adjusted odds ratio (adjOR) 1.17, 95% CI: 1.00, 1.36 and adjOR 1.51, 95% CI: 1.23, 1.84, respectively. Conclusions: We found evidence that severe, but not mild/moderate, pre-eclampsia is associated with asthma regardless of familial factors and confounders.</t>
  </si>
  <si>
    <t>SCOPUS_ID:0033568791</t>
  </si>
  <si>
    <t>10.1093/oxfordjournals.aje.a010053</t>
  </si>
  <si>
    <t>Breast cancer and oral contraceptive use in Asian-American women</t>
  </si>
  <si>
    <t>['Asian Americans', 'Breast neoplasms', 'Contraceptives, oral', 'Transients and migrants']</t>
  </si>
  <si>
    <t xml:space="preserve">Breast cancer incidence has historically been 4-7 times higher in the United States than in Asia. A previous study by the authors in Asian-American women demonstrated a substantial increase in breast cancer risk in women who migrated from Asia to the United States, with the risk almost doubling during the first decade after migration. Increased use of oral contraceptives soon after migration to the United States could possibly explain this rapid rise in risk. In a population-based case-control study of Chinese, Filipino, and Japanese-American women, aged 20-55 years, who lived in San Francisco-Oakland, California; Los Angeles, California; and Oahu, Hawaii during 1983-1987, 597 cases (70% of those eligible) and 966 controls (75%) were interviewed. Controls were matched to cases on age, ethnicity, and area of residence. Oral contraceptive (OC) use increased with time since migration; 15.0% of Asian-born women who had been in the West &lt;8 years, 33.4% of Asian-born women who had been in the West &gt; or =8 years, and 49.6% of Asian women born in the West had ever used OCs. However, duration of OC use (adjusted for age, ethnicity, study area, years since migration, education, family history of breast cancer and age at first full-term birth) was not associated with increased risk of breast cancer. Moreover, neither OC use before age 25 years nor before first full-term birth was associated with increased risk. Results were unchanged when restricted to women under age 45 years or under age 40 years. After adjustment for duration of OC use, women who had been in the United States &gt; or =8 years were still at almost twice the risk of breast cancer compared with women who had been in the United States 2-7 years. This study suggests that OC use cannot explain the elevated risk observed in Asian women who migrated to the United States &gt; or =7 years ago.
</t>
  </si>
  <si>
    <t>SCOPUS_ID:0029004262</t>
  </si>
  <si>
    <t>10.1093/ije/24.supplement_1.s113</t>
  </si>
  <si>
    <t>The Multifund and outcome research</t>
  </si>
  <si>
    <t>The UK health reforms, among other things, have allowed some family practitioners (â€˜fundholdersâ€™) to control part of the budget used to purchase secondary care for the patients registered with their practices. Some feared that this change in organization might threaten the equity of the National Health Service (NHS) by giving advantages to the patients of fundholding general practitioners (GPs). This has led to the formation of the first large GP â€˜Multifundâ€™ in the UK. Whilst the first small fundholding co-operatives were conceived simply as a way of improving the business efficiency of ordinary fundholding, the much larger Kingston and Richmond (K&amp;R) Multifund is a professional co-operative of fund-holding family practitioners who share a common management allowance, which controls Â£32.6 million per annum, about 20% of the public funds devoted to health care in its locality, and has a broader agenda. It sets out to end any two-tier system discriminating between the patients of fundholding and other practitioners within a locality by making it possible for all GPs to become fundholders within an open, democratic doctorsâ€™ co-operative. Its declared aims are to maintain equity and clinical integrity, to plan health care and to undertake scientific evaluation. Its overall goal is to preserve and improve upon the economic and ethical success of the British NHS. A brief evaluation is included which suggests that Multifund members believe their organization is currently meeting most of these aims. The essay argues for GP-led Multifund systems centred on outcome evidence. A new generalized global tool for measuring outcome, is being developed to assist in this process and it is briefly described here and is designed to facilitate: (1) the selection of cost-effective interventions, (2) the negotiation of appropriate funding from government and (3) the demonstration of ethical behaviour in rationing health provision within a limited budget. It is envisaged that the Multifundâ€™s scope will be extended, to administer the majority of the funds available for health care, by involving all local primary health providers and becoming a â€˜careholdingâ€™ consortium. This would mean obtaining local accountability through new community health forums and improving mutual trust through public professional affirmations. If all this is successful multifunding could become a community-centred model for the management of health service money which may in turn have international application. Â© 1995 International Epidemlological Association.</t>
  </si>
  <si>
    <t>I could not access this paper</t>
  </si>
  <si>
    <t>SCOPUS_ID:0025573024</t>
  </si>
  <si>
    <t>10.1093/ije/19.4.953</t>
  </si>
  <si>
    <t>Habitual dietary intake and glucose tolerance in euglycaemic men: The zutphen study</t>
  </si>
  <si>
    <t>Relationships between specific dietary factors and aspects of glucose tolerance were examined using data from the Zutphen Study. In 1970, an oral glucose tolerance test was carried out in 394 non-diabetic men aged 50-70. Habitual dietary intake was assessed using the cross-check dietary history method. In univariate analyses, positive associations were observed between fasting glucose and the intake of saturated fat (correlation coefficient (r)=0.13, p&lt;0.01) and dietary cholesterol (r=0.16, p&lt;0.01), and also reflected by an association with egg consumption. These results were confiremed in multivariate analyses, taking into account total energy intake, subscapular skinfold thickness and age. In univariate analyses, significant inverse associations were found between the incremental area under the curve (IAUC) and the intake of mono- and disaccharides (r=-0.22, p&lt;0.001) and pectin (r=-0.15, p&lt;0.01), as well as the consumption of sugar products. Similar results were obtained in multivariate analyses. The change in saturated fat intake in the period 1960-1970 was positively associated with IAUC, independent of concurrent intake in 1970, age, subscapular skinfold and change in energy intake. In a similar model the change in pectin intake was inversely associated with IAUC. These findings suggest that the intake of saturated fat and dietary cholesterol may be detrimental to glucose tolerance, in contrast to the intake of pectin and mono- and disaccharides. Â© 1990 International Epidemiological Association.</t>
  </si>
  <si>
    <t>SCOPUS_ID:85038614533</t>
  </si>
  <si>
    <t>10.1016/S2468-2667(17)30222-0</t>
  </si>
  <si>
    <t>Prediction of cervical cancer incidence in England, UK, up to 2040, under four scenarios: a modelling study</t>
  </si>
  <si>
    <t>Background In the next 25 years, the epidemiology of cervical cancer in England, UK, will change: human papillomavirus (HPV) screening will be the primary test for cervical cancer. Additionally, the proportion of women screened regularly is decreasing and women who received the HPV vaccine are due to attend screening for the first time. Therefore, we aimed to estimate how vaccination against HPV, changes to the screening test, and falling screening coverage will affect cervical cancer incidence in England up to 2040. Methods We did a data modelling study that combined results from population modelling of incidence trends, observable data from the individual level with use of a generalised linear model, and microsimulation of unobservable disease states. We estimated age-specific absolute risks of cervical cancer in the absence of screening (derived from individual level data). We used an age period cohort model to estimate birth cohort effects. We multiplied the absolute risks by the age cohort effects to provide absolute risks of cervical cancer for unscreened women in different birth cohorts. We obtained relative risks (RRs) of cervical cancer by screening history (never screened, regularly screened, or lapsed attender) using data from a population-based case-control study for unvaccinated women, and using a microsimulation model for vaccinated women. RRs of primary HPV screening were relative to cytology. We used the proportion of women in each 5-year age group (25â€“29 years to 75â€“79 years) and 5-year period (2016â€“20 to 2036â€“40) who have a combination of screening and vaccination history, and weighted to estimate the population incidence. The primary outcome was the number of cases and rates per 100 000 women under four scenarios: no changes to current screening coverage or vaccine uptake and HPV primary testing from 2019 (status quo), changing the year in which HPV primary testing is introduced, introduction of the nine-valent vaccine, and changes to cervical screening coverage. Findings The status quo scenario estimated that the peak age of cancer diagnosis will shift from the ages of 25â€“29 years in 2011â€“15 to 55â€“59 years in 2036â€“40. Unvaccinated women born between 1975 and 1990 were predicted to have a relatively high risk of cervical cancer throughout their lives. Introduction of primary HPV screening from 2019 could reduce age-standardised rates of cervical cancer at ages 25â€“64 years by 19%, from 15Â·1 in 2016 to 12Â·2 per 100 000 women as soon as 2028. Vaccination against HPV types 16 and 18 (HPV 16/18) could see cervical cancer rates in women aged 25â€“29 years decrease by 55% (from 20Â·9 in 2011â€“15 to 9Â·5 per 100 000 women by 2036â€“40), and introduction of nine-valent vaccination from 2019 compared with continuing vaccination against HPV 16/18 will reduce rates by a further 36% (from 9Â·5 to 6Â·1 per 100 000 women) by 2036â€“40. Women born before 1991 will not benefit directly from vaccination; therefore, despite vaccination and primary HPV screening with current screening coverage, European age-standardised rates of cervical cancer at ages 25â€“79 years will decrease by only 10% (from 12Â·8 in 2011â€“15 to 11Â·5 per 100 000 women in 2036â€“40). If screening coverage fell to 50%, European age-standardised rates could increase by 27% (from 12Â·8 to 16Â·3 per 100 000 by 2036â€“40). Interpretation Going forward, focus should be placed on scenarios that offer less intensive screening for vaccinated women and more on increasing coverage and incorporation of new technologies to enhance current cervical screening among unvaccinated women. Funding Jo's Cervical Cancer Trust and Cancer Research UK.</t>
  </si>
  <si>
    <t>SCOPUS_ID:0025894073</t>
  </si>
  <si>
    <t>10.1093/oxfordjournals.aje.a115913</t>
  </si>
  <si>
    <t>Environmental contamination in child day-care centers</t>
  </si>
  <si>
    <t>['Day care', 'Diarrhea']</t>
  </si>
  <si>
    <t>Enteropathogens associated with outbreaks of diarrhea in day-care centers are spread by the fecal-oral route through contaminated hands or environmental objects. This prospective study was undertaken to determine the prevalence of fecal coliform contamination in day care. Ten rooms in six centers housing 121 children &lt;2 years of age were studied for 13 weeks (February to May 1988). Inanimate objects (n = 1,275), toy balls (n = 724), and hands (n = 954) were cultured 1-3 times per week. Fecal coliform contamination was common and was greater (p &lt; 0.05) for objects, toy balls, and hands of children in toddler compared with infant rooms. In five rooms in which clothes were worn over diapers, there was a significantly lower prevalence of fecal coliform contamination of toy balls (p &lt; 0.005), inanimate objects (p &lt; 0.05), and hands (p &lt; 0.001) when compared with rooms in which overclothes were not worn. Occurrence of diarrhea was significantly associated with increased contamination of hands (p = 0.001). Stool and environmental isolates from individual rooms had the same plasmid patterns, which were unique to each center. In summary, fecal coliform contamination of environmental objects and hands of children and caregivers in day-care centers is common; toy balls can serve as sentinels of contamination; fecal coliform contamination can be significantly decreased by use of overclothes; and Escherichia coli strains from stool showed the same plasmid patterns. Â© 1991 by The Johns Hopkins University School of Hygiene and Public Health.</t>
  </si>
  <si>
    <t>SCOPUS_ID:13244252207</t>
  </si>
  <si>
    <t>10.1093/eurpub/14.4.390</t>
  </si>
  <si>
    <t>Sociodemographic and health behaviour factors associated with obesity in adult populations in Estonia, Finland and Lithuania</t>
  </si>
  <si>
    <t>['Health behaviour', 'Obesity', 'Sociodemographic factors']</t>
  </si>
  <si>
    <t>Background: The aim of this study was to analyse the pattern of sociodemographic variations in the prevalence of obesity in Estonia, Finland and Lithuania. In addition, the association between obesity and selected health behaviours was examined. Methods: Cross-sectional surveys were conducted among representative national samples of adult populations in 1994, 1996 and 1998. The number of participants aged 20-64 was 3759 in Estonia, 9488 in Finland and 5635 in Lithuania. The data were obtained from mailed questionnaires (covering sociodemographic characteristics, health behaviour indicators, and self-reported height and weight). Obesity was defined as BMI â‰¥30 kg/m2. Results: The prevalence of obesity among men and women was 10% and 15% in Estonia, 11% and 10% in Finland, and 10% and 18% in Lithuania respectively. The prevalence of obesity increased only among Estonian men. Obesity was more prevalent among those aged over 50 in all three countries. It was also more prevalent among the less educated women in all countries and among the less educated men in Finland. Obesity was less prevalent among daily smokers among Estonian men and women and Lithuanian men. Physically inactive Estonian women and Finnish men and women were more likely to be obese. Conclusions: A significant association was found between low educational level and obesity in women in all the countries, but this association was found for men only in Finland. In Finland obesity was also more consistently associated with indicators of unhealthy behaviour than in Estonia and Lithuania. Thus, even though the social gradient of obesity was broadly similar in all the countries studied, differences emerged with regard to the behavioural correlates of obesity.</t>
  </si>
  <si>
    <t>SCOPUS_ID:0037564783</t>
  </si>
  <si>
    <t>10.2105/AJPH.93.6.963</t>
  </si>
  <si>
    <t>The Efficacy of a Relationship-Based HIV/STD Prevention Program for Heterosexual Couples</t>
  </si>
  <si>
    <t>Objectives. This study examined the efficacy of a relationship-based HIV/sexually transmitted disease prevention program for heterosexual couples and whether it is more effective when delivered to the couple or to the woman alone. Methods. Couples (n=217) were recruited and randomized to (1) 6 sessions provided to couples together (n=81), (2) the same intervention provided to the woman alone (n=73), or (3) a 1-session control condition provided to the woman alone (n=63). Results. The intervention was effective in reducing the proportion of unprotected and increasing the proportion of protected sexual acts. No significant differences in effects were observed between couples receiving the intervention together and those in which the woman received it alone. Conclusions. This study demonstrates the efficacy of a relationship-based prevention program for couples at risk for HIV infection.</t>
  </si>
  <si>
    <t>SCOPUS_ID:0030770295</t>
  </si>
  <si>
    <t>10.1097/00001648-199710000-00006</t>
  </si>
  <si>
    <t>Dioxin exposure and cancer risk: A 15-year mortality study after the 'Seveso accident'</t>
  </si>
  <si>
    <t>['Digestive cancer', 'Dioxins', 'Environmental health', 'Industrial disasters', 'Leukemia', 'Lymphoma', 'Mortality', 'Neoplasms']</t>
  </si>
  <si>
    <t>Dioxin (2,3,7,8-tetrachlorodibenzo-para-dioxin, or TCDD) is a powerful carcinogen in experimental animals, whereas the evidence in humans is limited. We examined Cancer mortality from 1976 to 1991 among residents of Seveso, Italy, which was highly contaminated after an industrial accident. The area was divided into zones with decreasing exposure to dioxin (A = highest, B = lower R = lowest). The population of a surrounding noncontaminated area was used as a reference group. Zone A was small (11,516 person-years); in that zone, we saw a moderate increase in mortality from digestive cancer among women [relative risk (RR) = 1.5; 95% confidence interval (CI) = 0.5-3.5]. In zone B, we also saw excesses at digestive sites (83,610 person-years), 10 years after the accident. Women had an increased mortality from stomach cancer (RR = 2.4; 95% CI = 0.8-5.7), and men had increased mortality from rectal cancer (RR = 6.2; 95% CI = 1.7-15.9). Hematologic neoplasms were increased. The highest risks were seen in zone B for leukemia in men (RR = 3.1; 95% CI = 1.3-6.4), multiple myeloma in women (RR = 6.6; 95% CI = 1.8-16.8), and Hodgkin's disease in both genders (RR = 3.3; 95% CI = 0.4-11.9 m men; and RR = 6.5; 95% CI = 0.7-23.5 in women). Soft tissue sarcoma was elevated only among zone R males (256,408 person-years; RR = 2.1; 95% CI = 0.6-5.4). We found no increase for all-cancer mortality or major specific sites (for example, respiratory among males, breast among females). The specific excesses that we observed were not explained by bias or confounding, and their association with dioxin exposure is plausible. The follow-up is continuing.</t>
  </si>
  <si>
    <t>SCOPUS_ID:0036311484</t>
  </si>
  <si>
    <t>10.2105/AJPH.92.8.1305</t>
  </si>
  <si>
    <t>Reverberations of family illness: A longitudinal assessment of informal caregiving and mental health status in the nurses' health study</t>
  </si>
  <si>
    <t>Objectives. This study examined the association between caregiving for disabled or ill family members, estimated to occur in more than 22 million US households, and change in mental health. Methods. We assessed 4-year change in mental health among 37 742 Nurses' Health Study participants with the Medical Outcomes Study Short-Form 36. Results. Women who provided 36 or more weekly hours of care to a disabled spouse were almost 6 times more likely than noncaregivers to experience depressive or anxious symptoms (multivariate odds ratio [OR] = 5.6; 95% confidence interval [Cl] = 3.8, 8.3). Caring for a disabled or ill parent (â‰³36 weekly hours) was associated with a less dramatic elevation in depressive or anxious symptoms (multivariate OR=2.0; 95% Cl = 0.9, 4.3). Conclusions. In this population, caregiving was associated with increased risk of depressive or anxious symptoms.</t>
  </si>
  <si>
    <t>SCOPUS_ID:77955943594</t>
  </si>
  <si>
    <t>10.1136/jech.2008.085936</t>
  </si>
  <si>
    <t>Estimates of sexual partnership dynamics: Extending negative and positive gaps to status lengths</t>
  </si>
  <si>
    <t>Background The aims of this study are to generalise the concept of gap length between partners and to estimate the duration of four types of measures for heterosexual partnerships, called status lengths: (1) time spent as single before becoming monogamous (S-M, positive gap), (2) duration of concurrency before monogamy (C-M, negative gap), (3) duration of monogamy before concurrency (M-C) and (4) time spent in monogamy before becoming single (M-S). Methods Medians and CIs were obtained using the US National Survey of Family Growth Cycle 6 conducted in 2002. Results A significant gender difference was found In the monogamous to single status length (medians 38 months for women, and 19.3 months for men). Other status lengths were similar between genders (S-M: 20 women, 18 men; M-C: 16 women, 13 men; and C-M: 5 for women and men). Respondents younger than the median age at first marriage showed shorter status lengths compared to older ones. Median status lengths were comparable between heterosexuals and bisexuals. Percentage of concurrency In 1 year was 3.3% for women and 3.8% for men. Conclusions One of the new status lengths (M-C) qualitatively indicates the transmission risk to an upcoming concurrent partner. The set of four status lengths may be useful in the context of epidemiological models with partnership dynamics.</t>
  </si>
  <si>
    <t>SCOPUS_ID:0035709540</t>
  </si>
  <si>
    <t>10.1093/ije/30.6.1233</t>
  </si>
  <si>
    <t>On the importance-and the unimportance-of birthweight</t>
  </si>
  <si>
    <t>['Analytical methods', 'Birthweight', 'Fetal growth', 'Gestational age', 'Infant mortality', 'Intrauterine growth retardation', 'Low birthweight', 'Small for gestational age']</t>
  </si>
  <si>
    <t>Birthweight is one of the most accessible and most misunderstood variables in epidemiology. A baby's weight at birth is strongly associated with mortality risk during the first year and, to a lesser degree, with developmental problems in childhood and the risk of various diseases in adulthood. Epidemiological analyses often regard birthweight as on the causal pathway to these health outcomes. Under this assumption of causality, birthweight is used to explain variations in infant mortality and later morbidity, and is also used as an intermediate health endpoint in itself. Evidence presented here suggests the link between birthweight and health outcomes may not be causal. Methods of analysis that assume causality are unreliable at best, and biased at worst. The category of 'low birthweight' in particular is uninformative and seldom justified. The main utility of the birthweight distribution is to provide an estimate of the proportion of small preterm births in a population (although even this requires special analytical methods). While the ordinary approaches to birthweight are not well grounded, the links between birthweight and a range of health outcomes may nonetheless reflect the workings of biological mechanisms with implications for human health.</t>
  </si>
  <si>
    <t>SCOPUS_ID:85105610311</t>
  </si>
  <si>
    <t>SCOPUS_ID:77953561364</t>
  </si>
  <si>
    <t>SCOPUS_ID:0037383803</t>
  </si>
  <si>
    <t>SCOPUS_ID:0033015517</t>
  </si>
  <si>
    <t>SCOPUS_ID:84864604782</t>
  </si>
  <si>
    <t>SCOPUS_ID:33644756848</t>
  </si>
  <si>
    <t>SCOPUS_ID:84885371719</t>
  </si>
  <si>
    <t>SCOPUS_ID:85042655224</t>
  </si>
  <si>
    <t>SCOPUS_ID:43049167431</t>
  </si>
  <si>
    <t>SCOPUS_ID:85066840805</t>
  </si>
  <si>
    <t>SCOPUS_ID:44449138148</t>
  </si>
  <si>
    <t>SCOPUS_ID:84893821907</t>
  </si>
  <si>
    <t>SCOPUS_ID:85041406448</t>
  </si>
  <si>
    <t>SCOPUS_ID:13344255042</t>
  </si>
  <si>
    <t>SCOPUS_ID:0029067898</t>
  </si>
  <si>
    <t>SCOPUS_ID:85126388975</t>
  </si>
  <si>
    <t>SCOPUS_ID:3042728016</t>
  </si>
  <si>
    <t>SCOPUS_ID:85135501539</t>
  </si>
  <si>
    <t>SCOPUS_ID:33749332348</t>
  </si>
  <si>
    <t>SCOPUS_ID:84883827714</t>
  </si>
  <si>
    <t>SCOPUS_ID:85052630767</t>
  </si>
  <si>
    <t>SCOPUS_ID:85037709028</t>
  </si>
  <si>
    <t>SCOPUS_ID:84942552752</t>
  </si>
  <si>
    <t>SCOPUS_ID:85153606514</t>
  </si>
  <si>
    <t>SCOPUS_ID:85051239049</t>
  </si>
  <si>
    <t>SCOPUS_ID:38549087566</t>
  </si>
  <si>
    <t>SCOPUS_ID:71549123257</t>
  </si>
  <si>
    <t>SCOPUS_ID:84952905904</t>
  </si>
  <si>
    <t>SCOPUS_ID:0029841886</t>
  </si>
  <si>
    <t>SCOPUS_ID:84959044970</t>
  </si>
  <si>
    <t>SCOPUS_ID:0037446495</t>
  </si>
  <si>
    <t>SCOPUS_ID:76649124243</t>
  </si>
  <si>
    <t>SCOPUS_ID:84929379981</t>
  </si>
  <si>
    <t>SCOPUS_ID:0037320436</t>
  </si>
  <si>
    <t>SCOPUS_ID:84869174479</t>
  </si>
  <si>
    <t>SCOPUS_ID:0034912156</t>
  </si>
  <si>
    <t>SCOPUS_ID:0035242616</t>
  </si>
  <si>
    <t>SCOPUS_ID:84884999048</t>
  </si>
  <si>
    <t>SCOPUS_ID:85116602537</t>
  </si>
  <si>
    <t>SCOPUS_ID:0027265339</t>
  </si>
  <si>
    <t>SCOPUS_ID:57149110433</t>
  </si>
  <si>
    <t>Peru</t>
  </si>
  <si>
    <t>SCOPUS_ID:84962843818</t>
  </si>
  <si>
    <t>SCOPUS_ID:0031441915</t>
  </si>
  <si>
    <t>SCOPUS_ID:23944459858</t>
  </si>
  <si>
    <t>SCOPUS_ID:0842348903</t>
  </si>
  <si>
    <t>SCOPUS_ID:34548611662</t>
  </si>
  <si>
    <t>SCOPUS_ID:84968927998</t>
  </si>
  <si>
    <t>SCOPUS_ID:84930650741</t>
  </si>
  <si>
    <t>SCOPUS_ID:0028957467</t>
  </si>
  <si>
    <t>SCOPUS_ID:21644481365</t>
  </si>
  <si>
    <t>SCOPUS_ID:80054735842</t>
  </si>
  <si>
    <t>SCOPUS_ID:84880546484</t>
  </si>
  <si>
    <t>India</t>
  </si>
  <si>
    <t>SCOPUS_ID:0033485949</t>
  </si>
  <si>
    <t>SCOPUS_ID:0025150962</t>
  </si>
  <si>
    <t>SCOPUS_ID:0032518959</t>
  </si>
  <si>
    <t>SCOPUS_ID:77955762065</t>
  </si>
  <si>
    <t>SCOPUS_ID:0028964208</t>
  </si>
  <si>
    <t>SCOPUS_ID:2442651312</t>
  </si>
  <si>
    <t>SCOPUS_ID:0028286793</t>
  </si>
  <si>
    <t>SCOPUS_ID:85065236237</t>
  </si>
  <si>
    <t>SCOPUS_ID:0035011929</t>
  </si>
  <si>
    <t>SCOPUS_ID:84902674927</t>
  </si>
  <si>
    <t>SCOPUS_ID:34247126863</t>
  </si>
  <si>
    <t>Iceland</t>
  </si>
  <si>
    <t>SCOPUS_ID:2342439144</t>
  </si>
  <si>
    <t>SCOPUS_ID:85214472462</t>
  </si>
  <si>
    <t>SCOPUS_ID:85052956484</t>
  </si>
  <si>
    <t>SCOPUS_ID:45849090278</t>
  </si>
  <si>
    <t>SCOPUS_ID:84886406810</t>
  </si>
  <si>
    <t>SCOPUS_ID:0026583865</t>
  </si>
  <si>
    <t>SCOPUS_ID:53249100314</t>
  </si>
  <si>
    <t>SCOPUS_ID:0025758336</t>
  </si>
  <si>
    <t>SCOPUS_ID:85126864503</t>
  </si>
  <si>
    <t>SCOPUS_ID:18444401456</t>
  </si>
  <si>
    <t>SCOPUS_ID:0033052276</t>
  </si>
  <si>
    <t>SCOPUS_ID:1842477760</t>
  </si>
  <si>
    <t>SCOPUS_ID:0026758937</t>
  </si>
  <si>
    <t>SCOPUS_ID:84958759462</t>
  </si>
  <si>
    <t>SCOPUS_ID:0027485723</t>
  </si>
  <si>
    <t>SCOPUS_ID:84865704154</t>
  </si>
  <si>
    <t>SCOPUS_ID:84939611608</t>
  </si>
  <si>
    <t>Ghana</t>
  </si>
  <si>
    <t>SCOPUS_ID:85054964065</t>
  </si>
  <si>
    <t>SCOPUS_ID:84982948296</t>
  </si>
  <si>
    <t>SCOPUS_ID:59049089735</t>
  </si>
  <si>
    <t>SCOPUS_ID:78649711951</t>
  </si>
  <si>
    <t>Lithuania</t>
  </si>
  <si>
    <t>SCOPUS_ID:85190858135</t>
  </si>
  <si>
    <t>SCOPUS_ID:85136189922</t>
  </si>
  <si>
    <t>SCOPUS_ID:85070489623</t>
  </si>
  <si>
    <t>SCOPUS_ID:85147099255</t>
  </si>
  <si>
    <t>SCOPUS_ID:85147834238</t>
  </si>
  <si>
    <t>SCOPUS_ID:61649104289</t>
  </si>
  <si>
    <t>SCOPUS_ID:0033018620</t>
  </si>
  <si>
    <t>SCOPUS_ID:85195227201</t>
  </si>
  <si>
    <t>SCOPUS_ID:0035099909</t>
  </si>
  <si>
    <t>SCOPUS_ID:0042385128</t>
  </si>
  <si>
    <t>SCOPUS_ID:0026336991</t>
  </si>
  <si>
    <t>SCOPUS_ID:2442700090</t>
  </si>
  <si>
    <t>SCOPUS_ID:0034008023</t>
  </si>
  <si>
    <t>SCOPUS_ID:0030982191</t>
  </si>
  <si>
    <t>SCOPUS_ID:33845794808</t>
  </si>
  <si>
    <t>SCOPUS_ID:85070266308</t>
  </si>
  <si>
    <t>SCOPUS_ID:84861788511</t>
  </si>
  <si>
    <t>SCOPUS_ID:24144497054</t>
  </si>
  <si>
    <t>SCOPUS_ID:84861397663</t>
  </si>
  <si>
    <t>SCOPUS_ID:85090870257</t>
  </si>
  <si>
    <t>SCOPUS_ID:0033795175</t>
  </si>
  <si>
    <t>SCOPUS_ID:84924717654</t>
  </si>
  <si>
    <t>SCOPUS_ID:78649764303</t>
  </si>
  <si>
    <t>SCOPUS_ID:0007760644</t>
  </si>
  <si>
    <t>SCOPUS_ID:85024362284</t>
  </si>
  <si>
    <t>SCOPUS_ID:0029610463</t>
  </si>
  <si>
    <t>SCOPUS_ID:0034078420</t>
  </si>
  <si>
    <t>SCOPUS_ID:84964587201</t>
  </si>
  <si>
    <t>SCOPUS_ID:79957853252</t>
  </si>
  <si>
    <t>SCOPUS_ID:24144465763</t>
  </si>
  <si>
    <t>SCOPUS_ID:84874083207</t>
  </si>
  <si>
    <t>SCOPUS_ID:84862489231</t>
  </si>
  <si>
    <t>SCOPUS_ID:85188896640</t>
  </si>
  <si>
    <t>SCOPUS_ID:0027971846</t>
  </si>
  <si>
    <t>SCOPUS_ID:0346725916</t>
  </si>
  <si>
    <t>SCOPUS_ID:77956257053</t>
  </si>
  <si>
    <t>SCOPUS_ID:41949115637</t>
  </si>
  <si>
    <t>SCOPUS_ID:85105473841</t>
  </si>
  <si>
    <t>SCOPUS_ID:34447299113</t>
  </si>
  <si>
    <t>SCOPUS_ID:47949104818</t>
  </si>
  <si>
    <t>SCOPUS_ID:84875967597</t>
  </si>
  <si>
    <t>SCOPUS_ID:85056223879</t>
  </si>
  <si>
    <t>SCOPUS_ID:0037836100</t>
  </si>
  <si>
    <t>SCOPUS_ID:0025027050</t>
  </si>
  <si>
    <t>SCOPUS_ID:85136862502</t>
  </si>
  <si>
    <t>SCOPUS_ID:0032427766</t>
  </si>
  <si>
    <t>Nicaragua</t>
  </si>
  <si>
    <t>SCOPUS_ID:84935837658</t>
  </si>
  <si>
    <t>SCOPUS_ID:0036351360</t>
  </si>
  <si>
    <t>SCOPUS_ID:84881604715</t>
  </si>
  <si>
    <t>Israel</t>
  </si>
  <si>
    <t>SCOPUS_ID:84888229876</t>
  </si>
  <si>
    <t>SCOPUS_ID:84891683349</t>
  </si>
  <si>
    <t>SCOPUS_ID:85166390788</t>
  </si>
  <si>
    <t>SCOPUS_ID:0028064421</t>
  </si>
  <si>
    <t>SCOPUS_ID:0032722780</t>
  </si>
  <si>
    <t>SCOPUS_ID:84873406550</t>
  </si>
  <si>
    <t>SCOPUS_ID:0029660655</t>
  </si>
  <si>
    <t>SCOPUS_ID:0026806855</t>
  </si>
  <si>
    <t>SCOPUS_ID:85123904653</t>
  </si>
  <si>
    <t>SCOPUS_ID:0029924166</t>
  </si>
  <si>
    <t>SCOPUS_ID:84947868632</t>
  </si>
  <si>
    <t>SCOPUS_ID:33947327066</t>
  </si>
  <si>
    <t>SCOPUS_ID:0346093850</t>
  </si>
  <si>
    <t>SCOPUS_ID:85117765539</t>
  </si>
  <si>
    <t>SCOPUS_ID:85038398484</t>
  </si>
  <si>
    <t>SCOPUS_ID:0030197928</t>
  </si>
  <si>
    <t>SCOPUS_ID:33750610300</t>
  </si>
  <si>
    <t>SCOPUS_ID:85150737261</t>
  </si>
  <si>
    <t>SCOPUS_ID:47349107397</t>
  </si>
  <si>
    <t>SCOPUS_ID:85124166197</t>
  </si>
  <si>
    <t>SCOPUS_ID:85045209438</t>
  </si>
  <si>
    <t>SCOPUS_ID:77951647598</t>
  </si>
  <si>
    <t>SCOPUS_ID:76249114072</t>
  </si>
  <si>
    <t>SCOPUS_ID:0033728677</t>
  </si>
  <si>
    <t>SCOPUS_ID:85060018664</t>
  </si>
  <si>
    <t>SCOPUS_ID:84952637063</t>
  </si>
  <si>
    <t>SCOPUS_ID:0027531865</t>
  </si>
  <si>
    <t>SCOPUS_ID:85045670076</t>
  </si>
  <si>
    <t>SCOPUS_ID:84922476922</t>
  </si>
  <si>
    <t>SCOPUS_ID:85169832505</t>
  </si>
  <si>
    <t>SCOPUS_ID:0025168025</t>
  </si>
  <si>
    <t>SCOPUS_ID:0029809750</t>
  </si>
  <si>
    <t>SCOPUS_ID:0344673387</t>
  </si>
  <si>
    <t>SCOPUS_ID:0034663793</t>
  </si>
  <si>
    <t>SCOPUS_ID:80054075776</t>
  </si>
  <si>
    <t>SCOPUS_ID:21244452423</t>
  </si>
  <si>
    <t>SCOPUS_ID:84880323998</t>
  </si>
  <si>
    <t>SCOPUS_ID:84894029471</t>
  </si>
  <si>
    <t>SCOPUS_ID:85177571511</t>
  </si>
  <si>
    <t>SCOPUS_ID:33847053958</t>
  </si>
  <si>
    <t>SCOPUS_ID:85110464476</t>
  </si>
  <si>
    <t>SCOPUS_ID:0034756703</t>
  </si>
  <si>
    <t>SCOPUS_ID:20244367283</t>
  </si>
  <si>
    <t>SCOPUS_ID:0029095987</t>
  </si>
  <si>
    <t>SCOPUS_ID:79956217853</t>
  </si>
  <si>
    <t>SCOPUS_ID:84962766998</t>
  </si>
  <si>
    <t>SCOPUS_ID:33748035052</t>
  </si>
  <si>
    <t>SCOPUS_ID:0035183333</t>
  </si>
  <si>
    <t>SCOPUS_ID:0030997166</t>
  </si>
  <si>
    <t>SCOPUS_ID:85178494525</t>
  </si>
  <si>
    <t>SCOPUS_ID:1542327661</t>
  </si>
  <si>
    <t>SCOPUS_ID:0037564790</t>
  </si>
  <si>
    <t>SCOPUS_ID:84961266437</t>
  </si>
  <si>
    <t>SCOPUS_ID:9144235584</t>
  </si>
  <si>
    <t>SCOPUS_ID:34548613771</t>
  </si>
  <si>
    <t>SCOPUS_ID:85184013780</t>
  </si>
  <si>
    <t>SCOPUS_ID:0029780724</t>
  </si>
  <si>
    <t>SCOPUS_ID:17844363699</t>
  </si>
  <si>
    <t>SCOPUS_ID:84872496621</t>
  </si>
  <si>
    <t>SCOPUS_ID:85083405785</t>
  </si>
  <si>
    <t>SCOPUS_ID:77953601221</t>
  </si>
  <si>
    <t>SCOPUS_ID:85054956231</t>
  </si>
  <si>
    <t>SCOPUS_ID:84901945192</t>
  </si>
  <si>
    <t>SCOPUS_ID:34848820832</t>
  </si>
  <si>
    <t>SCOPUS_ID:78650525695</t>
  </si>
  <si>
    <t>SCOPUS_ID:0027501567</t>
  </si>
  <si>
    <t>SCOPUS_ID:85196674298</t>
  </si>
  <si>
    <t>SCOPUS_ID:0031596367</t>
  </si>
  <si>
    <t>SCOPUS_ID:0034468814</t>
  </si>
  <si>
    <t>SCOPUS_ID:31344468345</t>
  </si>
  <si>
    <t>SCOPUS_ID:61649117292</t>
  </si>
  <si>
    <t>SCOPUS_ID:84884141140</t>
  </si>
  <si>
    <t>SCOPUS_ID:43049183473</t>
  </si>
  <si>
    <t>SCOPUS_ID:85089294116</t>
  </si>
  <si>
    <t>SCOPUS_ID:85037033393</t>
  </si>
  <si>
    <t>SCOPUS_ID:85074266956</t>
  </si>
  <si>
    <t>SCOPUS_ID:85129124785</t>
  </si>
  <si>
    <t>SCOPUS_ID:0028296207</t>
  </si>
  <si>
    <t>SCOPUS_ID:74049135290</t>
  </si>
  <si>
    <t>SCOPUS_ID:85099060634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</si>
</sst>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sz val="11"/>
      <color theme="1"/>
      <name val="Calibri"/>
      <family val="2"/>
    </font>
    <font>
      <b/>
      <sz val="10"/>
      <color theme="1"/>
      <name val="Helvetica Neue"/>
      <family val="2"/>
    </font>
    <font>
      <sz val="10"/>
      <color theme="1"/>
      <name val="Helvetica Neue"/>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2" fillId="0" borderId="0" xfId="0" quotePrefix="1" applyFont="1" applyAlignment="1">
      <alignment horizontal="left"/>
    </xf>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xf>
    <xf numFmtId="0" fontId="4" fillId="2" borderId="1" xfId="0" applyFont="1" applyFill="1" applyBorder="1" applyAlignment="1">
      <alignment horizontal="left"/>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52"/>
  <sheetViews>
    <sheetView tabSelected="1" topLeftCell="G1" workbookViewId="0">
      <pane ySplit="1" topLeftCell="A2" activePane="bottomLeft" state="frozen"/>
      <selection pane="bottomLeft" activeCell="Z1" sqref="Z1"/>
    </sheetView>
  </sheetViews>
  <sheetFormatPr baseColWidth="10" defaultColWidth="14.5" defaultRowHeight="15" customHeight="1" x14ac:dyDescent="0.2"/>
  <cols>
    <col min="1" max="1" width="8.83203125" hidden="1" customWidth="1"/>
    <col min="2" max="2" width="34.33203125" customWidth="1"/>
    <col min="3" max="3" width="14" hidden="1" customWidth="1"/>
    <col min="4" max="6" width="8.83203125" hidden="1" customWidth="1"/>
    <col min="7" max="7" width="96.5" customWidth="1"/>
    <col min="8" max="8" width="25.33203125" hidden="1" customWidth="1"/>
    <col min="9" max="9" width="13" hidden="1" customWidth="1"/>
    <col min="10" max="10" width="21.6640625" hidden="1" customWidth="1"/>
    <col min="11" max="11" width="16" customWidth="1"/>
    <col min="12" max="12" width="28.83203125" hidden="1" customWidth="1"/>
    <col min="13" max="13" width="8.33203125" hidden="1" customWidth="1"/>
    <col min="14" max="14" width="25.6640625" hidden="1" customWidth="1"/>
    <col min="15" max="15" width="11.83203125" hidden="1" customWidth="1"/>
    <col min="16" max="16" width="23.33203125" hidden="1" customWidth="1"/>
    <col min="17" max="17" width="11.83203125" customWidth="1"/>
    <col min="18" max="25" width="8.83203125" customWidth="1"/>
    <col min="26" max="26" width="41.6640625" customWidth="1"/>
    <col min="27" max="27" width="84.33203125" customWidth="1"/>
  </cols>
  <sheetData>
    <row r="1" spans="1:28" ht="16" x14ac:dyDescent="0.2">
      <c r="A1" s="1" t="s">
        <v>0</v>
      </c>
      <c r="B1" s="1" t="s">
        <v>1</v>
      </c>
      <c r="C1" s="1" t="s">
        <v>2</v>
      </c>
      <c r="D1" s="1" t="s">
        <v>3</v>
      </c>
      <c r="E1" s="1" t="s">
        <v>4</v>
      </c>
      <c r="F1" s="1" t="s">
        <v>5</v>
      </c>
      <c r="G1" s="2" t="s">
        <v>6</v>
      </c>
      <c r="H1" s="1" t="s">
        <v>7</v>
      </c>
      <c r="I1" s="1" t="s">
        <v>8</v>
      </c>
      <c r="J1" s="1" t="s">
        <v>9</v>
      </c>
      <c r="K1" s="3" t="s">
        <v>10</v>
      </c>
      <c r="L1" s="3" t="s">
        <v>11</v>
      </c>
      <c r="M1" s="3" t="s">
        <v>12</v>
      </c>
      <c r="N1" s="3" t="s">
        <v>13</v>
      </c>
      <c r="O1" s="3" t="s">
        <v>11</v>
      </c>
      <c r="P1" s="3"/>
      <c r="Q1" s="3" t="s">
        <v>14</v>
      </c>
      <c r="R1" s="3" t="s">
        <v>15</v>
      </c>
      <c r="S1" s="3" t="s">
        <v>16</v>
      </c>
      <c r="T1" s="3" t="s">
        <v>17</v>
      </c>
      <c r="U1" s="4" t="s">
        <v>18</v>
      </c>
      <c r="V1" s="1" t="s">
        <v>19</v>
      </c>
      <c r="W1" s="1" t="s">
        <v>20</v>
      </c>
      <c r="X1" s="1" t="s">
        <v>21</v>
      </c>
      <c r="Z1" s="11" t="s">
        <v>22</v>
      </c>
      <c r="AA1" s="11" t="s">
        <v>23</v>
      </c>
      <c r="AB1" s="1" t="s">
        <v>24</v>
      </c>
    </row>
    <row r="2" spans="1:28" ht="240" x14ac:dyDescent="0.2">
      <c r="A2" s="1" t="s">
        <v>25</v>
      </c>
      <c r="B2" s="1" t="s">
        <v>26</v>
      </c>
      <c r="C2" s="1" t="s">
        <v>27</v>
      </c>
      <c r="D2" s="1" t="s">
        <v>28</v>
      </c>
      <c r="E2" s="1">
        <v>2011</v>
      </c>
      <c r="F2" s="1" t="s">
        <v>29</v>
      </c>
      <c r="G2" s="2" t="s">
        <v>30</v>
      </c>
      <c r="H2" s="1" t="s">
        <v>31</v>
      </c>
      <c r="I2" s="1">
        <v>59</v>
      </c>
      <c r="J2" s="1" t="b">
        <v>0</v>
      </c>
      <c r="K2" s="3" t="b">
        <v>0</v>
      </c>
      <c r="L2" s="3"/>
      <c r="M2" s="3" t="b">
        <v>0</v>
      </c>
      <c r="N2" s="3"/>
      <c r="O2" s="3"/>
      <c r="P2" s="3"/>
      <c r="Q2" s="3"/>
      <c r="R2" s="3"/>
      <c r="S2" s="1" t="str">
        <f>IF(OR(K2="",M2=""),"",IF(K2&lt;&gt;M2,"!!!",""))</f>
        <v/>
      </c>
      <c r="T2" s="3"/>
      <c r="U2" s="5" t="b">
        <v>0</v>
      </c>
      <c r="W2" s="1" t="b">
        <v>0</v>
      </c>
      <c r="Z2" s="1" t="b">
        <f t="shared" ref="Z2:Z58" si="0">W2</f>
        <v>0</v>
      </c>
      <c r="AA2" t="b">
        <f>Z2</f>
        <v>0</v>
      </c>
    </row>
    <row r="3" spans="1:28" ht="176" x14ac:dyDescent="0.2">
      <c r="A3" s="1" t="s">
        <v>32</v>
      </c>
      <c r="B3" s="1" t="s">
        <v>33</v>
      </c>
      <c r="C3" s="1" t="s">
        <v>34</v>
      </c>
      <c r="D3" s="1" t="s">
        <v>35</v>
      </c>
      <c r="E3" s="1">
        <v>1999</v>
      </c>
      <c r="F3" s="1" t="s">
        <v>36</v>
      </c>
      <c r="G3" s="2" t="s">
        <v>37</v>
      </c>
      <c r="H3" s="1" t="s">
        <v>31</v>
      </c>
      <c r="I3" s="1">
        <v>139</v>
      </c>
      <c r="J3" s="1" t="b">
        <v>0</v>
      </c>
      <c r="K3" s="3" t="b">
        <v>0</v>
      </c>
      <c r="L3" s="3" t="s">
        <v>38</v>
      </c>
      <c r="M3" s="3" t="b">
        <v>0</v>
      </c>
      <c r="N3" s="3" t="s">
        <v>39</v>
      </c>
      <c r="O3" s="3" t="s">
        <v>40</v>
      </c>
      <c r="P3" s="3"/>
      <c r="Q3" s="3"/>
      <c r="R3" s="3"/>
      <c r="S3" s="1" t="str">
        <f t="shared" ref="S3:S100" si="1">IF(OR(K3="",W3=""),"",IF(K3&lt;&gt;W3,"!!!",""))</f>
        <v/>
      </c>
      <c r="T3" s="3"/>
      <c r="U3" s="5" t="b">
        <v>0</v>
      </c>
      <c r="W3" s="1" t="b">
        <v>0</v>
      </c>
      <c r="Z3" s="1" t="b">
        <f t="shared" si="0"/>
        <v>0</v>
      </c>
      <c r="AA3" t="b">
        <f t="shared" ref="AA3:AA66" si="2">Z3</f>
        <v>0</v>
      </c>
    </row>
    <row r="4" spans="1:28" ht="240" x14ac:dyDescent="0.2">
      <c r="A4" s="1" t="s">
        <v>41</v>
      </c>
      <c r="B4" s="1" t="s">
        <v>42</v>
      </c>
      <c r="C4" s="1" t="s">
        <v>43</v>
      </c>
      <c r="D4" s="1" t="s">
        <v>28</v>
      </c>
      <c r="E4" s="1">
        <v>1999</v>
      </c>
      <c r="F4" s="1" t="s">
        <v>44</v>
      </c>
      <c r="G4" s="2" t="s">
        <v>45</v>
      </c>
      <c r="H4" s="1" t="s">
        <v>31</v>
      </c>
      <c r="I4" s="1">
        <v>201</v>
      </c>
      <c r="J4" s="1" t="b">
        <v>0</v>
      </c>
      <c r="K4" s="3" t="b">
        <v>0</v>
      </c>
      <c r="L4" s="3"/>
      <c r="M4" s="3" t="b">
        <v>0</v>
      </c>
      <c r="N4" s="3"/>
      <c r="O4" s="3"/>
      <c r="P4" s="3"/>
      <c r="Q4" s="3"/>
      <c r="R4" s="3"/>
      <c r="S4" s="1" t="str">
        <f t="shared" si="1"/>
        <v/>
      </c>
      <c r="T4" s="3"/>
      <c r="U4" s="5" t="b">
        <v>0</v>
      </c>
      <c r="W4" s="1" t="b">
        <v>0</v>
      </c>
      <c r="Z4" s="1" t="b">
        <f t="shared" si="0"/>
        <v>0</v>
      </c>
      <c r="AA4" t="b">
        <f t="shared" si="2"/>
        <v>0</v>
      </c>
    </row>
    <row r="5" spans="1:28" ht="409.6" x14ac:dyDescent="0.2">
      <c r="A5" s="1" t="s">
        <v>46</v>
      </c>
      <c r="B5" s="1" t="s">
        <v>47</v>
      </c>
      <c r="C5" s="1" t="s">
        <v>48</v>
      </c>
      <c r="D5" s="1" t="s">
        <v>49</v>
      </c>
      <c r="E5" s="1">
        <v>2019</v>
      </c>
      <c r="F5" s="1" t="s">
        <v>36</v>
      </c>
      <c r="G5" s="2" t="s">
        <v>50</v>
      </c>
      <c r="H5" s="1" t="s">
        <v>51</v>
      </c>
      <c r="I5" s="1">
        <v>26</v>
      </c>
      <c r="J5" s="1" t="b">
        <v>0</v>
      </c>
      <c r="K5" s="3" t="b">
        <v>0</v>
      </c>
      <c r="L5" s="3" t="s">
        <v>38</v>
      </c>
      <c r="M5" s="3" t="b">
        <v>0</v>
      </c>
      <c r="N5" s="3" t="s">
        <v>52</v>
      </c>
      <c r="O5" s="3" t="s">
        <v>53</v>
      </c>
      <c r="P5" s="3"/>
      <c r="Q5" s="3"/>
      <c r="R5" s="3"/>
      <c r="S5" s="1" t="str">
        <f t="shared" si="1"/>
        <v/>
      </c>
      <c r="T5" s="3"/>
      <c r="U5" s="5" t="b">
        <v>1</v>
      </c>
      <c r="W5" s="1" t="b">
        <v>0</v>
      </c>
      <c r="Z5" s="1" t="b">
        <f t="shared" si="0"/>
        <v>0</v>
      </c>
      <c r="AA5" t="b">
        <f t="shared" si="2"/>
        <v>0</v>
      </c>
    </row>
    <row r="6" spans="1:28" ht="160" x14ac:dyDescent="0.2">
      <c r="A6" s="1" t="s">
        <v>54</v>
      </c>
      <c r="B6" s="1" t="s">
        <v>55</v>
      </c>
      <c r="C6" s="1" t="s">
        <v>56</v>
      </c>
      <c r="D6" s="1" t="s">
        <v>28</v>
      </c>
      <c r="E6" s="1">
        <v>2014</v>
      </c>
      <c r="F6" s="1" t="s">
        <v>57</v>
      </c>
      <c r="G6" s="2" t="s">
        <v>58</v>
      </c>
      <c r="H6" s="1" t="s">
        <v>31</v>
      </c>
      <c r="I6" s="1">
        <v>168</v>
      </c>
      <c r="J6" s="1" t="b">
        <v>0</v>
      </c>
      <c r="K6" s="3" t="b">
        <v>0</v>
      </c>
      <c r="L6" s="3"/>
      <c r="M6" s="3" t="b">
        <v>0</v>
      </c>
      <c r="N6" s="3"/>
      <c r="O6" s="3"/>
      <c r="P6" s="3"/>
      <c r="Q6" s="3"/>
      <c r="R6" s="3"/>
      <c r="S6" s="1" t="str">
        <f t="shared" si="1"/>
        <v/>
      </c>
      <c r="T6" s="3"/>
      <c r="U6" s="5" t="b">
        <v>0</v>
      </c>
      <c r="W6" s="1" t="b">
        <v>0</v>
      </c>
      <c r="Z6" s="1" t="b">
        <f t="shared" si="0"/>
        <v>0</v>
      </c>
      <c r="AA6" t="b">
        <f t="shared" si="2"/>
        <v>0</v>
      </c>
    </row>
    <row r="7" spans="1:28" ht="32" x14ac:dyDescent="0.2">
      <c r="A7" s="1" t="s">
        <v>59</v>
      </c>
      <c r="B7" s="1" t="s">
        <v>60</v>
      </c>
      <c r="C7" s="1" t="s">
        <v>61</v>
      </c>
      <c r="D7" s="1" t="s">
        <v>62</v>
      </c>
      <c r="E7" s="1">
        <v>2014</v>
      </c>
      <c r="F7" s="1" t="s">
        <v>36</v>
      </c>
      <c r="G7" s="2" t="s">
        <v>63</v>
      </c>
      <c r="H7" s="1" t="s">
        <v>31</v>
      </c>
      <c r="I7" s="1">
        <v>65</v>
      </c>
      <c r="J7" s="1" t="b">
        <v>0</v>
      </c>
      <c r="K7" s="3" t="b">
        <v>0</v>
      </c>
      <c r="L7" s="3" t="s">
        <v>64</v>
      </c>
      <c r="M7" s="3" t="b">
        <v>0</v>
      </c>
      <c r="N7" s="3" t="s">
        <v>65</v>
      </c>
      <c r="O7" s="3" t="s">
        <v>66</v>
      </c>
      <c r="P7" s="3"/>
      <c r="Q7" s="3"/>
      <c r="R7" s="3"/>
      <c r="S7" s="1" t="str">
        <f t="shared" si="1"/>
        <v/>
      </c>
      <c r="T7" s="3"/>
      <c r="U7" s="5" t="b">
        <v>0</v>
      </c>
      <c r="W7" s="1" t="b">
        <v>0</v>
      </c>
      <c r="X7" s="1" t="s">
        <v>67</v>
      </c>
      <c r="Z7" s="1" t="b">
        <f t="shared" si="0"/>
        <v>0</v>
      </c>
      <c r="AB7" s="1" t="s">
        <v>68</v>
      </c>
    </row>
    <row r="8" spans="1:28" ht="272" x14ac:dyDescent="0.2">
      <c r="A8" s="1" t="s">
        <v>69</v>
      </c>
      <c r="B8" s="1" t="s">
        <v>70</v>
      </c>
      <c r="C8" s="1" t="s">
        <v>71</v>
      </c>
      <c r="D8" s="1" t="s">
        <v>72</v>
      </c>
      <c r="E8" s="1">
        <v>2009</v>
      </c>
      <c r="F8" s="1" t="s">
        <v>36</v>
      </c>
      <c r="G8" s="2" t="s">
        <v>73</v>
      </c>
      <c r="H8" s="1" t="s">
        <v>31</v>
      </c>
      <c r="I8" s="1">
        <v>366</v>
      </c>
      <c r="J8" s="1" t="b">
        <v>0</v>
      </c>
      <c r="K8" s="3" t="b">
        <v>0</v>
      </c>
      <c r="L8" s="3"/>
      <c r="M8" s="3" t="b">
        <v>0</v>
      </c>
      <c r="N8" s="3"/>
      <c r="O8" s="3"/>
      <c r="P8" s="3"/>
      <c r="Q8" s="3"/>
      <c r="R8" s="3"/>
      <c r="S8" s="1" t="str">
        <f t="shared" si="1"/>
        <v/>
      </c>
      <c r="T8" s="3"/>
      <c r="U8" s="5" t="b">
        <v>0</v>
      </c>
      <c r="W8" s="1" t="b">
        <v>0</v>
      </c>
      <c r="Z8" s="1" t="b">
        <f t="shared" si="0"/>
        <v>0</v>
      </c>
      <c r="AA8" t="b">
        <f t="shared" si="2"/>
        <v>0</v>
      </c>
    </row>
    <row r="9" spans="1:28" ht="224" x14ac:dyDescent="0.2">
      <c r="A9" s="1" t="s">
        <v>74</v>
      </c>
      <c r="B9" s="1" t="s">
        <v>75</v>
      </c>
      <c r="C9" s="1" t="s">
        <v>76</v>
      </c>
      <c r="D9" s="1" t="s">
        <v>77</v>
      </c>
      <c r="E9" s="1">
        <v>2020</v>
      </c>
      <c r="F9" s="1" t="s">
        <v>78</v>
      </c>
      <c r="G9" s="2" t="s">
        <v>79</v>
      </c>
      <c r="H9" s="1" t="s">
        <v>80</v>
      </c>
      <c r="I9" s="1">
        <v>5</v>
      </c>
      <c r="J9" s="1" t="b">
        <v>0</v>
      </c>
      <c r="K9" s="3" t="b">
        <v>0</v>
      </c>
      <c r="L9" s="3"/>
      <c r="M9" s="3" t="b">
        <v>0</v>
      </c>
      <c r="N9" s="3"/>
      <c r="O9" s="3"/>
      <c r="P9" s="3"/>
      <c r="Q9" s="3"/>
      <c r="R9" s="3"/>
      <c r="S9" s="1" t="str">
        <f t="shared" si="1"/>
        <v/>
      </c>
      <c r="T9" s="3"/>
      <c r="U9" s="5" t="b">
        <v>0</v>
      </c>
      <c r="W9" s="1" t="b">
        <v>0</v>
      </c>
      <c r="Z9" s="1" t="b">
        <f t="shared" si="0"/>
        <v>0</v>
      </c>
      <c r="AA9" t="b">
        <f t="shared" si="2"/>
        <v>0</v>
      </c>
    </row>
    <row r="10" spans="1:28" ht="224" x14ac:dyDescent="0.2">
      <c r="A10" s="1" t="s">
        <v>81</v>
      </c>
      <c r="B10" s="1" t="s">
        <v>82</v>
      </c>
      <c r="C10" s="1" t="s">
        <v>83</v>
      </c>
      <c r="D10" s="1" t="s">
        <v>28</v>
      </c>
      <c r="E10" s="1">
        <v>2018</v>
      </c>
      <c r="F10" s="1" t="s">
        <v>84</v>
      </c>
      <c r="G10" s="2" t="s">
        <v>85</v>
      </c>
      <c r="H10" s="1" t="s">
        <v>86</v>
      </c>
      <c r="I10" s="1">
        <v>24</v>
      </c>
      <c r="J10" s="1" t="b">
        <v>0</v>
      </c>
      <c r="K10" s="3" t="b">
        <v>0</v>
      </c>
      <c r="L10" s="3" t="s">
        <v>87</v>
      </c>
      <c r="M10" s="3" t="b">
        <v>0</v>
      </c>
      <c r="N10" s="3" t="s">
        <v>88</v>
      </c>
      <c r="O10" s="3" t="s">
        <v>89</v>
      </c>
      <c r="P10" s="3"/>
      <c r="Q10" s="3"/>
      <c r="R10" s="3"/>
      <c r="S10" s="1" t="str">
        <f t="shared" si="1"/>
        <v/>
      </c>
      <c r="T10" s="3"/>
      <c r="U10" s="5" t="b">
        <v>0</v>
      </c>
      <c r="W10" s="1" t="b">
        <v>0</v>
      </c>
      <c r="Z10" s="1" t="b">
        <f t="shared" si="0"/>
        <v>0</v>
      </c>
      <c r="AA10" t="b">
        <f t="shared" si="2"/>
        <v>0</v>
      </c>
    </row>
    <row r="11" spans="1:28" ht="64" x14ac:dyDescent="0.2">
      <c r="A11" s="1" t="s">
        <v>90</v>
      </c>
      <c r="B11" s="1" t="s">
        <v>91</v>
      </c>
      <c r="C11" s="1" t="s">
        <v>92</v>
      </c>
      <c r="D11" s="1" t="s">
        <v>35</v>
      </c>
      <c r="E11" s="1">
        <v>2015</v>
      </c>
      <c r="F11" s="1" t="s">
        <v>36</v>
      </c>
      <c r="G11" s="2" t="s">
        <v>93</v>
      </c>
      <c r="H11" s="1" t="s">
        <v>31</v>
      </c>
      <c r="I11" s="1">
        <v>73</v>
      </c>
      <c r="J11" s="1" t="b">
        <v>0</v>
      </c>
      <c r="K11" s="3" t="b">
        <v>0</v>
      </c>
      <c r="L11" s="3" t="s">
        <v>64</v>
      </c>
      <c r="M11" s="3" t="b">
        <v>0</v>
      </c>
      <c r="N11" s="3"/>
      <c r="O11" s="3"/>
      <c r="P11" s="3"/>
      <c r="Q11" s="3"/>
      <c r="R11" s="3"/>
      <c r="S11" s="1" t="str">
        <f t="shared" si="1"/>
        <v/>
      </c>
      <c r="T11" s="3"/>
      <c r="U11" s="5" t="b">
        <v>1</v>
      </c>
      <c r="W11" s="1" t="b">
        <v>0</v>
      </c>
      <c r="X11" s="1" t="s">
        <v>67</v>
      </c>
      <c r="Z11" s="1" t="b">
        <f t="shared" si="0"/>
        <v>0</v>
      </c>
      <c r="AB11" s="1" t="s">
        <v>68</v>
      </c>
    </row>
    <row r="12" spans="1:28" ht="80" x14ac:dyDescent="0.2">
      <c r="A12" s="1" t="s">
        <v>94</v>
      </c>
      <c r="B12" s="1" t="s">
        <v>95</v>
      </c>
      <c r="C12" s="1" t="s">
        <v>96</v>
      </c>
      <c r="D12" s="1" t="s">
        <v>35</v>
      </c>
      <c r="E12" s="1">
        <v>2008</v>
      </c>
      <c r="F12" s="1" t="s">
        <v>36</v>
      </c>
      <c r="G12" s="2" t="s">
        <v>97</v>
      </c>
      <c r="H12" s="1" t="s">
        <v>98</v>
      </c>
      <c r="I12" s="1">
        <v>312</v>
      </c>
      <c r="J12" s="1" t="b">
        <v>0</v>
      </c>
      <c r="K12" s="3" t="b">
        <v>0</v>
      </c>
      <c r="L12" s="3"/>
      <c r="M12" s="3" t="b">
        <v>0</v>
      </c>
      <c r="N12" s="3"/>
      <c r="O12" s="3"/>
      <c r="P12" s="3"/>
      <c r="Q12" s="3"/>
      <c r="R12" s="3"/>
      <c r="S12" s="1" t="str">
        <f t="shared" si="1"/>
        <v/>
      </c>
      <c r="T12" s="3"/>
      <c r="U12" s="5" t="b">
        <v>0</v>
      </c>
      <c r="W12" s="1" t="b">
        <v>0</v>
      </c>
      <c r="Z12" s="1" t="b">
        <f t="shared" si="0"/>
        <v>0</v>
      </c>
      <c r="AA12" t="b">
        <f t="shared" si="2"/>
        <v>0</v>
      </c>
    </row>
    <row r="13" spans="1:28" ht="144" x14ac:dyDescent="0.2">
      <c r="A13" s="1" t="s">
        <v>99</v>
      </c>
      <c r="B13" s="1" t="s">
        <v>100</v>
      </c>
      <c r="C13" s="1" t="s">
        <v>101</v>
      </c>
      <c r="D13" s="1" t="s">
        <v>35</v>
      </c>
      <c r="E13" s="1">
        <v>1990</v>
      </c>
      <c r="F13" s="1" t="s">
        <v>36</v>
      </c>
      <c r="G13" s="2" t="s">
        <v>102</v>
      </c>
      <c r="H13" s="1" t="s">
        <v>31</v>
      </c>
      <c r="I13" s="1">
        <v>161</v>
      </c>
      <c r="J13" s="1" t="b">
        <v>0</v>
      </c>
      <c r="K13" s="3" t="b">
        <v>0</v>
      </c>
      <c r="L13" s="3"/>
      <c r="M13" s="3" t="b">
        <v>0</v>
      </c>
      <c r="N13" s="3"/>
      <c r="O13" s="3"/>
      <c r="P13" s="3"/>
      <c r="Q13" s="3"/>
      <c r="R13" s="3"/>
      <c r="S13" s="1" t="str">
        <f t="shared" si="1"/>
        <v/>
      </c>
      <c r="T13" s="3"/>
      <c r="U13" s="5" t="b">
        <v>0</v>
      </c>
      <c r="W13" s="1" t="b">
        <v>0</v>
      </c>
      <c r="Z13" s="1" t="b">
        <f t="shared" si="0"/>
        <v>0</v>
      </c>
      <c r="AA13" t="b">
        <f t="shared" si="2"/>
        <v>0</v>
      </c>
    </row>
    <row r="14" spans="1:28" ht="256" x14ac:dyDescent="0.2">
      <c r="A14" s="1" t="s">
        <v>103</v>
      </c>
      <c r="B14" s="1" t="s">
        <v>104</v>
      </c>
      <c r="C14" s="1" t="s">
        <v>105</v>
      </c>
      <c r="D14" s="1" t="s">
        <v>106</v>
      </c>
      <c r="E14" s="1">
        <v>2013</v>
      </c>
      <c r="F14" s="1" t="s">
        <v>107</v>
      </c>
      <c r="G14" s="2" t="s">
        <v>108</v>
      </c>
      <c r="H14" s="1" t="s">
        <v>109</v>
      </c>
      <c r="I14" s="1">
        <v>129</v>
      </c>
      <c r="J14" s="1" t="b">
        <v>0</v>
      </c>
      <c r="K14" s="3" t="b">
        <v>0</v>
      </c>
      <c r="L14" s="3" t="s">
        <v>110</v>
      </c>
      <c r="M14" s="3" t="b">
        <v>0</v>
      </c>
      <c r="N14" s="3" t="s">
        <v>111</v>
      </c>
      <c r="O14" s="3" t="s">
        <v>112</v>
      </c>
      <c r="P14" s="3"/>
      <c r="Q14" s="3"/>
      <c r="R14" s="3"/>
      <c r="S14" s="1" t="str">
        <f t="shared" si="1"/>
        <v/>
      </c>
      <c r="T14" s="3"/>
      <c r="U14" s="5" t="b">
        <v>0</v>
      </c>
      <c r="W14" s="1" t="b">
        <v>0</v>
      </c>
      <c r="Z14" s="1" t="b">
        <f t="shared" si="0"/>
        <v>0</v>
      </c>
      <c r="AA14" t="b">
        <f t="shared" si="2"/>
        <v>0</v>
      </c>
    </row>
    <row r="15" spans="1:28" ht="304" x14ac:dyDescent="0.2">
      <c r="A15" s="1" t="s">
        <v>113</v>
      </c>
      <c r="B15" s="1" t="s">
        <v>114</v>
      </c>
      <c r="C15" s="1" t="s">
        <v>115</v>
      </c>
      <c r="D15" s="1" t="s">
        <v>62</v>
      </c>
      <c r="E15" s="1">
        <v>2018</v>
      </c>
      <c r="F15" s="1" t="s">
        <v>36</v>
      </c>
      <c r="G15" s="2" t="s">
        <v>116</v>
      </c>
      <c r="H15" s="1" t="s">
        <v>31</v>
      </c>
      <c r="I15" s="1">
        <v>8</v>
      </c>
      <c r="J15" s="1" t="b">
        <v>0</v>
      </c>
      <c r="K15" s="3" t="b">
        <v>0</v>
      </c>
      <c r="L15" s="3"/>
      <c r="M15" s="3" t="b">
        <v>0</v>
      </c>
      <c r="N15" s="3"/>
      <c r="O15" s="3"/>
      <c r="P15" s="3"/>
      <c r="Q15" s="3"/>
      <c r="R15" s="3"/>
      <c r="S15" s="1" t="str">
        <f t="shared" si="1"/>
        <v/>
      </c>
      <c r="T15" s="3"/>
      <c r="U15" s="5" t="b">
        <v>0</v>
      </c>
      <c r="W15" s="1" t="b">
        <v>0</v>
      </c>
      <c r="Z15" s="1" t="b">
        <f t="shared" si="0"/>
        <v>0</v>
      </c>
      <c r="AA15" t="b">
        <f t="shared" si="2"/>
        <v>0</v>
      </c>
    </row>
    <row r="16" spans="1:28" ht="395" x14ac:dyDescent="0.2">
      <c r="A16" s="1" t="s">
        <v>117</v>
      </c>
      <c r="B16" s="1" t="s">
        <v>118</v>
      </c>
      <c r="C16" s="1" t="s">
        <v>119</v>
      </c>
      <c r="D16" s="1" t="s">
        <v>120</v>
      </c>
      <c r="E16" s="1">
        <v>1997</v>
      </c>
      <c r="F16" s="1" t="s">
        <v>121</v>
      </c>
      <c r="G16" s="2" t="s">
        <v>122</v>
      </c>
      <c r="H16" s="1" t="s">
        <v>31</v>
      </c>
      <c r="I16" s="1">
        <v>9</v>
      </c>
      <c r="J16" s="1" t="b">
        <v>0</v>
      </c>
      <c r="K16" s="3" t="b">
        <v>0</v>
      </c>
      <c r="L16" s="3"/>
      <c r="M16" s="3" t="b">
        <v>0</v>
      </c>
      <c r="N16" s="3"/>
      <c r="O16" s="3"/>
      <c r="P16" s="3"/>
      <c r="Q16" s="3"/>
      <c r="R16" s="3"/>
      <c r="S16" s="1" t="str">
        <f t="shared" si="1"/>
        <v/>
      </c>
      <c r="T16" s="3"/>
      <c r="U16" s="5" t="b">
        <v>0</v>
      </c>
      <c r="W16" s="1" t="b">
        <v>0</v>
      </c>
      <c r="Z16" s="1" t="b">
        <f t="shared" si="0"/>
        <v>0</v>
      </c>
      <c r="AA16" t="b">
        <f t="shared" si="2"/>
        <v>0</v>
      </c>
    </row>
    <row r="17" spans="1:27" ht="160" x14ac:dyDescent="0.2">
      <c r="A17" s="1" t="s">
        <v>123</v>
      </c>
      <c r="B17" s="1" t="s">
        <v>124</v>
      </c>
      <c r="C17" s="1" t="s">
        <v>125</v>
      </c>
      <c r="D17" s="1" t="s">
        <v>72</v>
      </c>
      <c r="E17" s="1">
        <v>1996</v>
      </c>
      <c r="F17" s="1" t="s">
        <v>126</v>
      </c>
      <c r="G17" s="2" t="s">
        <v>127</v>
      </c>
      <c r="H17" s="1" t="s">
        <v>128</v>
      </c>
      <c r="I17" s="1">
        <v>63</v>
      </c>
      <c r="J17" s="1" t="b">
        <v>0</v>
      </c>
      <c r="K17" s="3" t="b">
        <v>0</v>
      </c>
      <c r="L17" s="3"/>
      <c r="M17" s="3" t="b">
        <v>0</v>
      </c>
      <c r="N17" s="3"/>
      <c r="O17" s="3"/>
      <c r="P17" s="3"/>
      <c r="Q17" s="3"/>
      <c r="R17" s="3"/>
      <c r="S17" s="1" t="str">
        <f t="shared" si="1"/>
        <v/>
      </c>
      <c r="T17" s="3"/>
      <c r="U17" s="5" t="b">
        <v>0</v>
      </c>
      <c r="W17" s="1" t="b">
        <v>0</v>
      </c>
      <c r="Z17" s="1" t="b">
        <f t="shared" si="0"/>
        <v>0</v>
      </c>
      <c r="AA17" t="b">
        <f t="shared" si="2"/>
        <v>0</v>
      </c>
    </row>
    <row r="18" spans="1:27" ht="224" x14ac:dyDescent="0.2">
      <c r="A18" s="1" t="s">
        <v>129</v>
      </c>
      <c r="B18" s="1" t="s">
        <v>130</v>
      </c>
      <c r="C18" s="1" t="s">
        <v>131</v>
      </c>
      <c r="D18" s="1" t="s">
        <v>120</v>
      </c>
      <c r="E18" s="1">
        <v>2021</v>
      </c>
      <c r="F18" s="1" t="s">
        <v>132</v>
      </c>
      <c r="G18" s="2" t="s">
        <v>133</v>
      </c>
      <c r="H18" s="1" t="s">
        <v>134</v>
      </c>
      <c r="I18" s="1">
        <v>1</v>
      </c>
      <c r="J18" s="1" t="b">
        <v>0</v>
      </c>
      <c r="K18" s="3" t="b">
        <v>0</v>
      </c>
      <c r="L18" s="3"/>
      <c r="M18" s="3" t="b">
        <v>0</v>
      </c>
      <c r="N18" s="3"/>
      <c r="O18" s="3"/>
      <c r="P18" s="3"/>
      <c r="Q18" s="3"/>
      <c r="R18" s="3"/>
      <c r="S18" s="1" t="str">
        <f t="shared" si="1"/>
        <v/>
      </c>
      <c r="T18" s="3"/>
      <c r="U18" s="5" t="b">
        <v>0</v>
      </c>
      <c r="W18" s="1" t="b">
        <v>0</v>
      </c>
      <c r="Z18" s="1" t="b">
        <f t="shared" si="0"/>
        <v>0</v>
      </c>
      <c r="AA18" t="b">
        <f t="shared" si="2"/>
        <v>0</v>
      </c>
    </row>
    <row r="19" spans="1:27" ht="208" x14ac:dyDescent="0.2">
      <c r="A19" s="1" t="s">
        <v>135</v>
      </c>
      <c r="B19" s="1" t="s">
        <v>136</v>
      </c>
      <c r="C19" s="1" t="s">
        <v>137</v>
      </c>
      <c r="D19" s="1" t="s">
        <v>28</v>
      </c>
      <c r="E19" s="1">
        <v>2003</v>
      </c>
      <c r="F19" s="1" t="s">
        <v>138</v>
      </c>
      <c r="G19" s="2" t="s">
        <v>139</v>
      </c>
      <c r="H19" s="1" t="s">
        <v>31</v>
      </c>
      <c r="I19" s="1">
        <v>84</v>
      </c>
      <c r="J19" s="1" t="b">
        <v>0</v>
      </c>
      <c r="K19" s="3" t="b">
        <v>1</v>
      </c>
      <c r="L19" s="3" t="s">
        <v>140</v>
      </c>
      <c r="M19" s="3" t="b">
        <v>1</v>
      </c>
      <c r="N19" s="3" t="s">
        <v>141</v>
      </c>
      <c r="O19" s="3" t="s">
        <v>142</v>
      </c>
      <c r="P19" s="3"/>
      <c r="Q19" s="3"/>
      <c r="R19" s="3"/>
      <c r="S19" s="1" t="str">
        <f t="shared" si="1"/>
        <v/>
      </c>
      <c r="T19" s="3"/>
      <c r="U19" s="5" t="b">
        <v>1</v>
      </c>
      <c r="W19" s="1" t="b">
        <v>1</v>
      </c>
      <c r="Z19" s="1" t="b">
        <f t="shared" si="0"/>
        <v>1</v>
      </c>
      <c r="AA19" t="b">
        <f t="shared" si="2"/>
        <v>1</v>
      </c>
    </row>
    <row r="20" spans="1:27" ht="208" x14ac:dyDescent="0.2">
      <c r="A20" s="1" t="s">
        <v>143</v>
      </c>
      <c r="B20" s="1" t="s">
        <v>144</v>
      </c>
      <c r="C20" s="1" t="s">
        <v>145</v>
      </c>
      <c r="D20" s="1" t="s">
        <v>77</v>
      </c>
      <c r="E20" s="1">
        <v>2024</v>
      </c>
      <c r="F20" s="1" t="s">
        <v>146</v>
      </c>
      <c r="G20" s="2" t="s">
        <v>147</v>
      </c>
      <c r="H20" s="1" t="s">
        <v>86</v>
      </c>
      <c r="I20" s="1">
        <v>1</v>
      </c>
      <c r="J20" s="1" t="b">
        <v>0</v>
      </c>
      <c r="K20" s="3" t="b">
        <v>1</v>
      </c>
      <c r="L20" s="3"/>
      <c r="M20" s="3" t="b">
        <v>1</v>
      </c>
      <c r="N20" s="3" t="s">
        <v>148</v>
      </c>
      <c r="O20" s="3"/>
      <c r="P20" s="3"/>
      <c r="Q20" s="3"/>
      <c r="R20" s="3"/>
      <c r="S20" s="1" t="str">
        <f t="shared" si="1"/>
        <v/>
      </c>
      <c r="T20" s="3"/>
      <c r="U20" s="5" t="b">
        <v>1</v>
      </c>
      <c r="W20" s="1" t="b">
        <v>1</v>
      </c>
      <c r="Z20" s="1" t="b">
        <f t="shared" si="0"/>
        <v>1</v>
      </c>
      <c r="AA20" t="b">
        <f t="shared" si="2"/>
        <v>1</v>
      </c>
    </row>
    <row r="21" spans="1:27" ht="15.75" customHeight="1" x14ac:dyDescent="0.2">
      <c r="A21" s="1" t="s">
        <v>149</v>
      </c>
      <c r="B21" s="1" t="s">
        <v>150</v>
      </c>
      <c r="C21" s="1" t="s">
        <v>151</v>
      </c>
      <c r="D21" s="1" t="s">
        <v>72</v>
      </c>
      <c r="E21" s="1">
        <v>2003</v>
      </c>
      <c r="F21" s="1" t="s">
        <v>152</v>
      </c>
      <c r="G21" s="2" t="s">
        <v>153</v>
      </c>
      <c r="H21" s="1" t="s">
        <v>154</v>
      </c>
      <c r="I21" s="1">
        <v>212</v>
      </c>
      <c r="J21" s="1" t="b">
        <v>0</v>
      </c>
      <c r="K21" s="3" t="b">
        <v>0</v>
      </c>
      <c r="L21" s="3"/>
      <c r="M21" s="3" t="b">
        <v>0</v>
      </c>
      <c r="N21" s="3"/>
      <c r="O21" s="3"/>
      <c r="P21" s="3"/>
      <c r="Q21" s="3"/>
      <c r="R21" s="3"/>
      <c r="S21" s="1" t="str">
        <f t="shared" si="1"/>
        <v/>
      </c>
      <c r="T21" s="3"/>
      <c r="U21" s="5" t="b">
        <v>0</v>
      </c>
      <c r="W21" s="1" t="b">
        <v>0</v>
      </c>
      <c r="Z21" s="1" t="b">
        <f t="shared" si="0"/>
        <v>0</v>
      </c>
      <c r="AA21" t="b">
        <f t="shared" si="2"/>
        <v>0</v>
      </c>
    </row>
    <row r="22" spans="1:27" ht="15.75" customHeight="1" x14ac:dyDescent="0.2">
      <c r="A22" s="1" t="s">
        <v>155</v>
      </c>
      <c r="B22" s="1" t="s">
        <v>156</v>
      </c>
      <c r="C22" s="1" t="s">
        <v>157</v>
      </c>
      <c r="D22" s="1" t="s">
        <v>28</v>
      </c>
      <c r="E22" s="1">
        <v>2020</v>
      </c>
      <c r="F22" s="1" t="s">
        <v>158</v>
      </c>
      <c r="G22" s="2" t="s">
        <v>159</v>
      </c>
      <c r="H22" s="1" t="s">
        <v>31</v>
      </c>
      <c r="I22" s="1">
        <v>5</v>
      </c>
      <c r="J22" s="1" t="b">
        <v>0</v>
      </c>
      <c r="K22" s="3" t="b">
        <v>0</v>
      </c>
      <c r="L22" s="3"/>
      <c r="M22" s="3" t="b">
        <v>0</v>
      </c>
      <c r="N22" s="3"/>
      <c r="O22" s="3"/>
      <c r="P22" s="3"/>
      <c r="Q22" s="3"/>
      <c r="R22" s="3"/>
      <c r="S22" s="1" t="str">
        <f t="shared" si="1"/>
        <v/>
      </c>
      <c r="T22" s="3"/>
      <c r="U22" s="5" t="b">
        <v>0</v>
      </c>
      <c r="W22" s="1" t="b">
        <v>0</v>
      </c>
      <c r="Z22" s="1" t="b">
        <f t="shared" si="0"/>
        <v>0</v>
      </c>
      <c r="AA22" t="b">
        <f t="shared" si="2"/>
        <v>0</v>
      </c>
    </row>
    <row r="23" spans="1:27" ht="15.75" customHeight="1" x14ac:dyDescent="0.2">
      <c r="A23" s="1" t="s">
        <v>160</v>
      </c>
      <c r="B23" s="1" t="s">
        <v>161</v>
      </c>
      <c r="C23" s="1" t="s">
        <v>162</v>
      </c>
      <c r="D23" s="1" t="s">
        <v>28</v>
      </c>
      <c r="E23" s="1">
        <v>2009</v>
      </c>
      <c r="F23" s="1" t="s">
        <v>163</v>
      </c>
      <c r="G23" s="2" t="s">
        <v>164</v>
      </c>
      <c r="H23" s="1" t="s">
        <v>154</v>
      </c>
      <c r="I23" s="1">
        <v>186</v>
      </c>
      <c r="J23" s="1" t="b">
        <v>0</v>
      </c>
      <c r="K23" s="3" t="b">
        <v>1</v>
      </c>
      <c r="L23" s="3" t="s">
        <v>165</v>
      </c>
      <c r="M23" s="3" t="b">
        <v>1</v>
      </c>
      <c r="N23" s="3" t="s">
        <v>166</v>
      </c>
      <c r="O23" s="3"/>
      <c r="P23" s="3"/>
      <c r="Q23" s="3"/>
      <c r="R23" s="3"/>
      <c r="S23" s="1" t="str">
        <f t="shared" si="1"/>
        <v/>
      </c>
      <c r="T23" s="3"/>
      <c r="U23" s="5" t="b">
        <v>1</v>
      </c>
      <c r="W23" s="1" t="b">
        <v>1</v>
      </c>
      <c r="Z23" s="1" t="b">
        <f t="shared" si="0"/>
        <v>1</v>
      </c>
      <c r="AA23" t="b">
        <f t="shared" si="2"/>
        <v>1</v>
      </c>
    </row>
    <row r="24" spans="1:27" ht="15.75" customHeight="1" x14ac:dyDescent="0.2">
      <c r="A24" s="1" t="s">
        <v>167</v>
      </c>
      <c r="B24" s="1" t="s">
        <v>168</v>
      </c>
      <c r="C24" s="1" t="s">
        <v>169</v>
      </c>
      <c r="D24" s="1" t="s">
        <v>62</v>
      </c>
      <c r="E24" s="1">
        <v>1998</v>
      </c>
      <c r="F24" s="1" t="s">
        <v>170</v>
      </c>
      <c r="G24" s="2" t="s">
        <v>171</v>
      </c>
      <c r="H24" s="1" t="s">
        <v>31</v>
      </c>
      <c r="I24" s="1">
        <v>35</v>
      </c>
      <c r="J24" s="1" t="b">
        <v>0</v>
      </c>
      <c r="K24" s="3" t="b">
        <v>1</v>
      </c>
      <c r="L24" s="3" t="s">
        <v>38</v>
      </c>
      <c r="M24" s="3" t="b">
        <v>1</v>
      </c>
      <c r="N24" s="3"/>
      <c r="O24" s="3"/>
      <c r="P24" s="3"/>
      <c r="Q24" s="3"/>
      <c r="R24" s="3"/>
      <c r="S24" s="1" t="str">
        <f t="shared" si="1"/>
        <v/>
      </c>
      <c r="T24" s="3"/>
      <c r="U24" s="5" t="b">
        <v>1</v>
      </c>
      <c r="W24" s="1" t="b">
        <v>1</v>
      </c>
      <c r="Z24" s="1" t="b">
        <f t="shared" si="0"/>
        <v>1</v>
      </c>
      <c r="AA24" t="b">
        <f t="shared" si="2"/>
        <v>1</v>
      </c>
    </row>
    <row r="25" spans="1:27" ht="15.75" customHeight="1" x14ac:dyDescent="0.2">
      <c r="A25" s="1" t="s">
        <v>172</v>
      </c>
      <c r="B25" s="1" t="s">
        <v>173</v>
      </c>
      <c r="C25" s="1" t="s">
        <v>174</v>
      </c>
      <c r="D25" s="1" t="s">
        <v>35</v>
      </c>
      <c r="E25" s="1">
        <v>2022</v>
      </c>
      <c r="F25" s="1" t="s">
        <v>36</v>
      </c>
      <c r="G25" s="2" t="s">
        <v>175</v>
      </c>
      <c r="H25" s="1" t="s">
        <v>31</v>
      </c>
      <c r="I25" s="1">
        <v>4</v>
      </c>
      <c r="J25" s="1" t="b">
        <v>0</v>
      </c>
      <c r="K25" s="3" t="b">
        <v>1</v>
      </c>
      <c r="L25" s="3" t="s">
        <v>165</v>
      </c>
      <c r="M25" s="3" t="b">
        <v>1</v>
      </c>
      <c r="N25" s="3"/>
      <c r="O25" s="3"/>
      <c r="P25" s="3"/>
      <c r="Q25" s="3"/>
      <c r="R25" s="3"/>
      <c r="S25" s="1" t="str">
        <f t="shared" si="1"/>
        <v/>
      </c>
      <c r="T25" s="3"/>
      <c r="U25" s="5" t="b">
        <v>1</v>
      </c>
      <c r="W25" s="1" t="b">
        <v>1</v>
      </c>
      <c r="Z25" s="1" t="b">
        <f t="shared" si="0"/>
        <v>1</v>
      </c>
      <c r="AA25" t="b">
        <f t="shared" si="2"/>
        <v>1</v>
      </c>
    </row>
    <row r="26" spans="1:27" ht="15.75" customHeight="1" x14ac:dyDescent="0.2">
      <c r="A26" s="1" t="s">
        <v>176</v>
      </c>
      <c r="B26" s="1" t="s">
        <v>177</v>
      </c>
      <c r="C26" s="1" t="s">
        <v>178</v>
      </c>
      <c r="D26" s="1" t="s">
        <v>179</v>
      </c>
      <c r="E26" s="1">
        <v>1994</v>
      </c>
      <c r="F26" s="1" t="s">
        <v>36</v>
      </c>
      <c r="G26" s="2" t="s">
        <v>180</v>
      </c>
      <c r="H26" s="1" t="s">
        <v>181</v>
      </c>
      <c r="I26" s="1">
        <v>40</v>
      </c>
      <c r="J26" s="1" t="b">
        <v>0</v>
      </c>
      <c r="K26" s="3" t="b">
        <v>0</v>
      </c>
      <c r="L26" s="3" t="s">
        <v>182</v>
      </c>
      <c r="M26" s="3" t="b">
        <v>0</v>
      </c>
      <c r="N26" s="3" t="s">
        <v>183</v>
      </c>
      <c r="O26" s="3" t="s">
        <v>184</v>
      </c>
      <c r="P26" s="3"/>
      <c r="Q26" s="3"/>
      <c r="R26" s="3"/>
      <c r="S26" s="1" t="str">
        <f t="shared" si="1"/>
        <v/>
      </c>
      <c r="T26" s="3"/>
      <c r="U26" s="5" t="b">
        <v>0</v>
      </c>
      <c r="W26" s="1" t="b">
        <v>0</v>
      </c>
      <c r="Z26" s="1" t="b">
        <f t="shared" si="0"/>
        <v>0</v>
      </c>
      <c r="AA26" t="b">
        <f t="shared" si="2"/>
        <v>0</v>
      </c>
    </row>
    <row r="27" spans="1:27" ht="15.75" customHeight="1" x14ac:dyDescent="0.2">
      <c r="A27" s="1" t="s">
        <v>185</v>
      </c>
      <c r="B27" s="1" t="s">
        <v>186</v>
      </c>
      <c r="C27" s="1" t="s">
        <v>187</v>
      </c>
      <c r="D27" s="1" t="s">
        <v>28</v>
      </c>
      <c r="E27" s="1">
        <v>1995</v>
      </c>
      <c r="F27" s="1" t="s">
        <v>188</v>
      </c>
      <c r="G27" s="2" t="s">
        <v>189</v>
      </c>
      <c r="H27" s="1" t="s">
        <v>31</v>
      </c>
      <c r="I27" s="1">
        <v>211</v>
      </c>
      <c r="J27" s="1" t="b">
        <v>0</v>
      </c>
      <c r="K27" s="3" t="b">
        <v>0</v>
      </c>
      <c r="L27" s="3"/>
      <c r="M27" s="3" t="b">
        <v>0</v>
      </c>
      <c r="N27" s="3"/>
      <c r="O27" s="3"/>
      <c r="P27" s="3"/>
      <c r="Q27" s="3"/>
      <c r="R27" s="3"/>
      <c r="S27" s="1" t="str">
        <f t="shared" si="1"/>
        <v/>
      </c>
      <c r="T27" s="3"/>
      <c r="U27" s="5" t="b">
        <v>0</v>
      </c>
      <c r="W27" s="1" t="b">
        <v>0</v>
      </c>
      <c r="Z27" s="1" t="b">
        <f t="shared" si="0"/>
        <v>0</v>
      </c>
      <c r="AA27" t="b">
        <f t="shared" si="2"/>
        <v>0</v>
      </c>
    </row>
    <row r="28" spans="1:27" ht="15.75" customHeight="1" x14ac:dyDescent="0.2">
      <c r="A28" s="1" t="s">
        <v>190</v>
      </c>
      <c r="B28" s="1" t="s">
        <v>191</v>
      </c>
      <c r="C28" s="1" t="s">
        <v>192</v>
      </c>
      <c r="D28" s="1" t="s">
        <v>106</v>
      </c>
      <c r="E28" s="1">
        <v>2021</v>
      </c>
      <c r="F28" s="1" t="s">
        <v>193</v>
      </c>
      <c r="G28" s="2" t="s">
        <v>194</v>
      </c>
      <c r="H28" s="1" t="s">
        <v>181</v>
      </c>
      <c r="I28" s="1">
        <v>8</v>
      </c>
      <c r="J28" s="1" t="b">
        <v>0</v>
      </c>
      <c r="K28" s="3" t="b">
        <v>0</v>
      </c>
      <c r="L28" s="3"/>
      <c r="M28" s="3" t="b">
        <v>0</v>
      </c>
      <c r="N28" s="3"/>
      <c r="O28" s="3"/>
      <c r="P28" s="3"/>
      <c r="Q28" s="3"/>
      <c r="R28" s="3"/>
      <c r="S28" s="1" t="str">
        <f t="shared" si="1"/>
        <v/>
      </c>
      <c r="T28" s="3"/>
      <c r="U28" s="5" t="b">
        <v>0</v>
      </c>
      <c r="W28" s="1" t="b">
        <v>0</v>
      </c>
      <c r="Z28" s="1" t="b">
        <f t="shared" si="0"/>
        <v>0</v>
      </c>
      <c r="AA28" t="b">
        <f t="shared" si="2"/>
        <v>0</v>
      </c>
    </row>
    <row r="29" spans="1:27" ht="15.75" customHeight="1" x14ac:dyDescent="0.2">
      <c r="A29" s="1" t="s">
        <v>195</v>
      </c>
      <c r="B29" s="1" t="s">
        <v>196</v>
      </c>
      <c r="C29" s="1" t="s">
        <v>197</v>
      </c>
      <c r="D29" s="1" t="s">
        <v>35</v>
      </c>
      <c r="E29" s="1">
        <v>1995</v>
      </c>
      <c r="F29" s="1" t="s">
        <v>36</v>
      </c>
      <c r="G29" s="2" t="s">
        <v>198</v>
      </c>
      <c r="H29" s="1" t="s">
        <v>31</v>
      </c>
      <c r="I29" s="1">
        <v>20</v>
      </c>
      <c r="J29" s="1" t="b">
        <v>0</v>
      </c>
      <c r="K29" s="3" t="b">
        <v>0</v>
      </c>
      <c r="L29" s="3"/>
      <c r="M29" s="3" t="b">
        <v>0</v>
      </c>
      <c r="N29" s="3"/>
      <c r="O29" s="3"/>
      <c r="P29" s="3"/>
      <c r="Q29" s="3"/>
      <c r="R29" s="3"/>
      <c r="S29" s="1" t="str">
        <f t="shared" si="1"/>
        <v/>
      </c>
      <c r="T29" s="3"/>
      <c r="U29" s="5" t="b">
        <v>0</v>
      </c>
      <c r="W29" s="1" t="b">
        <v>0</v>
      </c>
      <c r="Z29" s="1" t="b">
        <f t="shared" si="0"/>
        <v>0</v>
      </c>
      <c r="AA29" t="b">
        <f t="shared" si="2"/>
        <v>0</v>
      </c>
    </row>
    <row r="30" spans="1:27" ht="15.75" customHeight="1" x14ac:dyDescent="0.2">
      <c r="A30" s="1" t="s">
        <v>199</v>
      </c>
      <c r="B30" s="1" t="s">
        <v>200</v>
      </c>
      <c r="C30" s="1" t="s">
        <v>201</v>
      </c>
      <c r="D30" s="1" t="s">
        <v>35</v>
      </c>
      <c r="E30" s="1">
        <v>2011</v>
      </c>
      <c r="F30" s="1" t="s">
        <v>36</v>
      </c>
      <c r="G30" s="2" t="s">
        <v>202</v>
      </c>
      <c r="H30" s="1" t="s">
        <v>31</v>
      </c>
      <c r="I30" s="1">
        <v>22</v>
      </c>
      <c r="J30" s="1" t="b">
        <v>0</v>
      </c>
      <c r="K30" s="3" t="b">
        <v>0</v>
      </c>
      <c r="L30" s="3" t="s">
        <v>182</v>
      </c>
      <c r="M30" s="3" t="b">
        <v>0</v>
      </c>
      <c r="N30" s="3" t="s">
        <v>183</v>
      </c>
      <c r="O30" s="3"/>
      <c r="P30" s="3"/>
      <c r="Q30" s="3"/>
      <c r="R30" s="3"/>
      <c r="S30" s="1" t="str">
        <f t="shared" si="1"/>
        <v/>
      </c>
      <c r="T30" s="3"/>
      <c r="U30" s="5" t="b">
        <v>1</v>
      </c>
      <c r="W30" s="1" t="b">
        <v>0</v>
      </c>
      <c r="Z30" s="1" t="b">
        <f t="shared" si="0"/>
        <v>0</v>
      </c>
      <c r="AA30" t="b">
        <f t="shared" si="2"/>
        <v>0</v>
      </c>
    </row>
    <row r="31" spans="1:27" ht="15.75" customHeight="1" x14ac:dyDescent="0.2">
      <c r="A31" s="1" t="s">
        <v>203</v>
      </c>
      <c r="B31" s="1" t="s">
        <v>204</v>
      </c>
      <c r="C31" s="1" t="s">
        <v>205</v>
      </c>
      <c r="D31" s="1" t="s">
        <v>28</v>
      </c>
      <c r="E31" s="1">
        <v>1992</v>
      </c>
      <c r="F31" s="1" t="s">
        <v>206</v>
      </c>
      <c r="G31" s="2" t="s">
        <v>207</v>
      </c>
      <c r="H31" s="1" t="s">
        <v>31</v>
      </c>
      <c r="I31" s="1">
        <v>207</v>
      </c>
      <c r="J31" s="1" t="b">
        <v>0</v>
      </c>
      <c r="K31" s="3" t="b">
        <v>0</v>
      </c>
      <c r="L31" s="3" t="s">
        <v>182</v>
      </c>
      <c r="M31" s="3" t="b">
        <v>0</v>
      </c>
      <c r="N31" s="3" t="s">
        <v>183</v>
      </c>
      <c r="O31" s="3"/>
      <c r="P31" s="3"/>
      <c r="Q31" s="3"/>
      <c r="R31" s="3"/>
      <c r="S31" s="1" t="str">
        <f t="shared" si="1"/>
        <v/>
      </c>
      <c r="T31" s="3"/>
      <c r="U31" s="5" t="b">
        <v>1</v>
      </c>
      <c r="W31" s="1" t="b">
        <v>0</v>
      </c>
      <c r="Z31" s="1" t="b">
        <f t="shared" si="0"/>
        <v>0</v>
      </c>
      <c r="AA31" t="b">
        <f t="shared" si="2"/>
        <v>0</v>
      </c>
    </row>
    <row r="32" spans="1:27" ht="15.75" customHeight="1" x14ac:dyDescent="0.2">
      <c r="A32" s="1" t="s">
        <v>208</v>
      </c>
      <c r="B32" s="1" t="s">
        <v>209</v>
      </c>
      <c r="C32" s="1" t="s">
        <v>210</v>
      </c>
      <c r="D32" s="1" t="s">
        <v>28</v>
      </c>
      <c r="E32" s="1">
        <v>2003</v>
      </c>
      <c r="F32" s="1" t="s">
        <v>211</v>
      </c>
      <c r="G32" s="2" t="s">
        <v>212</v>
      </c>
      <c r="H32" s="1" t="s">
        <v>213</v>
      </c>
      <c r="I32" s="1">
        <v>101</v>
      </c>
      <c r="J32" s="1" t="b">
        <v>0</v>
      </c>
      <c r="K32" s="3" t="b">
        <v>0</v>
      </c>
      <c r="L32" s="3"/>
      <c r="M32" s="3" t="b">
        <v>0</v>
      </c>
      <c r="N32" s="3"/>
      <c r="O32" s="3"/>
      <c r="P32" s="3"/>
      <c r="Q32" s="3"/>
      <c r="R32" s="3"/>
      <c r="S32" s="1" t="str">
        <f t="shared" si="1"/>
        <v/>
      </c>
      <c r="T32" s="3"/>
      <c r="U32" s="5" t="b">
        <v>0</v>
      </c>
      <c r="W32" s="1" t="b">
        <v>0</v>
      </c>
      <c r="Z32" s="1" t="b">
        <f t="shared" si="0"/>
        <v>0</v>
      </c>
      <c r="AA32" t="b">
        <f t="shared" si="2"/>
        <v>0</v>
      </c>
    </row>
    <row r="33" spans="1:27" ht="15.75" customHeight="1" x14ac:dyDescent="0.2">
      <c r="A33" s="1" t="s">
        <v>214</v>
      </c>
      <c r="B33" s="1" t="s">
        <v>215</v>
      </c>
      <c r="C33" s="1" t="s">
        <v>216</v>
      </c>
      <c r="D33" s="1" t="s">
        <v>106</v>
      </c>
      <c r="E33" s="1">
        <v>2007</v>
      </c>
      <c r="F33" s="1" t="s">
        <v>217</v>
      </c>
      <c r="G33" s="2" t="s">
        <v>218</v>
      </c>
      <c r="H33" s="1" t="s">
        <v>219</v>
      </c>
      <c r="I33" s="1">
        <v>190</v>
      </c>
      <c r="J33" s="1" t="b">
        <v>0</v>
      </c>
      <c r="K33" s="3" t="b">
        <v>0</v>
      </c>
      <c r="L33" s="3"/>
      <c r="M33" s="3" t="b">
        <v>0</v>
      </c>
      <c r="N33" s="3"/>
      <c r="O33" s="3"/>
      <c r="P33" s="3"/>
      <c r="Q33" s="3"/>
      <c r="R33" s="3"/>
      <c r="S33" s="1" t="str">
        <f t="shared" si="1"/>
        <v/>
      </c>
      <c r="T33" s="3"/>
      <c r="U33" s="5" t="b">
        <v>0</v>
      </c>
      <c r="W33" s="1" t="b">
        <v>0</v>
      </c>
      <c r="Z33" s="1" t="b">
        <f t="shared" si="0"/>
        <v>0</v>
      </c>
      <c r="AA33" t="b">
        <f t="shared" si="2"/>
        <v>0</v>
      </c>
    </row>
    <row r="34" spans="1:27" ht="15.75" customHeight="1" x14ac:dyDescent="0.2">
      <c r="A34" s="1" t="s">
        <v>220</v>
      </c>
      <c r="B34" s="1" t="s">
        <v>221</v>
      </c>
      <c r="C34" s="1" t="s">
        <v>222</v>
      </c>
      <c r="D34" s="1" t="s">
        <v>179</v>
      </c>
      <c r="E34" s="1">
        <v>2006</v>
      </c>
      <c r="F34" s="1" t="s">
        <v>36</v>
      </c>
      <c r="G34" s="2" t="s">
        <v>223</v>
      </c>
      <c r="H34" s="1" t="s">
        <v>181</v>
      </c>
      <c r="I34" s="1">
        <v>163</v>
      </c>
      <c r="J34" s="1" t="b">
        <v>0</v>
      </c>
      <c r="K34" s="3" t="b">
        <v>0</v>
      </c>
      <c r="L34" s="3"/>
      <c r="M34" s="3" t="b">
        <v>0</v>
      </c>
      <c r="N34" s="3"/>
      <c r="O34" s="3"/>
      <c r="P34" s="3"/>
      <c r="Q34" s="3"/>
      <c r="R34" s="3"/>
      <c r="S34" s="1" t="str">
        <f t="shared" si="1"/>
        <v/>
      </c>
      <c r="T34" s="3"/>
      <c r="U34" s="5" t="b">
        <v>0</v>
      </c>
      <c r="W34" s="1" t="b">
        <v>0</v>
      </c>
      <c r="Z34" s="1" t="b">
        <f t="shared" si="0"/>
        <v>0</v>
      </c>
      <c r="AA34" t="b">
        <f t="shared" si="2"/>
        <v>0</v>
      </c>
    </row>
    <row r="35" spans="1:27" ht="15.75" customHeight="1" x14ac:dyDescent="0.2">
      <c r="A35" s="1" t="s">
        <v>224</v>
      </c>
      <c r="B35" s="1" t="s">
        <v>225</v>
      </c>
      <c r="C35" s="1" t="s">
        <v>226</v>
      </c>
      <c r="D35" s="1" t="s">
        <v>227</v>
      </c>
      <c r="E35" s="1">
        <v>1999</v>
      </c>
      <c r="F35" s="1" t="s">
        <v>228</v>
      </c>
      <c r="G35" s="2" t="s">
        <v>229</v>
      </c>
      <c r="H35" s="1" t="s">
        <v>31</v>
      </c>
      <c r="I35" s="1">
        <v>16</v>
      </c>
      <c r="J35" s="1" t="b">
        <v>0</v>
      </c>
      <c r="K35" s="3" t="b">
        <v>1</v>
      </c>
      <c r="L35" s="3" t="s">
        <v>230</v>
      </c>
      <c r="M35" s="3" t="b">
        <v>0</v>
      </c>
      <c r="N35" s="3" t="s">
        <v>231</v>
      </c>
      <c r="O35" s="3"/>
      <c r="P35" s="3"/>
      <c r="Q35" s="3"/>
      <c r="R35" s="3"/>
      <c r="S35" s="1" t="str">
        <f t="shared" si="1"/>
        <v/>
      </c>
      <c r="T35" s="3" t="b">
        <v>1</v>
      </c>
      <c r="U35" s="5" t="b">
        <v>1</v>
      </c>
      <c r="V35" s="1" t="s">
        <v>232</v>
      </c>
      <c r="W35" s="1" t="b">
        <v>1</v>
      </c>
      <c r="X35" s="1" t="s">
        <v>233</v>
      </c>
      <c r="Z35" s="1" t="b">
        <f t="shared" si="0"/>
        <v>1</v>
      </c>
      <c r="AA35" t="b">
        <f t="shared" si="2"/>
        <v>1</v>
      </c>
    </row>
    <row r="36" spans="1:27" ht="15.75" customHeight="1" x14ac:dyDescent="0.2">
      <c r="A36" s="1" t="s">
        <v>234</v>
      </c>
      <c r="B36" s="1" t="s">
        <v>235</v>
      </c>
      <c r="C36" s="1" t="s">
        <v>236</v>
      </c>
      <c r="D36" s="1" t="s">
        <v>28</v>
      </c>
      <c r="E36" s="1">
        <v>2000</v>
      </c>
      <c r="F36" s="1" t="s">
        <v>237</v>
      </c>
      <c r="G36" s="2" t="s">
        <v>238</v>
      </c>
      <c r="H36" s="1" t="s">
        <v>31</v>
      </c>
      <c r="I36" s="1">
        <v>196</v>
      </c>
      <c r="J36" s="1" t="b">
        <v>0</v>
      </c>
      <c r="K36" s="3" t="b">
        <v>0</v>
      </c>
      <c r="L36" s="3"/>
      <c r="M36" s="3" t="b">
        <v>0</v>
      </c>
      <c r="N36" s="3"/>
      <c r="O36" s="3"/>
      <c r="P36" s="3"/>
      <c r="Q36" s="3"/>
      <c r="R36" s="3"/>
      <c r="S36" s="1" t="str">
        <f t="shared" si="1"/>
        <v/>
      </c>
      <c r="T36" s="3"/>
      <c r="U36" s="5" t="b">
        <v>0</v>
      </c>
      <c r="W36" s="1" t="b">
        <v>0</v>
      </c>
      <c r="Z36" s="1" t="b">
        <f t="shared" si="0"/>
        <v>0</v>
      </c>
      <c r="AA36" t="b">
        <f t="shared" si="2"/>
        <v>0</v>
      </c>
    </row>
    <row r="37" spans="1:27" ht="15.75" customHeight="1" x14ac:dyDescent="0.2">
      <c r="A37" s="1" t="s">
        <v>239</v>
      </c>
      <c r="B37" s="1" t="s">
        <v>240</v>
      </c>
      <c r="C37" s="1" t="s">
        <v>241</v>
      </c>
      <c r="D37" s="1" t="s">
        <v>120</v>
      </c>
      <c r="E37" s="1">
        <v>2013</v>
      </c>
      <c r="F37" s="1" t="s">
        <v>242</v>
      </c>
      <c r="G37" s="2" t="s">
        <v>243</v>
      </c>
      <c r="H37" s="1" t="s">
        <v>134</v>
      </c>
      <c r="I37" s="1">
        <v>89</v>
      </c>
      <c r="J37" s="1" t="b">
        <v>0</v>
      </c>
      <c r="K37" s="3" t="b">
        <v>0</v>
      </c>
      <c r="L37" s="3"/>
      <c r="M37" s="3" t="b">
        <v>0</v>
      </c>
      <c r="N37" s="3"/>
      <c r="O37" s="3"/>
      <c r="P37" s="3"/>
      <c r="Q37" s="3"/>
      <c r="R37" s="3"/>
      <c r="S37" s="1" t="str">
        <f t="shared" si="1"/>
        <v/>
      </c>
      <c r="T37" s="3"/>
      <c r="U37" s="5" t="b">
        <v>0</v>
      </c>
      <c r="W37" s="1" t="b">
        <v>0</v>
      </c>
      <c r="Z37" s="1" t="b">
        <f t="shared" si="0"/>
        <v>0</v>
      </c>
      <c r="AA37" t="b">
        <f t="shared" si="2"/>
        <v>0</v>
      </c>
    </row>
    <row r="38" spans="1:27" ht="15.75" customHeight="1" x14ac:dyDescent="0.2">
      <c r="A38" s="1" t="s">
        <v>244</v>
      </c>
      <c r="B38" s="1" t="s">
        <v>245</v>
      </c>
      <c r="C38" s="1" t="s">
        <v>246</v>
      </c>
      <c r="D38" s="1" t="s">
        <v>62</v>
      </c>
      <c r="E38" s="1">
        <v>2006</v>
      </c>
      <c r="F38" s="1" t="s">
        <v>36</v>
      </c>
      <c r="G38" s="2" t="s">
        <v>247</v>
      </c>
      <c r="H38" s="1" t="s">
        <v>31</v>
      </c>
      <c r="I38" s="1">
        <v>47</v>
      </c>
      <c r="J38" s="1" t="b">
        <v>0</v>
      </c>
      <c r="K38" s="3" t="b">
        <v>0</v>
      </c>
      <c r="L38" s="3"/>
      <c r="M38" s="3" t="b">
        <v>0</v>
      </c>
      <c r="N38" s="3"/>
      <c r="O38" s="3"/>
      <c r="P38" s="3"/>
      <c r="Q38" s="3"/>
      <c r="R38" s="3"/>
      <c r="S38" s="1" t="str">
        <f t="shared" si="1"/>
        <v/>
      </c>
      <c r="T38" s="3"/>
      <c r="U38" s="5" t="b">
        <v>0</v>
      </c>
      <c r="W38" s="1" t="b">
        <v>0</v>
      </c>
      <c r="Z38" s="1" t="b">
        <f t="shared" si="0"/>
        <v>0</v>
      </c>
      <c r="AA38" t="b">
        <f t="shared" si="2"/>
        <v>0</v>
      </c>
    </row>
    <row r="39" spans="1:27" ht="15.75" customHeight="1" x14ac:dyDescent="0.2">
      <c r="A39" s="1" t="s">
        <v>248</v>
      </c>
      <c r="B39" s="1" t="s">
        <v>249</v>
      </c>
      <c r="C39" s="1" t="s">
        <v>250</v>
      </c>
      <c r="D39" s="1" t="s">
        <v>28</v>
      </c>
      <c r="E39" s="1">
        <v>2010</v>
      </c>
      <c r="F39" s="1" t="s">
        <v>251</v>
      </c>
      <c r="G39" s="2" t="s">
        <v>252</v>
      </c>
      <c r="H39" s="1" t="s">
        <v>31</v>
      </c>
      <c r="I39" s="1">
        <v>187</v>
      </c>
      <c r="J39" s="1" t="b">
        <v>0</v>
      </c>
      <c r="K39" s="3" t="b">
        <v>0</v>
      </c>
      <c r="L39" s="3"/>
      <c r="M39" s="3" t="b">
        <v>0</v>
      </c>
      <c r="N39" s="3"/>
      <c r="O39" s="3"/>
      <c r="P39" s="3"/>
      <c r="Q39" s="3"/>
      <c r="R39" s="3"/>
      <c r="S39" s="1" t="str">
        <f t="shared" si="1"/>
        <v/>
      </c>
      <c r="T39" s="3"/>
      <c r="U39" s="5" t="b">
        <v>0</v>
      </c>
      <c r="W39" s="1" t="b">
        <v>0</v>
      </c>
      <c r="Z39" s="1" t="b">
        <f t="shared" si="0"/>
        <v>0</v>
      </c>
      <c r="AA39" t="b">
        <f t="shared" si="2"/>
        <v>0</v>
      </c>
    </row>
    <row r="40" spans="1:27" ht="15.75" customHeight="1" x14ac:dyDescent="0.2">
      <c r="A40" s="1" t="s">
        <v>253</v>
      </c>
      <c r="B40" s="1" t="s">
        <v>254</v>
      </c>
      <c r="C40" s="1" t="s">
        <v>255</v>
      </c>
      <c r="D40" s="1" t="s">
        <v>35</v>
      </c>
      <c r="E40" s="1">
        <v>2015</v>
      </c>
      <c r="F40" s="1" t="s">
        <v>36</v>
      </c>
      <c r="G40" s="2" t="s">
        <v>256</v>
      </c>
      <c r="H40" s="1" t="s">
        <v>31</v>
      </c>
      <c r="I40" s="1">
        <v>3</v>
      </c>
      <c r="J40" s="1" t="b">
        <v>0</v>
      </c>
      <c r="K40" s="3" t="b">
        <v>0</v>
      </c>
      <c r="L40" s="3"/>
      <c r="M40" s="3" t="b">
        <v>0</v>
      </c>
      <c r="N40" s="3"/>
      <c r="O40" s="3"/>
      <c r="P40" s="3"/>
      <c r="Q40" s="3"/>
      <c r="R40" s="3"/>
      <c r="S40" s="1" t="str">
        <f t="shared" si="1"/>
        <v/>
      </c>
      <c r="T40" s="3"/>
      <c r="U40" s="5" t="b">
        <v>0</v>
      </c>
      <c r="W40" s="1" t="b">
        <v>0</v>
      </c>
      <c r="Z40" s="1" t="b">
        <f t="shared" si="0"/>
        <v>0</v>
      </c>
      <c r="AA40" t="b">
        <f t="shared" si="2"/>
        <v>0</v>
      </c>
    </row>
    <row r="41" spans="1:27" ht="15.75" customHeight="1" x14ac:dyDescent="0.2">
      <c r="A41" s="1" t="s">
        <v>257</v>
      </c>
      <c r="B41" s="1" t="s">
        <v>258</v>
      </c>
      <c r="C41" s="1" t="s">
        <v>259</v>
      </c>
      <c r="D41" s="1" t="s">
        <v>28</v>
      </c>
      <c r="E41" s="1">
        <v>2022</v>
      </c>
      <c r="F41" s="1" t="s">
        <v>260</v>
      </c>
      <c r="G41" s="2" t="s">
        <v>261</v>
      </c>
      <c r="H41" s="1" t="s">
        <v>31</v>
      </c>
      <c r="I41" s="1">
        <v>1</v>
      </c>
      <c r="J41" s="1" t="b">
        <v>0</v>
      </c>
      <c r="K41" s="3" t="b">
        <v>0</v>
      </c>
      <c r="L41" s="3"/>
      <c r="M41" s="3" t="b">
        <v>0</v>
      </c>
      <c r="N41" s="3"/>
      <c r="O41" s="3"/>
      <c r="P41" s="3"/>
      <c r="Q41" s="3"/>
      <c r="R41" s="3"/>
      <c r="S41" s="1" t="str">
        <f t="shared" si="1"/>
        <v/>
      </c>
      <c r="T41" s="3"/>
      <c r="U41" s="5" t="b">
        <v>0</v>
      </c>
      <c r="W41" s="1" t="b">
        <v>0</v>
      </c>
      <c r="Z41" s="1" t="b">
        <f t="shared" si="0"/>
        <v>0</v>
      </c>
      <c r="AA41" t="b">
        <f t="shared" si="2"/>
        <v>0</v>
      </c>
    </row>
    <row r="42" spans="1:27" ht="15.75" customHeight="1" x14ac:dyDescent="0.2">
      <c r="A42" s="1" t="s">
        <v>262</v>
      </c>
      <c r="B42" s="1" t="s">
        <v>263</v>
      </c>
      <c r="C42" s="1" t="s">
        <v>264</v>
      </c>
      <c r="D42" s="1" t="s">
        <v>35</v>
      </c>
      <c r="E42" s="1">
        <v>1994</v>
      </c>
      <c r="F42" s="1" t="s">
        <v>36</v>
      </c>
      <c r="G42" s="2" t="s">
        <v>265</v>
      </c>
      <c r="H42" s="1" t="s">
        <v>31</v>
      </c>
      <c r="I42" s="1">
        <v>95</v>
      </c>
      <c r="J42" s="1" t="b">
        <v>0</v>
      </c>
      <c r="K42" s="3" t="b">
        <v>0</v>
      </c>
      <c r="L42" s="3"/>
      <c r="M42" s="3" t="b">
        <v>0</v>
      </c>
      <c r="N42" s="3"/>
      <c r="O42" s="3"/>
      <c r="P42" s="3"/>
      <c r="Q42" s="3"/>
      <c r="R42" s="3"/>
      <c r="S42" s="1" t="str">
        <f t="shared" si="1"/>
        <v/>
      </c>
      <c r="T42" s="3"/>
      <c r="U42" s="5" t="b">
        <v>0</v>
      </c>
      <c r="W42" s="1" t="b">
        <v>0</v>
      </c>
      <c r="Z42" s="1" t="b">
        <f t="shared" si="0"/>
        <v>0</v>
      </c>
      <c r="AA42" t="b">
        <f t="shared" si="2"/>
        <v>0</v>
      </c>
    </row>
    <row r="43" spans="1:27" ht="15.75" customHeight="1" x14ac:dyDescent="0.2">
      <c r="A43" s="1" t="s">
        <v>266</v>
      </c>
      <c r="B43" s="1" t="s">
        <v>267</v>
      </c>
      <c r="C43" s="1" t="s">
        <v>268</v>
      </c>
      <c r="D43" s="1" t="s">
        <v>106</v>
      </c>
      <c r="E43" s="1">
        <v>2011</v>
      </c>
      <c r="F43" s="1" t="s">
        <v>269</v>
      </c>
      <c r="G43" s="2" t="s">
        <v>270</v>
      </c>
      <c r="H43" s="1" t="s">
        <v>31</v>
      </c>
      <c r="I43" s="1">
        <v>20</v>
      </c>
      <c r="J43" s="1" t="b">
        <v>0</v>
      </c>
      <c r="K43" s="3" t="b">
        <v>0</v>
      </c>
      <c r="L43" s="3"/>
      <c r="M43" s="3" t="b">
        <v>0</v>
      </c>
      <c r="N43" s="3"/>
      <c r="O43" s="3"/>
      <c r="P43" s="3"/>
      <c r="Q43" s="3"/>
      <c r="R43" s="3"/>
      <c r="S43" s="1" t="str">
        <f t="shared" si="1"/>
        <v/>
      </c>
      <c r="T43" s="3"/>
      <c r="U43" s="5" t="b">
        <v>0</v>
      </c>
      <c r="W43" s="1" t="b">
        <v>0</v>
      </c>
      <c r="Z43" s="1" t="b">
        <f t="shared" si="0"/>
        <v>0</v>
      </c>
      <c r="AA43" t="b">
        <f t="shared" si="2"/>
        <v>0</v>
      </c>
    </row>
    <row r="44" spans="1:27" ht="15.75" customHeight="1" x14ac:dyDescent="0.2">
      <c r="A44" s="1" t="s">
        <v>271</v>
      </c>
      <c r="B44" s="1" t="s">
        <v>272</v>
      </c>
      <c r="C44" s="1" t="s">
        <v>273</v>
      </c>
      <c r="D44" s="1" t="s">
        <v>77</v>
      </c>
      <c r="E44" s="1">
        <v>2003</v>
      </c>
      <c r="F44" s="1" t="s">
        <v>274</v>
      </c>
      <c r="G44" s="2" t="s">
        <v>275</v>
      </c>
      <c r="H44" s="1" t="s">
        <v>98</v>
      </c>
      <c r="I44" s="1">
        <v>17</v>
      </c>
      <c r="J44" s="1" t="b">
        <v>0</v>
      </c>
      <c r="K44" s="3" t="b">
        <v>0</v>
      </c>
      <c r="L44" s="3"/>
      <c r="M44" s="3" t="b">
        <v>0</v>
      </c>
      <c r="N44" s="3"/>
      <c r="O44" s="3"/>
      <c r="P44" s="3"/>
      <c r="Q44" s="3"/>
      <c r="R44" s="3"/>
      <c r="S44" s="1" t="str">
        <f t="shared" si="1"/>
        <v/>
      </c>
      <c r="T44" s="3"/>
      <c r="U44" s="5" t="b">
        <v>0</v>
      </c>
      <c r="W44" s="1" t="b">
        <v>0</v>
      </c>
      <c r="Z44" s="1" t="b">
        <f t="shared" si="0"/>
        <v>0</v>
      </c>
      <c r="AA44" t="b">
        <f t="shared" si="2"/>
        <v>0</v>
      </c>
    </row>
    <row r="45" spans="1:27" ht="15.75" customHeight="1" x14ac:dyDescent="0.2">
      <c r="A45" s="1" t="s">
        <v>276</v>
      </c>
      <c r="C45" s="1" t="s">
        <v>277</v>
      </c>
      <c r="D45" s="1" t="s">
        <v>106</v>
      </c>
      <c r="E45" s="1">
        <v>1997</v>
      </c>
      <c r="F45" s="1" t="s">
        <v>278</v>
      </c>
      <c r="G45" s="2" t="s">
        <v>279</v>
      </c>
      <c r="H45" s="1" t="s">
        <v>280</v>
      </c>
      <c r="I45" s="1">
        <v>362</v>
      </c>
      <c r="J45" s="1" t="b">
        <v>0</v>
      </c>
      <c r="K45" s="3" t="b">
        <v>0</v>
      </c>
      <c r="L45" s="3"/>
      <c r="M45" s="3" t="b">
        <v>0</v>
      </c>
      <c r="N45" s="3"/>
      <c r="O45" s="3"/>
      <c r="P45" s="3"/>
      <c r="Q45" s="3"/>
      <c r="R45" s="3"/>
      <c r="S45" s="1" t="str">
        <f t="shared" si="1"/>
        <v/>
      </c>
      <c r="T45" s="3"/>
      <c r="U45" s="5" t="b">
        <v>0</v>
      </c>
      <c r="W45" s="1" t="b">
        <v>0</v>
      </c>
      <c r="Z45" s="1" t="b">
        <f t="shared" si="0"/>
        <v>0</v>
      </c>
      <c r="AA45" t="b">
        <f t="shared" si="2"/>
        <v>0</v>
      </c>
    </row>
    <row r="46" spans="1:27" ht="15.75" customHeight="1" x14ac:dyDescent="0.2">
      <c r="A46" s="1" t="s">
        <v>281</v>
      </c>
      <c r="B46" s="1" t="s">
        <v>282</v>
      </c>
      <c r="C46" s="1" t="s">
        <v>283</v>
      </c>
      <c r="D46" s="1" t="s">
        <v>120</v>
      </c>
      <c r="E46" s="1">
        <v>2017</v>
      </c>
      <c r="F46" s="1" t="s">
        <v>284</v>
      </c>
      <c r="G46" s="2" t="s">
        <v>285</v>
      </c>
      <c r="H46" s="1" t="s">
        <v>134</v>
      </c>
      <c r="I46" s="1">
        <v>27</v>
      </c>
      <c r="J46" s="1" t="b">
        <v>0</v>
      </c>
      <c r="K46" s="3" t="b">
        <v>0</v>
      </c>
      <c r="L46" s="3"/>
      <c r="M46" s="3" t="b">
        <v>0</v>
      </c>
      <c r="N46" s="3"/>
      <c r="O46" s="3"/>
      <c r="P46" s="3"/>
      <c r="Q46" s="3"/>
      <c r="R46" s="3"/>
      <c r="S46" s="1" t="str">
        <f t="shared" si="1"/>
        <v/>
      </c>
      <c r="T46" s="3"/>
      <c r="U46" s="5" t="b">
        <v>0</v>
      </c>
      <c r="W46" s="1" t="b">
        <v>0</v>
      </c>
      <c r="Z46" s="1" t="b">
        <f t="shared" si="0"/>
        <v>0</v>
      </c>
      <c r="AA46" t="b">
        <f t="shared" si="2"/>
        <v>0</v>
      </c>
    </row>
    <row r="47" spans="1:27" ht="15.75" customHeight="1" x14ac:dyDescent="0.2">
      <c r="A47" s="1" t="s">
        <v>286</v>
      </c>
      <c r="B47" s="1" t="s">
        <v>287</v>
      </c>
      <c r="C47" s="1" t="s">
        <v>288</v>
      </c>
      <c r="D47" s="1" t="s">
        <v>120</v>
      </c>
      <c r="E47" s="1">
        <v>1996</v>
      </c>
      <c r="F47" s="1" t="s">
        <v>289</v>
      </c>
      <c r="G47" s="2" t="s">
        <v>290</v>
      </c>
      <c r="H47" s="1" t="s">
        <v>31</v>
      </c>
      <c r="I47" s="1">
        <v>20</v>
      </c>
      <c r="J47" s="1" t="b">
        <v>0</v>
      </c>
      <c r="K47" s="3" t="b">
        <v>1</v>
      </c>
      <c r="L47" s="3" t="s">
        <v>165</v>
      </c>
      <c r="M47" s="3" t="b">
        <v>1</v>
      </c>
      <c r="N47" s="3" t="s">
        <v>291</v>
      </c>
      <c r="O47" s="3"/>
      <c r="P47" s="3"/>
      <c r="Q47" s="3"/>
      <c r="R47" s="3"/>
      <c r="S47" s="1" t="str">
        <f t="shared" si="1"/>
        <v/>
      </c>
      <c r="T47" s="3"/>
      <c r="U47" s="5" t="b">
        <v>1</v>
      </c>
      <c r="W47" s="1" t="b">
        <v>1</v>
      </c>
      <c r="Z47" s="1" t="b">
        <f t="shared" si="0"/>
        <v>1</v>
      </c>
      <c r="AA47" t="b">
        <f t="shared" si="2"/>
        <v>1</v>
      </c>
    </row>
    <row r="48" spans="1:27" ht="15.75" customHeight="1" x14ac:dyDescent="0.2">
      <c r="A48" s="1" t="s">
        <v>292</v>
      </c>
      <c r="B48" s="1" t="s">
        <v>293</v>
      </c>
      <c r="C48" s="1" t="s">
        <v>294</v>
      </c>
      <c r="D48" s="1" t="s">
        <v>62</v>
      </c>
      <c r="E48" s="1">
        <v>2020</v>
      </c>
      <c r="F48" s="1" t="s">
        <v>36</v>
      </c>
      <c r="G48" s="2" t="s">
        <v>295</v>
      </c>
      <c r="H48" s="1" t="s">
        <v>31</v>
      </c>
      <c r="I48" s="1">
        <v>8</v>
      </c>
      <c r="J48" s="1" t="b">
        <v>0</v>
      </c>
      <c r="K48" s="3" t="b">
        <v>0</v>
      </c>
      <c r="L48" s="3"/>
      <c r="M48" s="3" t="b">
        <v>0</v>
      </c>
      <c r="N48" s="3"/>
      <c r="O48" s="3"/>
      <c r="P48" s="3"/>
      <c r="Q48" s="3"/>
      <c r="R48" s="3"/>
      <c r="S48" s="1" t="str">
        <f t="shared" si="1"/>
        <v/>
      </c>
      <c r="T48" s="3"/>
      <c r="U48" s="5" t="b">
        <v>0</v>
      </c>
      <c r="W48" s="1" t="b">
        <v>0</v>
      </c>
      <c r="Z48" s="1" t="b">
        <f t="shared" si="0"/>
        <v>0</v>
      </c>
      <c r="AA48" t="b">
        <f t="shared" si="2"/>
        <v>0</v>
      </c>
    </row>
    <row r="49" spans="1:28" ht="15.75" customHeight="1" x14ac:dyDescent="0.2">
      <c r="A49" s="1" t="s">
        <v>296</v>
      </c>
      <c r="B49" s="1" t="s">
        <v>297</v>
      </c>
      <c r="C49" s="1" t="s">
        <v>298</v>
      </c>
      <c r="D49" s="1" t="s">
        <v>120</v>
      </c>
      <c r="E49" s="1">
        <v>2000</v>
      </c>
      <c r="F49" s="1" t="s">
        <v>299</v>
      </c>
      <c r="G49" s="2" t="s">
        <v>300</v>
      </c>
      <c r="H49" s="1" t="s">
        <v>280</v>
      </c>
      <c r="I49" s="1">
        <v>16</v>
      </c>
      <c r="J49" s="1" t="b">
        <v>0</v>
      </c>
      <c r="K49" s="3" t="b">
        <v>0</v>
      </c>
      <c r="L49" s="3"/>
      <c r="M49" s="3" t="b">
        <v>0</v>
      </c>
      <c r="N49" s="3"/>
      <c r="O49" s="3"/>
      <c r="P49" s="3"/>
      <c r="Q49" s="3"/>
      <c r="R49" s="3"/>
      <c r="S49" s="1" t="str">
        <f t="shared" si="1"/>
        <v/>
      </c>
      <c r="T49" s="3"/>
      <c r="U49" s="5" t="b">
        <v>0</v>
      </c>
      <c r="W49" s="1" t="b">
        <v>0</v>
      </c>
      <c r="Z49" s="1" t="b">
        <f t="shared" si="0"/>
        <v>0</v>
      </c>
      <c r="AA49" t="b">
        <f t="shared" si="2"/>
        <v>0</v>
      </c>
    </row>
    <row r="50" spans="1:28" ht="15.75" customHeight="1" x14ac:dyDescent="0.2">
      <c r="A50" s="1" t="s">
        <v>301</v>
      </c>
      <c r="B50" s="1" t="s">
        <v>302</v>
      </c>
      <c r="C50" s="1" t="s">
        <v>303</v>
      </c>
      <c r="D50" s="1" t="s">
        <v>120</v>
      </c>
      <c r="E50" s="1">
        <v>2016</v>
      </c>
      <c r="F50" s="1" t="s">
        <v>304</v>
      </c>
      <c r="G50" s="2" t="s">
        <v>305</v>
      </c>
      <c r="H50" s="1" t="s">
        <v>31</v>
      </c>
      <c r="I50" s="1">
        <v>72</v>
      </c>
      <c r="J50" s="1" t="b">
        <v>0</v>
      </c>
      <c r="K50" s="3" t="b">
        <v>0</v>
      </c>
      <c r="L50" s="3"/>
      <c r="M50" s="3" t="b">
        <v>0</v>
      </c>
      <c r="N50" s="3"/>
      <c r="O50" s="3"/>
      <c r="P50" s="3"/>
      <c r="Q50" s="3"/>
      <c r="R50" s="3"/>
      <c r="S50" s="1" t="str">
        <f t="shared" si="1"/>
        <v/>
      </c>
      <c r="T50" s="3"/>
      <c r="U50" s="5" t="b">
        <v>0</v>
      </c>
      <c r="W50" s="1" t="b">
        <v>0</v>
      </c>
      <c r="Z50" s="1" t="b">
        <f t="shared" si="0"/>
        <v>0</v>
      </c>
      <c r="AA50" t="b">
        <f t="shared" si="2"/>
        <v>0</v>
      </c>
    </row>
    <row r="51" spans="1:28" ht="15.75" customHeight="1" x14ac:dyDescent="0.2">
      <c r="A51" s="1" t="s">
        <v>306</v>
      </c>
      <c r="B51" s="1" t="s">
        <v>307</v>
      </c>
      <c r="C51" s="1" t="s">
        <v>308</v>
      </c>
      <c r="D51" s="1" t="s">
        <v>227</v>
      </c>
      <c r="E51" s="1">
        <v>2013</v>
      </c>
      <c r="F51" s="1" t="s">
        <v>36</v>
      </c>
      <c r="G51" s="2" t="s">
        <v>309</v>
      </c>
      <c r="H51" s="1" t="s">
        <v>310</v>
      </c>
      <c r="I51" s="1">
        <v>13</v>
      </c>
      <c r="J51" s="1" t="b">
        <v>0</v>
      </c>
      <c r="K51" s="3" t="b">
        <v>0</v>
      </c>
      <c r="L51" s="3"/>
      <c r="M51" s="3" t="b">
        <v>0</v>
      </c>
      <c r="N51" s="3"/>
      <c r="O51" s="3"/>
      <c r="P51" s="3"/>
      <c r="Q51" s="3"/>
      <c r="R51" s="3"/>
      <c r="S51" s="1" t="str">
        <f t="shared" si="1"/>
        <v/>
      </c>
      <c r="T51" s="3"/>
      <c r="U51" s="5" t="b">
        <v>0</v>
      </c>
      <c r="W51" s="1" t="b">
        <v>0</v>
      </c>
      <c r="Z51" s="1" t="b">
        <f t="shared" si="0"/>
        <v>0</v>
      </c>
      <c r="AA51" t="b">
        <f t="shared" si="2"/>
        <v>0</v>
      </c>
    </row>
    <row r="52" spans="1:28" ht="15.75" customHeight="1" x14ac:dyDescent="0.2">
      <c r="A52" s="1" t="s">
        <v>311</v>
      </c>
      <c r="B52" s="1" t="s">
        <v>312</v>
      </c>
      <c r="C52" s="1" t="s">
        <v>313</v>
      </c>
      <c r="D52" s="1" t="s">
        <v>28</v>
      </c>
      <c r="E52" s="1">
        <v>2009</v>
      </c>
      <c r="F52" s="1" t="s">
        <v>314</v>
      </c>
      <c r="G52" s="2" t="s">
        <v>315</v>
      </c>
      <c r="H52" s="1" t="s">
        <v>154</v>
      </c>
      <c r="I52" s="1">
        <v>27</v>
      </c>
      <c r="J52" s="1" t="b">
        <v>0</v>
      </c>
      <c r="K52" s="3" t="b">
        <v>0</v>
      </c>
      <c r="L52" s="3"/>
      <c r="M52" s="3" t="b">
        <v>0</v>
      </c>
      <c r="N52" s="3"/>
      <c r="O52" s="3"/>
      <c r="P52" s="3"/>
      <c r="Q52" s="3"/>
      <c r="R52" s="3"/>
      <c r="S52" s="1" t="str">
        <f t="shared" si="1"/>
        <v/>
      </c>
      <c r="T52" s="3"/>
      <c r="U52" s="5" t="b">
        <v>0</v>
      </c>
      <c r="W52" s="1" t="b">
        <v>0</v>
      </c>
      <c r="Z52" s="1" t="b">
        <f t="shared" si="0"/>
        <v>0</v>
      </c>
      <c r="AA52" t="b">
        <f t="shared" si="2"/>
        <v>0</v>
      </c>
    </row>
    <row r="53" spans="1:28" ht="15.75" customHeight="1" x14ac:dyDescent="0.2">
      <c r="A53" s="1" t="s">
        <v>316</v>
      </c>
      <c r="B53" s="1" t="s">
        <v>317</v>
      </c>
      <c r="C53" s="1" t="s">
        <v>318</v>
      </c>
      <c r="D53" s="1" t="s">
        <v>35</v>
      </c>
      <c r="E53" s="1">
        <v>2012</v>
      </c>
      <c r="F53" s="1" t="s">
        <v>36</v>
      </c>
      <c r="G53" s="2" t="s">
        <v>319</v>
      </c>
      <c r="H53" s="1" t="s">
        <v>31</v>
      </c>
      <c r="I53" s="1">
        <v>61</v>
      </c>
      <c r="J53" s="1" t="b">
        <v>0</v>
      </c>
      <c r="K53" s="3" t="b">
        <v>1</v>
      </c>
      <c r="L53" s="3" t="s">
        <v>38</v>
      </c>
      <c r="M53" s="3" t="b">
        <v>1</v>
      </c>
      <c r="N53" s="3" t="s">
        <v>320</v>
      </c>
      <c r="O53" s="3"/>
      <c r="P53" s="3"/>
      <c r="Q53" s="3"/>
      <c r="R53" s="3"/>
      <c r="S53" s="1" t="str">
        <f t="shared" si="1"/>
        <v/>
      </c>
      <c r="T53" s="3"/>
      <c r="U53" s="5" t="b">
        <v>1</v>
      </c>
      <c r="W53" s="1" t="b">
        <v>1</v>
      </c>
      <c r="Z53" s="1" t="b">
        <f t="shared" si="0"/>
        <v>1</v>
      </c>
      <c r="AA53" t="b">
        <f t="shared" si="2"/>
        <v>1</v>
      </c>
    </row>
    <row r="54" spans="1:28" ht="15.75" customHeight="1" x14ac:dyDescent="0.2">
      <c r="A54" s="1" t="s">
        <v>321</v>
      </c>
      <c r="B54" s="1" t="s">
        <v>322</v>
      </c>
      <c r="C54" s="1" t="s">
        <v>323</v>
      </c>
      <c r="D54" s="1" t="s">
        <v>227</v>
      </c>
      <c r="E54" s="1">
        <v>2020</v>
      </c>
      <c r="F54" s="1" t="s">
        <v>36</v>
      </c>
      <c r="G54" s="2" t="s">
        <v>324</v>
      </c>
      <c r="H54" s="1" t="s">
        <v>325</v>
      </c>
      <c r="I54" s="1">
        <v>6</v>
      </c>
      <c r="J54" s="1" t="b">
        <v>0</v>
      </c>
      <c r="K54" s="3" t="b">
        <v>0</v>
      </c>
      <c r="L54" s="3" t="s">
        <v>326</v>
      </c>
      <c r="M54" s="3" t="b">
        <v>0</v>
      </c>
      <c r="N54" s="3"/>
      <c r="O54" s="3"/>
      <c r="P54" s="3"/>
      <c r="Q54" s="3"/>
      <c r="R54" s="3"/>
      <c r="S54" s="1" t="str">
        <f t="shared" si="1"/>
        <v/>
      </c>
      <c r="T54" s="3"/>
      <c r="U54" s="5" t="b">
        <v>1</v>
      </c>
      <c r="W54" s="1" t="b">
        <v>0</v>
      </c>
      <c r="Z54" s="1" t="b">
        <f t="shared" si="0"/>
        <v>0</v>
      </c>
      <c r="AA54" t="b">
        <f t="shared" si="2"/>
        <v>0</v>
      </c>
    </row>
    <row r="55" spans="1:28" ht="15.75" customHeight="1" x14ac:dyDescent="0.2">
      <c r="A55" s="1" t="s">
        <v>327</v>
      </c>
      <c r="B55" s="1" t="s">
        <v>328</v>
      </c>
      <c r="C55" s="1" t="s">
        <v>329</v>
      </c>
      <c r="D55" s="1" t="s">
        <v>28</v>
      </c>
      <c r="E55" s="1">
        <v>1999</v>
      </c>
      <c r="F55" s="1" t="s">
        <v>330</v>
      </c>
      <c r="G55" s="2" t="s">
        <v>331</v>
      </c>
      <c r="H55" s="1" t="s">
        <v>280</v>
      </c>
      <c r="I55" s="1">
        <v>72</v>
      </c>
      <c r="J55" s="1" t="b">
        <v>0</v>
      </c>
      <c r="K55" s="3" t="b">
        <v>0</v>
      </c>
      <c r="L55" s="3"/>
      <c r="M55" s="3" t="b">
        <v>0</v>
      </c>
      <c r="N55" s="3"/>
      <c r="O55" s="3"/>
      <c r="P55" s="3"/>
      <c r="Q55" s="3"/>
      <c r="R55" s="3"/>
      <c r="S55" s="1" t="str">
        <f t="shared" si="1"/>
        <v/>
      </c>
      <c r="T55" s="3"/>
      <c r="U55" s="5" t="b">
        <v>0</v>
      </c>
      <c r="W55" s="1" t="b">
        <v>0</v>
      </c>
      <c r="Z55" s="1" t="b">
        <f t="shared" si="0"/>
        <v>0</v>
      </c>
      <c r="AA55" t="b">
        <f t="shared" si="2"/>
        <v>0</v>
      </c>
    </row>
    <row r="56" spans="1:28" ht="15.75" customHeight="1" x14ac:dyDescent="0.2">
      <c r="A56" s="1" t="s">
        <v>332</v>
      </c>
      <c r="B56" s="1" t="s">
        <v>333</v>
      </c>
      <c r="C56" s="1" t="s">
        <v>334</v>
      </c>
      <c r="D56" s="1" t="s">
        <v>179</v>
      </c>
      <c r="E56" s="1">
        <v>1999</v>
      </c>
      <c r="F56" s="1" t="s">
        <v>36</v>
      </c>
      <c r="G56" s="2" t="s">
        <v>335</v>
      </c>
      <c r="H56" s="1" t="s">
        <v>336</v>
      </c>
      <c r="I56" s="1">
        <v>111</v>
      </c>
      <c r="J56" s="1" t="b">
        <v>0</v>
      </c>
      <c r="K56" s="3" t="b">
        <v>0</v>
      </c>
      <c r="L56" s="3"/>
      <c r="M56" s="3" t="b">
        <v>0</v>
      </c>
      <c r="N56" s="3"/>
      <c r="O56" s="3"/>
      <c r="P56" s="3"/>
      <c r="Q56" s="3"/>
      <c r="R56" s="3"/>
      <c r="S56" s="1" t="str">
        <f t="shared" si="1"/>
        <v/>
      </c>
      <c r="T56" s="3"/>
      <c r="U56" s="5" t="b">
        <v>0</v>
      </c>
      <c r="W56" s="1" t="b">
        <v>0</v>
      </c>
      <c r="Z56" s="1" t="b">
        <f t="shared" si="0"/>
        <v>0</v>
      </c>
      <c r="AA56" t="b">
        <f t="shared" si="2"/>
        <v>0</v>
      </c>
    </row>
    <row r="57" spans="1:28" ht="15.75" customHeight="1" x14ac:dyDescent="0.2">
      <c r="A57" s="1" t="s">
        <v>337</v>
      </c>
      <c r="B57" s="1" t="s">
        <v>338</v>
      </c>
      <c r="C57" s="1" t="s">
        <v>339</v>
      </c>
      <c r="D57" s="1" t="s">
        <v>120</v>
      </c>
      <c r="E57" s="1">
        <v>2011</v>
      </c>
      <c r="F57" s="1" t="s">
        <v>340</v>
      </c>
      <c r="G57" s="2" t="s">
        <v>341</v>
      </c>
      <c r="H57" s="1" t="s">
        <v>154</v>
      </c>
      <c r="I57" s="1">
        <v>52</v>
      </c>
      <c r="J57" s="1" t="b">
        <v>0</v>
      </c>
      <c r="K57" s="3" t="b">
        <v>0</v>
      </c>
      <c r="L57" s="3"/>
      <c r="M57" s="3" t="b">
        <v>0</v>
      </c>
      <c r="N57" s="3"/>
      <c r="O57" s="3"/>
      <c r="P57" s="3"/>
      <c r="Q57" s="3"/>
      <c r="R57" s="3"/>
      <c r="S57" s="1" t="str">
        <f t="shared" si="1"/>
        <v/>
      </c>
      <c r="T57" s="3"/>
      <c r="U57" s="5" t="b">
        <v>0</v>
      </c>
      <c r="W57" s="1" t="b">
        <v>0</v>
      </c>
      <c r="Z57" s="1" t="b">
        <f t="shared" si="0"/>
        <v>0</v>
      </c>
      <c r="AA57" t="b">
        <f t="shared" si="2"/>
        <v>0</v>
      </c>
    </row>
    <row r="58" spans="1:28" ht="15.75" customHeight="1" x14ac:dyDescent="0.2">
      <c r="A58" s="1" t="s">
        <v>342</v>
      </c>
      <c r="B58" s="1" t="s">
        <v>343</v>
      </c>
      <c r="C58" s="1" t="s">
        <v>344</v>
      </c>
      <c r="D58" s="1" t="s">
        <v>179</v>
      </c>
      <c r="E58" s="1">
        <v>2006</v>
      </c>
      <c r="F58" s="1" t="s">
        <v>36</v>
      </c>
      <c r="G58" s="2" t="s">
        <v>345</v>
      </c>
      <c r="H58" s="1" t="s">
        <v>181</v>
      </c>
      <c r="I58" s="1">
        <v>123</v>
      </c>
      <c r="J58" s="1" t="b">
        <v>0</v>
      </c>
      <c r="K58" s="3" t="b">
        <v>1</v>
      </c>
      <c r="L58" s="3" t="s">
        <v>346</v>
      </c>
      <c r="M58" s="3" t="b">
        <v>1</v>
      </c>
      <c r="N58" s="3" t="s">
        <v>347</v>
      </c>
      <c r="O58" s="3"/>
      <c r="P58" s="3"/>
      <c r="Q58" s="3"/>
      <c r="R58" s="3"/>
      <c r="S58" s="1" t="str">
        <f t="shared" si="1"/>
        <v/>
      </c>
      <c r="T58" s="3"/>
      <c r="U58" s="5" t="b">
        <v>1</v>
      </c>
      <c r="W58" s="1" t="b">
        <v>1</v>
      </c>
      <c r="Z58" s="1" t="b">
        <f t="shared" si="0"/>
        <v>1</v>
      </c>
      <c r="AA58" t="b">
        <f t="shared" si="2"/>
        <v>1</v>
      </c>
    </row>
    <row r="59" spans="1:28" ht="15.75" customHeight="1" x14ac:dyDescent="0.2">
      <c r="A59" s="1" t="s">
        <v>348</v>
      </c>
      <c r="B59" s="1" t="s">
        <v>349</v>
      </c>
      <c r="C59" s="1" t="s">
        <v>350</v>
      </c>
      <c r="D59" s="1" t="s">
        <v>35</v>
      </c>
      <c r="E59" s="1">
        <v>2012</v>
      </c>
      <c r="F59" s="1" t="s">
        <v>36</v>
      </c>
      <c r="G59" s="2" t="s">
        <v>351</v>
      </c>
      <c r="H59" s="1" t="s">
        <v>31</v>
      </c>
      <c r="I59" s="1">
        <v>25</v>
      </c>
      <c r="K59" s="3" t="b">
        <v>1</v>
      </c>
      <c r="L59" s="3"/>
      <c r="M59" s="3"/>
      <c r="N59" s="3"/>
      <c r="O59" s="3"/>
      <c r="P59" s="3" t="s">
        <v>352</v>
      </c>
      <c r="Q59" s="3"/>
      <c r="R59" s="3"/>
      <c r="S59" s="1" t="str">
        <f t="shared" si="1"/>
        <v/>
      </c>
      <c r="T59" s="3"/>
      <c r="U59" s="5" t="b">
        <v>1</v>
      </c>
      <c r="W59" s="1" t="b">
        <v>1</v>
      </c>
      <c r="Z59" s="1" t="b">
        <f>W59</f>
        <v>1</v>
      </c>
      <c r="AB59" s="1" t="s">
        <v>353</v>
      </c>
    </row>
    <row r="60" spans="1:28" ht="15.75" customHeight="1" x14ac:dyDescent="0.2">
      <c r="A60" s="1" t="s">
        <v>354</v>
      </c>
      <c r="B60" s="1" t="s">
        <v>355</v>
      </c>
      <c r="C60" s="1" t="s">
        <v>356</v>
      </c>
      <c r="D60" s="1" t="s">
        <v>179</v>
      </c>
      <c r="E60" s="1">
        <v>2004</v>
      </c>
      <c r="F60" s="1" t="s">
        <v>36</v>
      </c>
      <c r="G60" s="2" t="s">
        <v>357</v>
      </c>
      <c r="H60" s="1" t="s">
        <v>98</v>
      </c>
      <c r="I60" s="1">
        <v>8</v>
      </c>
      <c r="J60" s="1" t="b">
        <v>0</v>
      </c>
      <c r="K60" s="3" t="b">
        <v>0</v>
      </c>
      <c r="L60" s="3"/>
      <c r="M60" s="3" t="b">
        <v>0</v>
      </c>
      <c r="N60" s="3"/>
      <c r="O60" s="3"/>
      <c r="P60" s="3"/>
      <c r="Q60" s="3"/>
      <c r="R60" s="3"/>
      <c r="S60" s="1" t="str">
        <f t="shared" si="1"/>
        <v/>
      </c>
      <c r="T60" s="3"/>
      <c r="U60" s="5" t="b">
        <v>0</v>
      </c>
      <c r="W60" s="1" t="b">
        <v>0</v>
      </c>
      <c r="Z60" s="1" t="b">
        <f t="shared" ref="Z60:Z66" si="3">W60</f>
        <v>0</v>
      </c>
      <c r="AA60" t="b">
        <f t="shared" si="2"/>
        <v>0</v>
      </c>
    </row>
    <row r="61" spans="1:28" ht="15.75" customHeight="1" x14ac:dyDescent="0.2">
      <c r="A61" s="1" t="s">
        <v>358</v>
      </c>
      <c r="B61" s="1" t="s">
        <v>359</v>
      </c>
      <c r="C61" s="1" t="s">
        <v>360</v>
      </c>
      <c r="D61" s="1" t="s">
        <v>72</v>
      </c>
      <c r="E61" s="1">
        <v>2018</v>
      </c>
      <c r="F61" s="1" t="s">
        <v>36</v>
      </c>
      <c r="G61" s="2" t="s">
        <v>361</v>
      </c>
      <c r="H61" s="1" t="s">
        <v>86</v>
      </c>
      <c r="I61" s="1">
        <v>9</v>
      </c>
      <c r="J61" s="1" t="b">
        <v>0</v>
      </c>
      <c r="K61" s="3" t="b">
        <v>0</v>
      </c>
      <c r="L61" s="3"/>
      <c r="M61" s="3" t="b">
        <v>0</v>
      </c>
      <c r="N61" s="3"/>
      <c r="O61" s="3"/>
      <c r="P61" s="3"/>
      <c r="Q61" s="3"/>
      <c r="R61" s="3"/>
      <c r="S61" s="1" t="str">
        <f t="shared" si="1"/>
        <v/>
      </c>
      <c r="T61" s="3"/>
      <c r="U61" s="5" t="b">
        <v>0</v>
      </c>
      <c r="W61" s="1" t="b">
        <v>0</v>
      </c>
      <c r="Z61" s="1" t="b">
        <f t="shared" si="3"/>
        <v>0</v>
      </c>
      <c r="AA61" t="b">
        <f t="shared" si="2"/>
        <v>0</v>
      </c>
    </row>
    <row r="62" spans="1:28" ht="15.75" customHeight="1" x14ac:dyDescent="0.2">
      <c r="A62" s="1" t="s">
        <v>362</v>
      </c>
      <c r="B62" s="1" t="s">
        <v>363</v>
      </c>
      <c r="C62" s="1" t="s">
        <v>364</v>
      </c>
      <c r="D62" s="1" t="s">
        <v>62</v>
      </c>
      <c r="E62" s="1">
        <v>2010</v>
      </c>
      <c r="F62" s="1" t="s">
        <v>36</v>
      </c>
      <c r="G62" s="2" t="s">
        <v>365</v>
      </c>
      <c r="H62" s="1" t="s">
        <v>181</v>
      </c>
      <c r="I62" s="1">
        <v>192</v>
      </c>
      <c r="J62" s="1" t="b">
        <v>0</v>
      </c>
      <c r="K62" s="3" t="b">
        <v>0</v>
      </c>
      <c r="L62" s="3" t="b">
        <v>0</v>
      </c>
      <c r="M62" s="3" t="b">
        <v>0</v>
      </c>
      <c r="N62" s="3" t="s">
        <v>366</v>
      </c>
      <c r="O62" s="3"/>
      <c r="P62" s="3" t="s">
        <v>367</v>
      </c>
      <c r="Q62" s="3"/>
      <c r="R62" s="3"/>
      <c r="S62" s="1" t="str">
        <f t="shared" si="1"/>
        <v/>
      </c>
      <c r="T62" s="3"/>
      <c r="U62" s="5" t="b">
        <v>1</v>
      </c>
      <c r="W62" s="1" t="b">
        <v>0</v>
      </c>
      <c r="Z62" s="1" t="b">
        <f t="shared" si="3"/>
        <v>0</v>
      </c>
      <c r="AA62" t="b">
        <f t="shared" si="2"/>
        <v>0</v>
      </c>
    </row>
    <row r="63" spans="1:28" ht="15.75" customHeight="1" x14ac:dyDescent="0.2">
      <c r="A63" s="1" t="s">
        <v>368</v>
      </c>
      <c r="B63" s="1" t="s">
        <v>369</v>
      </c>
      <c r="C63" s="1" t="s">
        <v>370</v>
      </c>
      <c r="D63" s="1" t="s">
        <v>72</v>
      </c>
      <c r="E63" s="1">
        <v>2014</v>
      </c>
      <c r="F63" s="1" t="s">
        <v>36</v>
      </c>
      <c r="G63" s="2" t="s">
        <v>371</v>
      </c>
      <c r="H63" s="1" t="s">
        <v>31</v>
      </c>
      <c r="I63" s="1">
        <v>30</v>
      </c>
      <c r="J63" s="1" t="b">
        <v>0</v>
      </c>
      <c r="K63" s="3" t="b">
        <v>0</v>
      </c>
      <c r="L63" s="3" t="s">
        <v>38</v>
      </c>
      <c r="M63" s="3" t="b">
        <v>0</v>
      </c>
      <c r="N63" s="3" t="s">
        <v>372</v>
      </c>
      <c r="O63" s="3" t="s">
        <v>373</v>
      </c>
      <c r="P63" s="3"/>
      <c r="Q63" s="3"/>
      <c r="R63" s="3"/>
      <c r="S63" s="1" t="str">
        <f t="shared" si="1"/>
        <v/>
      </c>
      <c r="T63" s="3"/>
      <c r="U63" s="5" t="b">
        <v>1</v>
      </c>
      <c r="W63" s="1" t="b">
        <v>0</v>
      </c>
      <c r="Z63" s="1" t="b">
        <f t="shared" si="3"/>
        <v>0</v>
      </c>
      <c r="AA63" t="b">
        <f t="shared" si="2"/>
        <v>0</v>
      </c>
    </row>
    <row r="64" spans="1:28" ht="15.75" customHeight="1" x14ac:dyDescent="0.2">
      <c r="A64" s="1" t="s">
        <v>374</v>
      </c>
      <c r="B64" s="1" t="s">
        <v>375</v>
      </c>
      <c r="C64" s="1" t="s">
        <v>376</v>
      </c>
      <c r="D64" s="1" t="s">
        <v>77</v>
      </c>
      <c r="E64" s="1">
        <v>2005</v>
      </c>
      <c r="F64" s="1" t="s">
        <v>377</v>
      </c>
      <c r="G64" s="2" t="s">
        <v>378</v>
      </c>
      <c r="H64" s="1" t="s">
        <v>98</v>
      </c>
      <c r="I64" s="1">
        <v>65</v>
      </c>
      <c r="J64" s="1" t="b">
        <v>0</v>
      </c>
      <c r="K64" s="3" t="b">
        <v>0</v>
      </c>
      <c r="L64" s="3"/>
      <c r="M64" s="3" t="b">
        <v>0</v>
      </c>
      <c r="N64" s="3"/>
      <c r="O64" s="3"/>
      <c r="P64" s="3"/>
      <c r="Q64" s="3"/>
      <c r="R64" s="3"/>
      <c r="S64" s="1" t="str">
        <f t="shared" si="1"/>
        <v/>
      </c>
      <c r="T64" s="3"/>
      <c r="U64" s="5" t="b">
        <v>0</v>
      </c>
      <c r="W64" s="1" t="b">
        <v>0</v>
      </c>
      <c r="Z64" s="1" t="b">
        <f t="shared" si="3"/>
        <v>0</v>
      </c>
      <c r="AA64" t="b">
        <f t="shared" si="2"/>
        <v>0</v>
      </c>
    </row>
    <row r="65" spans="1:28" ht="15.75" customHeight="1" x14ac:dyDescent="0.2">
      <c r="A65" s="1" t="s">
        <v>379</v>
      </c>
      <c r="B65" s="1" t="s">
        <v>380</v>
      </c>
      <c r="C65" s="1" t="s">
        <v>381</v>
      </c>
      <c r="D65" s="1" t="s">
        <v>62</v>
      </c>
      <c r="E65" s="1">
        <v>1997</v>
      </c>
      <c r="F65" s="1" t="s">
        <v>36</v>
      </c>
      <c r="G65" s="2" t="s">
        <v>382</v>
      </c>
      <c r="H65" s="1" t="s">
        <v>31</v>
      </c>
      <c r="I65" s="1">
        <v>20</v>
      </c>
      <c r="J65" s="1" t="b">
        <v>0</v>
      </c>
      <c r="K65" s="3" t="b">
        <v>1</v>
      </c>
      <c r="L65" s="3" t="s">
        <v>165</v>
      </c>
      <c r="M65" s="3" t="b">
        <v>1</v>
      </c>
      <c r="N65" s="3"/>
      <c r="O65" s="3"/>
      <c r="P65" s="3"/>
      <c r="Q65" s="3"/>
      <c r="R65" s="3"/>
      <c r="S65" s="1" t="str">
        <f t="shared" si="1"/>
        <v/>
      </c>
      <c r="T65" s="3"/>
      <c r="U65" s="5" t="b">
        <v>1</v>
      </c>
      <c r="W65" s="1" t="b">
        <v>1</v>
      </c>
      <c r="Z65" s="1" t="b">
        <f t="shared" si="3"/>
        <v>1</v>
      </c>
      <c r="AA65" t="b">
        <f t="shared" si="2"/>
        <v>1</v>
      </c>
    </row>
    <row r="66" spans="1:28" ht="15.75" customHeight="1" x14ac:dyDescent="0.2">
      <c r="A66" s="1" t="s">
        <v>383</v>
      </c>
      <c r="B66" s="1" t="s">
        <v>384</v>
      </c>
      <c r="C66" s="1" t="s">
        <v>385</v>
      </c>
      <c r="D66" s="1" t="s">
        <v>106</v>
      </c>
      <c r="E66" s="1">
        <v>1996</v>
      </c>
      <c r="F66" s="1" t="s">
        <v>386</v>
      </c>
      <c r="G66" s="2" t="s">
        <v>387</v>
      </c>
      <c r="H66" s="1" t="s">
        <v>388</v>
      </c>
      <c r="I66" s="1">
        <v>46</v>
      </c>
      <c r="J66" s="1" t="b">
        <v>0</v>
      </c>
      <c r="K66" s="3" t="b">
        <v>0</v>
      </c>
      <c r="L66" s="3"/>
      <c r="M66" s="3" t="b">
        <v>0</v>
      </c>
      <c r="N66" s="3"/>
      <c r="O66" s="3"/>
      <c r="P66" s="3"/>
      <c r="Q66" s="3"/>
      <c r="R66" s="3"/>
      <c r="S66" s="1" t="str">
        <f t="shared" si="1"/>
        <v/>
      </c>
      <c r="T66" s="3"/>
      <c r="U66" s="5" t="b">
        <v>0</v>
      </c>
      <c r="W66" s="1" t="b">
        <v>0</v>
      </c>
      <c r="Z66" s="1" t="b">
        <f t="shared" si="3"/>
        <v>0</v>
      </c>
      <c r="AA66" t="b">
        <f t="shared" si="2"/>
        <v>0</v>
      </c>
    </row>
    <row r="67" spans="1:28" ht="15.75" customHeight="1" x14ac:dyDescent="0.2">
      <c r="A67" s="1" t="s">
        <v>389</v>
      </c>
      <c r="B67" s="1" t="s">
        <v>390</v>
      </c>
      <c r="C67" s="1" t="s">
        <v>391</v>
      </c>
      <c r="D67" s="1" t="s">
        <v>35</v>
      </c>
      <c r="E67" s="1">
        <v>2014</v>
      </c>
      <c r="F67" s="1" t="s">
        <v>36</v>
      </c>
      <c r="G67" s="2" t="s">
        <v>392</v>
      </c>
      <c r="H67" s="1" t="s">
        <v>181</v>
      </c>
      <c r="I67" s="1">
        <v>18</v>
      </c>
      <c r="J67" s="1" t="b">
        <v>0</v>
      </c>
      <c r="K67" s="3" t="b">
        <v>1</v>
      </c>
      <c r="L67" s="3" t="s">
        <v>165</v>
      </c>
      <c r="M67" s="3" t="b">
        <v>1</v>
      </c>
      <c r="N67" s="3"/>
      <c r="O67" s="3"/>
      <c r="P67" s="3"/>
      <c r="Q67" s="3"/>
      <c r="R67" s="3"/>
      <c r="S67" s="1" t="str">
        <f t="shared" si="1"/>
        <v/>
      </c>
      <c r="T67" s="3"/>
      <c r="U67" s="5" t="b">
        <v>1</v>
      </c>
      <c r="W67" s="1" t="b">
        <v>1</v>
      </c>
      <c r="Z67" s="1" t="b">
        <f t="shared" ref="Z67:Z72" si="4">W67</f>
        <v>1</v>
      </c>
      <c r="AA67" t="b">
        <f t="shared" ref="AA67:AA130" si="5">Z67</f>
        <v>1</v>
      </c>
    </row>
    <row r="68" spans="1:28" ht="15.75" customHeight="1" x14ac:dyDescent="0.2">
      <c r="A68" s="1" t="s">
        <v>393</v>
      </c>
      <c r="B68" s="1" t="s">
        <v>394</v>
      </c>
      <c r="C68" s="1" t="s">
        <v>395</v>
      </c>
      <c r="D68" s="1" t="s">
        <v>179</v>
      </c>
      <c r="E68" s="1">
        <v>1999</v>
      </c>
      <c r="F68" s="1" t="s">
        <v>36</v>
      </c>
      <c r="G68" s="2" t="s">
        <v>396</v>
      </c>
      <c r="H68" s="1" t="s">
        <v>98</v>
      </c>
      <c r="I68" s="1">
        <v>49</v>
      </c>
      <c r="J68" s="1" t="b">
        <v>0</v>
      </c>
      <c r="K68" s="3" t="b">
        <v>0</v>
      </c>
      <c r="L68" s="3"/>
      <c r="M68" s="3" t="b">
        <v>0</v>
      </c>
      <c r="N68" s="3"/>
      <c r="O68" s="3"/>
      <c r="P68" s="3"/>
      <c r="Q68" s="3"/>
      <c r="R68" s="3"/>
      <c r="S68" s="1" t="str">
        <f t="shared" si="1"/>
        <v/>
      </c>
      <c r="T68" s="3"/>
      <c r="U68" s="5" t="b">
        <v>0</v>
      </c>
      <c r="W68" s="1" t="b">
        <v>0</v>
      </c>
      <c r="Z68" s="1" t="b">
        <f t="shared" si="4"/>
        <v>0</v>
      </c>
      <c r="AA68" t="b">
        <f t="shared" si="5"/>
        <v>0</v>
      </c>
    </row>
    <row r="69" spans="1:28" ht="15.75" customHeight="1" x14ac:dyDescent="0.2">
      <c r="A69" s="1" t="s">
        <v>397</v>
      </c>
      <c r="B69" s="1" t="s">
        <v>398</v>
      </c>
      <c r="C69" s="1" t="s">
        <v>399</v>
      </c>
      <c r="D69" s="1" t="s">
        <v>62</v>
      </c>
      <c r="E69" s="1">
        <v>2017</v>
      </c>
      <c r="F69" s="1" t="s">
        <v>36</v>
      </c>
      <c r="G69" s="2" t="s">
        <v>400</v>
      </c>
      <c r="H69" s="1" t="s">
        <v>181</v>
      </c>
      <c r="I69" s="1">
        <v>52</v>
      </c>
      <c r="J69" s="1" t="b">
        <v>0</v>
      </c>
      <c r="K69" s="3" t="b">
        <v>0</v>
      </c>
      <c r="L69" s="3"/>
      <c r="M69" s="3" t="b">
        <v>0</v>
      </c>
      <c r="N69" s="3"/>
      <c r="O69" s="3"/>
      <c r="P69" s="3"/>
      <c r="Q69" s="3"/>
      <c r="R69" s="3"/>
      <c r="S69" s="1" t="str">
        <f t="shared" si="1"/>
        <v/>
      </c>
      <c r="T69" s="3"/>
      <c r="U69" s="5" t="b">
        <v>0</v>
      </c>
      <c r="W69" s="1" t="b">
        <v>0</v>
      </c>
      <c r="Z69" s="1" t="b">
        <f t="shared" si="4"/>
        <v>0</v>
      </c>
      <c r="AA69" t="b">
        <f t="shared" si="5"/>
        <v>0</v>
      </c>
    </row>
    <row r="70" spans="1:28" ht="15.75" customHeight="1" x14ac:dyDescent="0.2">
      <c r="A70" s="1" t="s">
        <v>401</v>
      </c>
      <c r="B70" s="1" t="s">
        <v>402</v>
      </c>
      <c r="C70" s="1" t="s">
        <v>403</v>
      </c>
      <c r="D70" s="1" t="s">
        <v>35</v>
      </c>
      <c r="E70" s="1">
        <v>1998</v>
      </c>
      <c r="F70" s="1" t="s">
        <v>36</v>
      </c>
      <c r="G70" s="2" t="s">
        <v>404</v>
      </c>
      <c r="H70" s="1" t="s">
        <v>31</v>
      </c>
      <c r="I70" s="1">
        <v>3</v>
      </c>
      <c r="J70" s="1" t="b">
        <v>0</v>
      </c>
      <c r="K70" s="3" t="b">
        <v>1</v>
      </c>
      <c r="L70" s="3" t="s">
        <v>165</v>
      </c>
      <c r="M70" s="3" t="b">
        <v>1</v>
      </c>
      <c r="N70" s="3"/>
      <c r="O70" s="3"/>
      <c r="P70" s="3"/>
      <c r="Q70" s="3"/>
      <c r="R70" s="3"/>
      <c r="S70" s="1" t="str">
        <f t="shared" si="1"/>
        <v/>
      </c>
      <c r="T70" s="3"/>
      <c r="U70" s="5" t="b">
        <v>1</v>
      </c>
      <c r="W70" s="1" t="b">
        <v>1</v>
      </c>
      <c r="Z70" s="1" t="b">
        <f t="shared" si="4"/>
        <v>1</v>
      </c>
      <c r="AA70" t="b">
        <f t="shared" si="5"/>
        <v>1</v>
      </c>
    </row>
    <row r="71" spans="1:28" ht="15.75" customHeight="1" x14ac:dyDescent="0.2">
      <c r="A71" s="1" t="s">
        <v>405</v>
      </c>
      <c r="B71" s="1" t="s">
        <v>406</v>
      </c>
      <c r="C71" s="1" t="s">
        <v>407</v>
      </c>
      <c r="D71" s="1" t="s">
        <v>77</v>
      </c>
      <c r="E71" s="1">
        <v>1999</v>
      </c>
      <c r="F71" s="1" t="s">
        <v>408</v>
      </c>
      <c r="G71" s="2" t="s">
        <v>409</v>
      </c>
      <c r="H71" s="1" t="s">
        <v>410</v>
      </c>
      <c r="I71" s="1">
        <v>8</v>
      </c>
      <c r="J71" s="1" t="b">
        <v>0</v>
      </c>
      <c r="K71" s="3" t="b">
        <v>0</v>
      </c>
      <c r="L71" s="3"/>
      <c r="M71" s="3" t="b">
        <v>0</v>
      </c>
      <c r="N71" s="3" t="s">
        <v>411</v>
      </c>
      <c r="O71" s="3"/>
      <c r="P71" s="3"/>
      <c r="Q71" s="3"/>
      <c r="R71" s="3"/>
      <c r="S71" s="1" t="str">
        <f t="shared" si="1"/>
        <v/>
      </c>
      <c r="T71" s="3"/>
      <c r="U71" s="5" t="b">
        <v>0</v>
      </c>
      <c r="W71" s="1" t="b">
        <v>0</v>
      </c>
      <c r="Z71" s="1" t="b">
        <f t="shared" si="4"/>
        <v>0</v>
      </c>
      <c r="AA71" t="b">
        <f t="shared" si="5"/>
        <v>0</v>
      </c>
    </row>
    <row r="72" spans="1:28" ht="15.75" customHeight="1" x14ac:dyDescent="0.2">
      <c r="A72" s="1" t="s">
        <v>412</v>
      </c>
      <c r="B72" s="1" t="s">
        <v>413</v>
      </c>
      <c r="C72" s="1" t="s">
        <v>414</v>
      </c>
      <c r="D72" s="1" t="s">
        <v>35</v>
      </c>
      <c r="E72" s="1">
        <v>1997</v>
      </c>
      <c r="F72" s="1" t="s">
        <v>36</v>
      </c>
      <c r="G72" s="2" t="s">
        <v>415</v>
      </c>
      <c r="H72" s="1" t="s">
        <v>31</v>
      </c>
      <c r="I72" s="1">
        <v>199</v>
      </c>
      <c r="J72" s="1" t="b">
        <v>0</v>
      </c>
      <c r="K72" s="3" t="b">
        <v>0</v>
      </c>
      <c r="L72" s="3"/>
      <c r="M72" s="3" t="b">
        <v>0</v>
      </c>
      <c r="N72" s="3"/>
      <c r="O72" s="3"/>
      <c r="P72" s="3"/>
      <c r="Q72" s="3"/>
      <c r="R72" s="3"/>
      <c r="S72" s="1" t="str">
        <f t="shared" si="1"/>
        <v/>
      </c>
      <c r="T72" s="3"/>
      <c r="U72" s="5" t="b">
        <v>0</v>
      </c>
      <c r="W72" s="1" t="b">
        <v>0</v>
      </c>
      <c r="Z72" s="1" t="b">
        <f t="shared" si="4"/>
        <v>0</v>
      </c>
      <c r="AA72" t="b">
        <f t="shared" si="5"/>
        <v>0</v>
      </c>
    </row>
    <row r="73" spans="1:28" ht="15.75" customHeight="1" x14ac:dyDescent="0.2">
      <c r="A73" s="1" t="s">
        <v>416</v>
      </c>
      <c r="B73" s="1" t="s">
        <v>417</v>
      </c>
      <c r="C73" s="1" t="s">
        <v>418</v>
      </c>
      <c r="D73" s="1" t="s">
        <v>28</v>
      </c>
      <c r="E73" s="1">
        <v>2011</v>
      </c>
      <c r="F73" s="1" t="s">
        <v>419</v>
      </c>
      <c r="G73" s="2" t="s">
        <v>420</v>
      </c>
      <c r="H73" s="1" t="s">
        <v>31</v>
      </c>
      <c r="I73" s="1">
        <v>167</v>
      </c>
      <c r="J73" s="1" t="b">
        <v>0</v>
      </c>
      <c r="K73" s="3" t="b">
        <v>0</v>
      </c>
      <c r="L73" s="3"/>
      <c r="M73" s="3" t="b">
        <v>0</v>
      </c>
      <c r="N73" s="3"/>
      <c r="O73" s="3"/>
      <c r="P73" s="3"/>
      <c r="Q73" s="3"/>
      <c r="R73" s="3"/>
      <c r="S73" s="1" t="str">
        <f t="shared" si="1"/>
        <v/>
      </c>
      <c r="T73" s="3"/>
      <c r="U73" s="5" t="b">
        <v>0</v>
      </c>
      <c r="W73" s="1" t="b">
        <v>0</v>
      </c>
      <c r="Z73" s="1" t="b">
        <f t="shared" ref="Z73:Z76" si="6">W73</f>
        <v>0</v>
      </c>
      <c r="AA73" t="b">
        <f t="shared" si="5"/>
        <v>0</v>
      </c>
    </row>
    <row r="74" spans="1:28" ht="15.75" customHeight="1" x14ac:dyDescent="0.2">
      <c r="A74" s="1" t="s">
        <v>421</v>
      </c>
      <c r="B74" s="1" t="s">
        <v>422</v>
      </c>
      <c r="C74" s="1" t="s">
        <v>423</v>
      </c>
      <c r="D74" s="1" t="s">
        <v>62</v>
      </c>
      <c r="E74" s="1">
        <v>2013</v>
      </c>
      <c r="F74" s="1" t="s">
        <v>36</v>
      </c>
      <c r="G74" s="2" t="s">
        <v>424</v>
      </c>
      <c r="H74" s="1" t="s">
        <v>31</v>
      </c>
      <c r="I74" s="1">
        <v>72</v>
      </c>
      <c r="J74" s="1" t="b">
        <v>0</v>
      </c>
      <c r="K74" s="3" t="b">
        <v>0</v>
      </c>
      <c r="L74" s="3" t="s">
        <v>38</v>
      </c>
      <c r="M74" s="3" t="b">
        <v>1</v>
      </c>
      <c r="N74" s="3" t="s">
        <v>425</v>
      </c>
      <c r="O74" s="3" t="s">
        <v>426</v>
      </c>
      <c r="P74" s="3"/>
      <c r="Q74" s="3"/>
      <c r="R74" s="3"/>
      <c r="S74" s="1" t="str">
        <f t="shared" si="1"/>
        <v>!!!</v>
      </c>
      <c r="T74" s="3" t="b">
        <v>1</v>
      </c>
      <c r="U74" s="5" t="b">
        <v>1</v>
      </c>
      <c r="V74" s="1" t="s">
        <v>427</v>
      </c>
      <c r="W74" s="1" t="b">
        <v>1</v>
      </c>
      <c r="Z74" s="1" t="b">
        <f t="shared" si="6"/>
        <v>1</v>
      </c>
      <c r="AA74" t="b">
        <f t="shared" si="5"/>
        <v>1</v>
      </c>
    </row>
    <row r="75" spans="1:28" ht="15.75" customHeight="1" x14ac:dyDescent="0.2">
      <c r="A75" s="1" t="s">
        <v>428</v>
      </c>
      <c r="B75" s="1" t="s">
        <v>429</v>
      </c>
      <c r="C75" s="1" t="s">
        <v>430</v>
      </c>
      <c r="D75" s="1" t="s">
        <v>28</v>
      </c>
      <c r="E75" s="1">
        <v>2011</v>
      </c>
      <c r="F75" s="1" t="s">
        <v>431</v>
      </c>
      <c r="G75" s="2" t="s">
        <v>432</v>
      </c>
      <c r="H75" s="1" t="s">
        <v>80</v>
      </c>
      <c r="I75" s="1">
        <v>19</v>
      </c>
      <c r="J75" s="1" t="b">
        <v>0</v>
      </c>
      <c r="K75" s="3" t="b">
        <v>0</v>
      </c>
      <c r="L75" s="3"/>
      <c r="M75" s="3" t="b">
        <v>0</v>
      </c>
      <c r="N75" s="3"/>
      <c r="O75" s="3"/>
      <c r="P75" s="3"/>
      <c r="Q75" s="3"/>
      <c r="R75" s="3"/>
      <c r="S75" s="1" t="str">
        <f t="shared" si="1"/>
        <v/>
      </c>
      <c r="T75" s="3"/>
      <c r="U75" s="5" t="b">
        <v>0</v>
      </c>
      <c r="W75" s="1" t="b">
        <v>0</v>
      </c>
      <c r="Z75" s="1" t="b">
        <f t="shared" si="6"/>
        <v>0</v>
      </c>
      <c r="AA75" t="b">
        <f t="shared" si="5"/>
        <v>0</v>
      </c>
    </row>
    <row r="76" spans="1:28" ht="15.75" customHeight="1" x14ac:dyDescent="0.2">
      <c r="A76" s="1" t="s">
        <v>433</v>
      </c>
      <c r="B76" s="1" t="s">
        <v>434</v>
      </c>
      <c r="C76" s="1" t="s">
        <v>435</v>
      </c>
      <c r="D76" s="1" t="s">
        <v>35</v>
      </c>
      <c r="E76" s="1">
        <v>2014</v>
      </c>
      <c r="F76" s="1" t="s">
        <v>36</v>
      </c>
      <c r="G76" s="2" t="s">
        <v>436</v>
      </c>
      <c r="H76" s="1" t="s">
        <v>31</v>
      </c>
      <c r="I76" s="1">
        <v>12</v>
      </c>
      <c r="K76" s="3" t="b">
        <v>0</v>
      </c>
      <c r="L76" s="3"/>
      <c r="M76" s="3"/>
      <c r="N76" s="3" t="s">
        <v>437</v>
      </c>
      <c r="O76" s="3" t="s">
        <v>438</v>
      </c>
      <c r="P76" s="3"/>
      <c r="Q76" s="3"/>
      <c r="R76" s="3"/>
      <c r="S76" s="1" t="str">
        <f t="shared" si="1"/>
        <v/>
      </c>
      <c r="T76" s="3"/>
      <c r="U76" s="5" t="b">
        <v>0</v>
      </c>
      <c r="V76" s="1" t="s">
        <v>439</v>
      </c>
      <c r="W76" s="1" t="b">
        <v>0</v>
      </c>
      <c r="Z76" s="1" t="b">
        <f t="shared" si="6"/>
        <v>0</v>
      </c>
      <c r="AB76" s="1" t="s">
        <v>68</v>
      </c>
    </row>
    <row r="77" spans="1:28" ht="15.75" customHeight="1" x14ac:dyDescent="0.2">
      <c r="A77" s="1" t="s">
        <v>440</v>
      </c>
      <c r="B77" s="1" t="s">
        <v>441</v>
      </c>
      <c r="C77" s="1" t="s">
        <v>442</v>
      </c>
      <c r="D77" s="1" t="s">
        <v>179</v>
      </c>
      <c r="E77" s="1">
        <v>1994</v>
      </c>
      <c r="F77" s="1" t="s">
        <v>36</v>
      </c>
      <c r="G77" s="2" t="s">
        <v>443</v>
      </c>
      <c r="H77" s="1" t="s">
        <v>181</v>
      </c>
      <c r="I77" s="1">
        <v>27</v>
      </c>
      <c r="J77" s="1" t="b">
        <v>0</v>
      </c>
      <c r="K77" s="3" t="b">
        <v>0</v>
      </c>
      <c r="L77" s="3"/>
      <c r="M77" s="3" t="b">
        <v>0</v>
      </c>
      <c r="N77" s="3"/>
      <c r="O77" s="3"/>
      <c r="P77" s="3"/>
      <c r="Q77" s="3"/>
      <c r="R77" s="3"/>
      <c r="S77" s="1" t="str">
        <f t="shared" si="1"/>
        <v/>
      </c>
      <c r="T77" s="3"/>
      <c r="U77" s="5" t="b">
        <v>0</v>
      </c>
      <c r="W77" s="1" t="b">
        <v>0</v>
      </c>
      <c r="Z77" s="1" t="b">
        <f t="shared" ref="Z77:Z205" si="7">W77</f>
        <v>0</v>
      </c>
      <c r="AA77" t="b">
        <f t="shared" si="5"/>
        <v>0</v>
      </c>
    </row>
    <row r="78" spans="1:28" ht="15.75" customHeight="1" x14ac:dyDescent="0.2">
      <c r="A78" s="1" t="s">
        <v>444</v>
      </c>
      <c r="B78" s="1" t="s">
        <v>445</v>
      </c>
      <c r="C78" s="1" t="s">
        <v>446</v>
      </c>
      <c r="D78" s="1" t="s">
        <v>35</v>
      </c>
      <c r="E78" s="1">
        <v>1992</v>
      </c>
      <c r="F78" s="1" t="s">
        <v>36</v>
      </c>
      <c r="G78" s="2" t="s">
        <v>447</v>
      </c>
      <c r="H78" s="1" t="s">
        <v>31</v>
      </c>
      <c r="I78" s="1">
        <v>97</v>
      </c>
      <c r="J78" s="1" t="b">
        <v>0</v>
      </c>
      <c r="K78" s="3" t="b">
        <v>0</v>
      </c>
      <c r="L78" s="3"/>
      <c r="M78" s="3" t="b">
        <v>0</v>
      </c>
      <c r="N78" s="3"/>
      <c r="O78" s="3"/>
      <c r="P78" s="3"/>
      <c r="Q78" s="3"/>
      <c r="R78" s="3"/>
      <c r="S78" s="1" t="str">
        <f t="shared" si="1"/>
        <v/>
      </c>
      <c r="T78" s="3"/>
      <c r="U78" s="5" t="b">
        <v>0</v>
      </c>
      <c r="W78" s="1" t="b">
        <v>0</v>
      </c>
      <c r="Z78" s="1" t="b">
        <f t="shared" si="7"/>
        <v>0</v>
      </c>
      <c r="AA78" t="b">
        <f t="shared" si="5"/>
        <v>0</v>
      </c>
    </row>
    <row r="79" spans="1:28" ht="15.75" customHeight="1" x14ac:dyDescent="0.2">
      <c r="A79" s="1" t="s">
        <v>448</v>
      </c>
      <c r="B79" s="1" t="s">
        <v>449</v>
      </c>
      <c r="C79" s="1" t="s">
        <v>450</v>
      </c>
      <c r="D79" s="1" t="s">
        <v>35</v>
      </c>
      <c r="E79" s="1">
        <v>1996</v>
      </c>
      <c r="F79" s="1" t="s">
        <v>36</v>
      </c>
      <c r="G79" s="2" t="s">
        <v>451</v>
      </c>
      <c r="H79" s="1" t="s">
        <v>31</v>
      </c>
      <c r="I79" s="1">
        <v>300</v>
      </c>
      <c r="J79" s="1" t="b">
        <v>0</v>
      </c>
      <c r="K79" s="3" t="b">
        <v>0</v>
      </c>
      <c r="L79" s="3"/>
      <c r="M79" s="3" t="b">
        <v>0</v>
      </c>
      <c r="N79" s="3"/>
      <c r="O79" s="3"/>
      <c r="P79" s="3"/>
      <c r="Q79" s="3"/>
      <c r="R79" s="3"/>
      <c r="S79" s="1" t="str">
        <f t="shared" si="1"/>
        <v/>
      </c>
      <c r="T79" s="3"/>
      <c r="U79" s="5" t="b">
        <v>0</v>
      </c>
      <c r="W79" s="1" t="b">
        <v>0</v>
      </c>
      <c r="Z79" s="1" t="b">
        <f t="shared" si="7"/>
        <v>0</v>
      </c>
      <c r="AA79" t="b">
        <f t="shared" si="5"/>
        <v>0</v>
      </c>
    </row>
    <row r="80" spans="1:28" ht="15.75" customHeight="1" x14ac:dyDescent="0.2">
      <c r="A80" s="1" t="s">
        <v>452</v>
      </c>
      <c r="B80" s="1" t="s">
        <v>453</v>
      </c>
      <c r="C80" s="1" t="s">
        <v>454</v>
      </c>
      <c r="D80" s="1" t="s">
        <v>28</v>
      </c>
      <c r="E80" s="1">
        <v>2018</v>
      </c>
      <c r="F80" s="1" t="s">
        <v>455</v>
      </c>
      <c r="G80" s="2" t="s">
        <v>456</v>
      </c>
      <c r="H80" s="1" t="s">
        <v>410</v>
      </c>
      <c r="I80" s="1">
        <v>5</v>
      </c>
      <c r="J80" s="1" t="b">
        <v>0</v>
      </c>
      <c r="K80" s="3" t="b">
        <v>0</v>
      </c>
      <c r="L80" s="3"/>
      <c r="M80" s="3" t="b">
        <v>0</v>
      </c>
      <c r="N80" s="3"/>
      <c r="O80" s="3"/>
      <c r="P80" s="3"/>
      <c r="Q80" s="3"/>
      <c r="R80" s="3"/>
      <c r="S80" s="1" t="str">
        <f t="shared" si="1"/>
        <v/>
      </c>
      <c r="T80" s="3"/>
      <c r="U80" s="5" t="b">
        <v>0</v>
      </c>
      <c r="W80" s="1" t="b">
        <v>0</v>
      </c>
      <c r="Z80" s="1" t="b">
        <f t="shared" si="7"/>
        <v>0</v>
      </c>
      <c r="AA80" t="b">
        <f t="shared" si="5"/>
        <v>0</v>
      </c>
    </row>
    <row r="81" spans="1:27" ht="15.75" customHeight="1" x14ac:dyDescent="0.2">
      <c r="A81" s="1" t="s">
        <v>457</v>
      </c>
      <c r="B81" s="1" t="s">
        <v>458</v>
      </c>
      <c r="C81" s="1" t="s">
        <v>459</v>
      </c>
      <c r="D81" s="1" t="s">
        <v>28</v>
      </c>
      <c r="E81" s="1">
        <v>2012</v>
      </c>
      <c r="F81" s="1" t="s">
        <v>460</v>
      </c>
      <c r="G81" s="2" t="s">
        <v>461</v>
      </c>
      <c r="H81" s="1" t="s">
        <v>31</v>
      </c>
      <c r="I81" s="1">
        <v>51</v>
      </c>
      <c r="J81" s="1" t="b">
        <v>0</v>
      </c>
      <c r="K81" s="3" t="b">
        <v>0</v>
      </c>
      <c r="L81" s="3"/>
      <c r="M81" s="3" t="b">
        <v>0</v>
      </c>
      <c r="N81" s="3"/>
      <c r="O81" s="3"/>
      <c r="P81" s="3"/>
      <c r="Q81" s="3"/>
      <c r="R81" s="3"/>
      <c r="S81" s="1" t="str">
        <f t="shared" si="1"/>
        <v/>
      </c>
      <c r="T81" s="3"/>
      <c r="U81" s="5" t="b">
        <v>0</v>
      </c>
      <c r="W81" s="1" t="b">
        <v>0</v>
      </c>
      <c r="Z81" s="1" t="b">
        <f t="shared" si="7"/>
        <v>0</v>
      </c>
      <c r="AA81" t="b">
        <f t="shared" si="5"/>
        <v>0</v>
      </c>
    </row>
    <row r="82" spans="1:27" ht="15.75" customHeight="1" x14ac:dyDescent="0.2">
      <c r="A82" s="1" t="s">
        <v>462</v>
      </c>
      <c r="B82" s="1" t="s">
        <v>463</v>
      </c>
      <c r="C82" s="1" t="s">
        <v>464</v>
      </c>
      <c r="D82" s="1" t="s">
        <v>77</v>
      </c>
      <c r="E82" s="1">
        <v>2000</v>
      </c>
      <c r="F82" s="1" t="s">
        <v>465</v>
      </c>
      <c r="G82" s="2" t="s">
        <v>466</v>
      </c>
      <c r="H82" s="1" t="s">
        <v>467</v>
      </c>
      <c r="I82" s="1">
        <v>39</v>
      </c>
      <c r="J82" s="1" t="b">
        <v>0</v>
      </c>
      <c r="K82" s="3" t="b">
        <v>0</v>
      </c>
      <c r="L82" s="3" t="s">
        <v>468</v>
      </c>
      <c r="M82" s="3" t="b">
        <v>1</v>
      </c>
      <c r="N82" s="3" t="s">
        <v>469</v>
      </c>
      <c r="O82" s="3" t="s">
        <v>470</v>
      </c>
      <c r="P82" s="3"/>
      <c r="Q82" s="3"/>
      <c r="R82" s="3"/>
      <c r="S82" s="1" t="str">
        <f t="shared" si="1"/>
        <v>!!!</v>
      </c>
      <c r="T82" s="3" t="b">
        <v>1</v>
      </c>
      <c r="U82" s="5" t="b">
        <v>1</v>
      </c>
      <c r="V82" s="1" t="s">
        <v>471</v>
      </c>
      <c r="W82" s="1" t="b">
        <v>1</v>
      </c>
      <c r="Z82" s="1" t="b">
        <f t="shared" si="7"/>
        <v>1</v>
      </c>
      <c r="AA82" t="b">
        <f t="shared" si="5"/>
        <v>1</v>
      </c>
    </row>
    <row r="83" spans="1:27" ht="15.75" customHeight="1" x14ac:dyDescent="0.2">
      <c r="A83" s="1" t="s">
        <v>472</v>
      </c>
      <c r="B83" s="1" t="s">
        <v>473</v>
      </c>
      <c r="C83" s="1" t="s">
        <v>474</v>
      </c>
      <c r="D83" s="1" t="s">
        <v>28</v>
      </c>
      <c r="E83" s="1">
        <v>2011</v>
      </c>
      <c r="F83" s="1" t="s">
        <v>475</v>
      </c>
      <c r="G83" s="2" t="s">
        <v>476</v>
      </c>
      <c r="H83" s="1" t="s">
        <v>31</v>
      </c>
      <c r="I83" s="1">
        <v>40</v>
      </c>
      <c r="J83" s="1" t="b">
        <v>0</v>
      </c>
      <c r="K83" s="3" t="b">
        <v>0</v>
      </c>
      <c r="L83" s="3"/>
      <c r="M83" s="3" t="b">
        <v>0</v>
      </c>
      <c r="N83" s="3"/>
      <c r="O83" s="3"/>
      <c r="P83" s="3"/>
      <c r="Q83" s="3"/>
      <c r="R83" s="3"/>
      <c r="S83" s="1" t="str">
        <f t="shared" si="1"/>
        <v/>
      </c>
      <c r="T83" s="3"/>
      <c r="U83" s="5" t="b">
        <v>0</v>
      </c>
      <c r="W83" s="1" t="b">
        <v>0</v>
      </c>
      <c r="Z83" s="1" t="b">
        <f t="shared" si="7"/>
        <v>0</v>
      </c>
      <c r="AA83" t="b">
        <f t="shared" si="5"/>
        <v>0</v>
      </c>
    </row>
    <row r="84" spans="1:27" ht="15.75" customHeight="1" x14ac:dyDescent="0.2">
      <c r="A84" s="1" t="s">
        <v>477</v>
      </c>
      <c r="B84" s="1" t="s">
        <v>478</v>
      </c>
      <c r="C84" s="1" t="s">
        <v>479</v>
      </c>
      <c r="D84" s="1" t="s">
        <v>179</v>
      </c>
      <c r="E84" s="1">
        <v>2018</v>
      </c>
      <c r="F84" s="1" t="s">
        <v>480</v>
      </c>
      <c r="G84" s="2" t="s">
        <v>481</v>
      </c>
      <c r="H84" s="1" t="s">
        <v>31</v>
      </c>
      <c r="I84" s="1">
        <v>19</v>
      </c>
      <c r="J84" s="1" t="b">
        <v>0</v>
      </c>
      <c r="K84" s="3" t="b">
        <v>0</v>
      </c>
      <c r="L84" s="3"/>
      <c r="M84" s="3" t="b">
        <v>1</v>
      </c>
      <c r="N84" s="6" t="s">
        <v>482</v>
      </c>
      <c r="O84" s="3"/>
      <c r="P84" s="3"/>
      <c r="Q84" s="3"/>
      <c r="R84" s="3"/>
      <c r="S84" s="1" t="str">
        <f t="shared" si="1"/>
        <v>!!!</v>
      </c>
      <c r="T84" s="3" t="b">
        <v>1</v>
      </c>
      <c r="U84" s="5" t="b">
        <v>0</v>
      </c>
      <c r="V84" s="1" t="s">
        <v>483</v>
      </c>
      <c r="W84" s="1" t="b">
        <v>1</v>
      </c>
      <c r="X84" s="1" t="s">
        <v>484</v>
      </c>
      <c r="Z84" s="1" t="b">
        <f t="shared" si="7"/>
        <v>1</v>
      </c>
      <c r="AA84" t="b">
        <f t="shared" si="5"/>
        <v>1</v>
      </c>
    </row>
    <row r="85" spans="1:27" ht="15.75" customHeight="1" x14ac:dyDescent="0.2">
      <c r="A85" s="1" t="s">
        <v>485</v>
      </c>
      <c r="B85" s="1" t="s">
        <v>486</v>
      </c>
      <c r="C85" s="1" t="s">
        <v>487</v>
      </c>
      <c r="D85" s="1" t="s">
        <v>227</v>
      </c>
      <c r="E85" s="1">
        <v>2015</v>
      </c>
      <c r="F85" s="1" t="s">
        <v>36</v>
      </c>
      <c r="G85" s="2" t="s">
        <v>488</v>
      </c>
      <c r="H85" s="1" t="s">
        <v>336</v>
      </c>
      <c r="I85" s="1">
        <v>7</v>
      </c>
      <c r="J85" s="1" t="b">
        <v>0</v>
      </c>
      <c r="K85" s="3" t="b">
        <v>0</v>
      </c>
      <c r="L85" s="3"/>
      <c r="M85" s="3" t="b">
        <v>0</v>
      </c>
      <c r="N85" s="3"/>
      <c r="O85" s="3"/>
      <c r="P85" s="3"/>
      <c r="Q85" s="3"/>
      <c r="R85" s="3"/>
      <c r="S85" s="1" t="str">
        <f t="shared" si="1"/>
        <v/>
      </c>
      <c r="T85" s="3"/>
      <c r="U85" s="5" t="b">
        <v>0</v>
      </c>
      <c r="W85" s="1" t="b">
        <v>0</v>
      </c>
      <c r="Z85" s="1" t="b">
        <f t="shared" si="7"/>
        <v>0</v>
      </c>
      <c r="AA85" t="b">
        <f t="shared" si="5"/>
        <v>0</v>
      </c>
    </row>
    <row r="86" spans="1:27" ht="15.75" customHeight="1" x14ac:dyDescent="0.2">
      <c r="A86" s="1" t="s">
        <v>489</v>
      </c>
      <c r="B86" s="1" t="s">
        <v>490</v>
      </c>
      <c r="C86" s="1" t="s">
        <v>491</v>
      </c>
      <c r="D86" s="1" t="s">
        <v>106</v>
      </c>
      <c r="E86" s="1">
        <v>1994</v>
      </c>
      <c r="F86" s="1" t="s">
        <v>36</v>
      </c>
      <c r="G86" s="2" t="s">
        <v>492</v>
      </c>
      <c r="H86" s="1" t="s">
        <v>31</v>
      </c>
      <c r="I86" s="1">
        <v>9</v>
      </c>
      <c r="J86" s="1" t="b">
        <v>0</v>
      </c>
      <c r="K86" s="3" t="b">
        <v>0</v>
      </c>
      <c r="L86" s="3"/>
      <c r="M86" s="3" t="b">
        <v>0</v>
      </c>
      <c r="N86" s="3"/>
      <c r="O86" s="3"/>
      <c r="P86" s="3"/>
      <c r="Q86" s="3"/>
      <c r="R86" s="3"/>
      <c r="S86" s="1" t="str">
        <f t="shared" si="1"/>
        <v/>
      </c>
      <c r="T86" s="3"/>
      <c r="U86" s="5" t="b">
        <v>0</v>
      </c>
      <c r="W86" s="1" t="b">
        <v>0</v>
      </c>
      <c r="Z86" s="1" t="b">
        <f t="shared" si="7"/>
        <v>0</v>
      </c>
      <c r="AA86" t="b">
        <f t="shared" si="5"/>
        <v>0</v>
      </c>
    </row>
    <row r="87" spans="1:27" ht="15.75" customHeight="1" x14ac:dyDescent="0.2">
      <c r="A87" s="1" t="s">
        <v>493</v>
      </c>
      <c r="B87" s="1" t="s">
        <v>494</v>
      </c>
      <c r="C87" s="1" t="s">
        <v>495</v>
      </c>
      <c r="D87" s="1" t="s">
        <v>77</v>
      </c>
      <c r="E87" s="1">
        <v>2006</v>
      </c>
      <c r="F87" s="1" t="s">
        <v>496</v>
      </c>
      <c r="G87" s="2" t="s">
        <v>497</v>
      </c>
      <c r="H87" s="1" t="s">
        <v>498</v>
      </c>
      <c r="I87" s="1">
        <v>48</v>
      </c>
      <c r="J87" s="1" t="b">
        <v>0</v>
      </c>
      <c r="K87" s="3" t="b">
        <v>0</v>
      </c>
      <c r="L87" s="3"/>
      <c r="M87" s="3" t="b">
        <v>0</v>
      </c>
      <c r="N87" s="3"/>
      <c r="O87" s="3"/>
      <c r="P87" s="3"/>
      <c r="Q87" s="3"/>
      <c r="R87" s="3"/>
      <c r="S87" s="1" t="str">
        <f t="shared" si="1"/>
        <v/>
      </c>
      <c r="T87" s="3"/>
      <c r="U87" s="5" t="b">
        <v>0</v>
      </c>
      <c r="W87" s="1" t="b">
        <v>0</v>
      </c>
      <c r="Z87" s="1" t="b">
        <f t="shared" si="7"/>
        <v>0</v>
      </c>
      <c r="AA87" t="b">
        <f t="shared" si="5"/>
        <v>0</v>
      </c>
    </row>
    <row r="88" spans="1:27" ht="15.75" customHeight="1" x14ac:dyDescent="0.2">
      <c r="A88" s="1" t="s">
        <v>499</v>
      </c>
      <c r="B88" s="1" t="s">
        <v>500</v>
      </c>
      <c r="C88" s="1" t="s">
        <v>501</v>
      </c>
      <c r="D88" s="1" t="s">
        <v>35</v>
      </c>
      <c r="E88" s="1">
        <v>1991</v>
      </c>
      <c r="F88" s="1" t="s">
        <v>36</v>
      </c>
      <c r="G88" s="2" t="s">
        <v>502</v>
      </c>
      <c r="H88" s="1" t="s">
        <v>31</v>
      </c>
      <c r="I88" s="1">
        <v>39</v>
      </c>
      <c r="J88" s="1" t="b">
        <v>0</v>
      </c>
      <c r="K88" s="3" t="b">
        <v>0</v>
      </c>
      <c r="L88" s="3"/>
      <c r="M88" s="3" t="b">
        <v>0</v>
      </c>
      <c r="N88" s="3"/>
      <c r="O88" s="3"/>
      <c r="P88" s="3"/>
      <c r="Q88" s="3"/>
      <c r="R88" s="3"/>
      <c r="S88" s="1" t="str">
        <f t="shared" si="1"/>
        <v/>
      </c>
      <c r="T88" s="3"/>
      <c r="U88" s="5" t="b">
        <v>0</v>
      </c>
      <c r="W88" s="1" t="b">
        <v>0</v>
      </c>
      <c r="Z88" s="1" t="b">
        <f t="shared" si="7"/>
        <v>0</v>
      </c>
      <c r="AA88" t="b">
        <f t="shared" si="5"/>
        <v>0</v>
      </c>
    </row>
    <row r="89" spans="1:27" ht="15.75" customHeight="1" x14ac:dyDescent="0.2">
      <c r="A89" s="1" t="s">
        <v>503</v>
      </c>
      <c r="B89" s="1" t="s">
        <v>504</v>
      </c>
      <c r="C89" s="1" t="s">
        <v>505</v>
      </c>
      <c r="D89" s="1" t="s">
        <v>179</v>
      </c>
      <c r="E89" s="1">
        <v>2024</v>
      </c>
      <c r="F89" s="1" t="s">
        <v>36</v>
      </c>
      <c r="G89" s="2" t="s">
        <v>506</v>
      </c>
      <c r="H89" s="1" t="s">
        <v>154</v>
      </c>
      <c r="I89" s="1">
        <v>0</v>
      </c>
      <c r="J89" s="1" t="b">
        <v>0</v>
      </c>
      <c r="K89" s="3" t="b">
        <v>0</v>
      </c>
      <c r="L89" s="3"/>
      <c r="M89" s="3" t="b">
        <v>0</v>
      </c>
      <c r="N89" s="3"/>
      <c r="O89" s="3"/>
      <c r="P89" s="3"/>
      <c r="Q89" s="3"/>
      <c r="R89" s="3"/>
      <c r="S89" s="1" t="str">
        <f t="shared" si="1"/>
        <v/>
      </c>
      <c r="T89" s="3"/>
      <c r="U89" s="5" t="b">
        <v>0</v>
      </c>
      <c r="W89" s="1" t="b">
        <v>0</v>
      </c>
      <c r="Z89" s="1" t="b">
        <f t="shared" si="7"/>
        <v>0</v>
      </c>
      <c r="AA89" t="b">
        <f t="shared" si="5"/>
        <v>0</v>
      </c>
    </row>
    <row r="90" spans="1:27" ht="15.75" customHeight="1" x14ac:dyDescent="0.2">
      <c r="A90" s="1" t="s">
        <v>507</v>
      </c>
      <c r="B90" s="1" t="s">
        <v>508</v>
      </c>
      <c r="C90" s="1" t="s">
        <v>509</v>
      </c>
      <c r="D90" s="1" t="s">
        <v>179</v>
      </c>
      <c r="E90" s="1">
        <v>2022</v>
      </c>
      <c r="F90" s="1" t="s">
        <v>510</v>
      </c>
      <c r="G90" s="2" t="s">
        <v>511</v>
      </c>
      <c r="H90" s="1" t="s">
        <v>80</v>
      </c>
      <c r="I90" s="1">
        <v>2</v>
      </c>
      <c r="J90" s="1" t="b">
        <v>0</v>
      </c>
      <c r="K90" s="3" t="b">
        <v>0</v>
      </c>
      <c r="L90" s="3"/>
      <c r="M90" s="3" t="b">
        <v>1</v>
      </c>
      <c r="N90" s="3" t="s">
        <v>512</v>
      </c>
      <c r="O90" s="3"/>
      <c r="P90" s="3"/>
      <c r="Q90" s="3"/>
      <c r="R90" s="3"/>
      <c r="S90" s="1" t="str">
        <f t="shared" si="1"/>
        <v/>
      </c>
      <c r="T90" s="3" t="b">
        <v>0</v>
      </c>
      <c r="U90" s="5" t="b">
        <v>0</v>
      </c>
      <c r="V90" s="1" t="s">
        <v>513</v>
      </c>
      <c r="W90" s="1" t="b">
        <v>0</v>
      </c>
      <c r="Z90" s="1" t="b">
        <f t="shared" si="7"/>
        <v>0</v>
      </c>
      <c r="AA90" t="b">
        <f t="shared" si="5"/>
        <v>0</v>
      </c>
    </row>
    <row r="91" spans="1:27" ht="15.75" customHeight="1" x14ac:dyDescent="0.2">
      <c r="A91" s="1" t="s">
        <v>514</v>
      </c>
      <c r="B91" s="1" t="s">
        <v>515</v>
      </c>
      <c r="C91" s="1" t="s">
        <v>516</v>
      </c>
      <c r="D91" s="1" t="s">
        <v>227</v>
      </c>
      <c r="E91" s="1">
        <v>2012</v>
      </c>
      <c r="F91" s="1" t="s">
        <v>36</v>
      </c>
      <c r="G91" s="2" t="s">
        <v>517</v>
      </c>
      <c r="H91" s="1" t="s">
        <v>518</v>
      </c>
      <c r="I91" s="1">
        <v>20</v>
      </c>
      <c r="J91" s="1" t="b">
        <v>0</v>
      </c>
      <c r="K91" s="3" t="b">
        <v>0</v>
      </c>
      <c r="L91" s="3"/>
      <c r="M91" s="3" t="b">
        <v>0</v>
      </c>
      <c r="N91" s="3"/>
      <c r="O91" s="3"/>
      <c r="P91" s="3"/>
      <c r="Q91" s="3"/>
      <c r="R91" s="3"/>
      <c r="S91" s="1" t="str">
        <f t="shared" si="1"/>
        <v/>
      </c>
      <c r="T91" s="3"/>
      <c r="U91" s="5" t="b">
        <v>0</v>
      </c>
      <c r="W91" s="1" t="b">
        <v>0</v>
      </c>
      <c r="Z91" s="1" t="b">
        <f t="shared" si="7"/>
        <v>0</v>
      </c>
      <c r="AA91" t="b">
        <f t="shared" si="5"/>
        <v>0</v>
      </c>
    </row>
    <row r="92" spans="1:27" ht="15.75" customHeight="1" x14ac:dyDescent="0.2">
      <c r="A92" s="1" t="s">
        <v>519</v>
      </c>
      <c r="B92" s="1" t="s">
        <v>520</v>
      </c>
      <c r="C92" s="1" t="s">
        <v>521</v>
      </c>
      <c r="D92" s="1" t="s">
        <v>120</v>
      </c>
      <c r="E92" s="1">
        <v>2004</v>
      </c>
      <c r="F92" s="1" t="s">
        <v>522</v>
      </c>
      <c r="G92" s="2" t="s">
        <v>523</v>
      </c>
      <c r="H92" s="1" t="s">
        <v>86</v>
      </c>
      <c r="I92" s="1">
        <v>82</v>
      </c>
      <c r="J92" s="1" t="b">
        <v>0</v>
      </c>
      <c r="K92" s="3" t="b">
        <v>1</v>
      </c>
      <c r="L92" s="3" t="s">
        <v>165</v>
      </c>
      <c r="M92" s="3" t="b">
        <v>1</v>
      </c>
      <c r="N92" s="3"/>
      <c r="O92" s="3"/>
      <c r="P92" s="3"/>
      <c r="Q92" s="3"/>
      <c r="R92" s="3"/>
      <c r="S92" s="1" t="str">
        <f t="shared" si="1"/>
        <v/>
      </c>
      <c r="T92" s="3"/>
      <c r="U92" s="5" t="b">
        <v>1</v>
      </c>
      <c r="W92" s="1" t="b">
        <v>1</v>
      </c>
      <c r="Z92" s="1" t="b">
        <f t="shared" si="7"/>
        <v>1</v>
      </c>
      <c r="AA92" t="b">
        <f t="shared" si="5"/>
        <v>1</v>
      </c>
    </row>
    <row r="93" spans="1:27" ht="15.75" customHeight="1" x14ac:dyDescent="0.2">
      <c r="A93" s="1" t="s">
        <v>524</v>
      </c>
      <c r="B93" s="1" t="s">
        <v>525</v>
      </c>
      <c r="C93" s="1" t="s">
        <v>526</v>
      </c>
      <c r="D93" s="1" t="s">
        <v>120</v>
      </c>
      <c r="E93" s="1">
        <v>2023</v>
      </c>
      <c r="F93" s="1" t="s">
        <v>527</v>
      </c>
      <c r="G93" s="2" t="s">
        <v>528</v>
      </c>
      <c r="H93" s="1" t="s">
        <v>31</v>
      </c>
      <c r="I93" s="1">
        <v>2</v>
      </c>
      <c r="J93" s="1" t="b">
        <v>0</v>
      </c>
      <c r="K93" s="3" t="b">
        <v>1</v>
      </c>
      <c r="L93" s="3" t="s">
        <v>529</v>
      </c>
      <c r="M93" s="3" t="b">
        <v>1</v>
      </c>
      <c r="N93" s="3" t="s">
        <v>530</v>
      </c>
      <c r="O93" s="3"/>
      <c r="P93" s="3"/>
      <c r="Q93" s="3"/>
      <c r="R93" s="3"/>
      <c r="S93" s="1" t="str">
        <f t="shared" si="1"/>
        <v/>
      </c>
      <c r="T93" s="3"/>
      <c r="U93" s="5" t="b">
        <v>1</v>
      </c>
      <c r="W93" s="1" t="b">
        <v>1</v>
      </c>
      <c r="Z93" s="1" t="b">
        <f t="shared" si="7"/>
        <v>1</v>
      </c>
      <c r="AA93" t="b">
        <f t="shared" si="5"/>
        <v>1</v>
      </c>
    </row>
    <row r="94" spans="1:27" ht="15.75" customHeight="1" x14ac:dyDescent="0.2">
      <c r="A94" s="1" t="s">
        <v>531</v>
      </c>
      <c r="B94" s="1" t="s">
        <v>532</v>
      </c>
      <c r="C94" s="1" t="s">
        <v>533</v>
      </c>
      <c r="D94" s="1" t="s">
        <v>35</v>
      </c>
      <c r="E94" s="1">
        <v>2001</v>
      </c>
      <c r="F94" s="1" t="s">
        <v>36</v>
      </c>
      <c r="G94" s="2" t="s">
        <v>534</v>
      </c>
      <c r="H94" s="1" t="s">
        <v>31</v>
      </c>
      <c r="I94" s="1">
        <v>90</v>
      </c>
      <c r="J94" s="1" t="b">
        <v>0</v>
      </c>
      <c r="K94" s="3" t="b">
        <v>1</v>
      </c>
      <c r="L94" s="3" t="s">
        <v>165</v>
      </c>
      <c r="M94" s="3" t="b">
        <v>1</v>
      </c>
      <c r="N94" s="3"/>
      <c r="O94" s="3"/>
      <c r="P94" s="3"/>
      <c r="Q94" s="3"/>
      <c r="R94" s="3"/>
      <c r="S94" s="1" t="str">
        <f t="shared" si="1"/>
        <v/>
      </c>
      <c r="T94" s="3"/>
      <c r="U94" s="5" t="b">
        <v>1</v>
      </c>
      <c r="W94" s="1" t="b">
        <v>1</v>
      </c>
      <c r="Z94" s="1" t="b">
        <f t="shared" si="7"/>
        <v>1</v>
      </c>
      <c r="AA94" t="b">
        <f t="shared" si="5"/>
        <v>1</v>
      </c>
    </row>
    <row r="95" spans="1:27" ht="15.75" customHeight="1" x14ac:dyDescent="0.2">
      <c r="A95" s="1" t="s">
        <v>535</v>
      </c>
      <c r="B95" s="1" t="s">
        <v>536</v>
      </c>
      <c r="C95" s="1" t="s">
        <v>537</v>
      </c>
      <c r="D95" s="1" t="s">
        <v>28</v>
      </c>
      <c r="E95" s="1">
        <v>2007</v>
      </c>
      <c r="F95" s="1" t="s">
        <v>538</v>
      </c>
      <c r="G95" s="2" t="s">
        <v>539</v>
      </c>
      <c r="H95" s="1" t="s">
        <v>31</v>
      </c>
      <c r="I95" s="1">
        <v>81</v>
      </c>
      <c r="J95" s="1" t="b">
        <v>0</v>
      </c>
      <c r="K95" s="3" t="b">
        <v>0</v>
      </c>
      <c r="L95" s="3"/>
      <c r="M95" s="3" t="b">
        <v>0</v>
      </c>
      <c r="N95" s="3"/>
      <c r="O95" s="3"/>
      <c r="P95" s="3"/>
      <c r="Q95" s="3"/>
      <c r="R95" s="3"/>
      <c r="S95" s="1" t="str">
        <f t="shared" si="1"/>
        <v/>
      </c>
      <c r="T95" s="3"/>
      <c r="U95" s="5" t="b">
        <v>0</v>
      </c>
      <c r="W95" s="1" t="b">
        <v>0</v>
      </c>
      <c r="Z95" s="1" t="b">
        <f t="shared" si="7"/>
        <v>0</v>
      </c>
      <c r="AA95" t="b">
        <f t="shared" si="5"/>
        <v>0</v>
      </c>
    </row>
    <row r="96" spans="1:27" ht="15.75" customHeight="1" x14ac:dyDescent="0.2">
      <c r="A96" s="1" t="s">
        <v>540</v>
      </c>
      <c r="B96" s="1" t="s">
        <v>541</v>
      </c>
      <c r="C96" s="1" t="s">
        <v>542</v>
      </c>
      <c r="D96" s="1" t="s">
        <v>106</v>
      </c>
      <c r="E96" s="1">
        <v>2002</v>
      </c>
      <c r="F96" s="1" t="s">
        <v>543</v>
      </c>
      <c r="G96" s="2" t="s">
        <v>544</v>
      </c>
      <c r="H96" s="1" t="s">
        <v>31</v>
      </c>
      <c r="I96" s="1">
        <v>48</v>
      </c>
      <c r="J96" s="1" t="b">
        <v>0</v>
      </c>
      <c r="K96" s="3" t="b">
        <v>0</v>
      </c>
      <c r="L96" s="3"/>
      <c r="M96" s="3" t="b">
        <v>0</v>
      </c>
      <c r="N96" s="3"/>
      <c r="O96" s="3"/>
      <c r="P96" s="3"/>
      <c r="Q96" s="3"/>
      <c r="R96" s="3"/>
      <c r="S96" s="1" t="str">
        <f t="shared" si="1"/>
        <v/>
      </c>
      <c r="T96" s="3"/>
      <c r="U96" s="5" t="b">
        <v>0</v>
      </c>
      <c r="W96" s="1" t="b">
        <v>0</v>
      </c>
      <c r="Z96" s="1" t="b">
        <f t="shared" si="7"/>
        <v>0</v>
      </c>
      <c r="AA96" t="b">
        <f t="shared" si="5"/>
        <v>0</v>
      </c>
    </row>
    <row r="97" spans="1:27" ht="15.75" customHeight="1" x14ac:dyDescent="0.2">
      <c r="A97" s="1" t="s">
        <v>545</v>
      </c>
      <c r="B97" s="1" t="s">
        <v>546</v>
      </c>
      <c r="C97" s="1" t="s">
        <v>547</v>
      </c>
      <c r="D97" s="1" t="s">
        <v>227</v>
      </c>
      <c r="E97" s="1">
        <v>2023</v>
      </c>
      <c r="F97" s="1" t="s">
        <v>36</v>
      </c>
      <c r="G97" s="2" t="s">
        <v>548</v>
      </c>
      <c r="H97" s="1" t="s">
        <v>31</v>
      </c>
      <c r="I97" s="1">
        <v>0</v>
      </c>
      <c r="J97" s="1" t="b">
        <v>0</v>
      </c>
      <c r="K97" s="3" t="b">
        <v>1</v>
      </c>
      <c r="L97" s="3" t="s">
        <v>549</v>
      </c>
      <c r="M97" s="3" t="b">
        <v>1</v>
      </c>
      <c r="N97" s="3"/>
      <c r="O97" s="3"/>
      <c r="P97" s="3"/>
      <c r="Q97" s="3"/>
      <c r="R97" s="3"/>
      <c r="S97" s="1" t="str">
        <f t="shared" si="1"/>
        <v/>
      </c>
      <c r="T97" s="3"/>
      <c r="U97" s="5" t="b">
        <v>1</v>
      </c>
      <c r="W97" s="1" t="b">
        <v>1</v>
      </c>
      <c r="Z97" s="1" t="b">
        <f t="shared" si="7"/>
        <v>1</v>
      </c>
      <c r="AA97" t="b">
        <f t="shared" si="5"/>
        <v>1</v>
      </c>
    </row>
    <row r="98" spans="1:27" ht="15.75" customHeight="1" x14ac:dyDescent="0.2">
      <c r="A98" s="1" t="s">
        <v>550</v>
      </c>
      <c r="B98" s="1" t="s">
        <v>551</v>
      </c>
      <c r="C98" s="1" t="s">
        <v>552</v>
      </c>
      <c r="D98" s="1" t="s">
        <v>28</v>
      </c>
      <c r="E98" s="1">
        <v>2018</v>
      </c>
      <c r="F98" s="1" t="s">
        <v>553</v>
      </c>
      <c r="G98" s="2" t="s">
        <v>554</v>
      </c>
      <c r="H98" s="1" t="s">
        <v>31</v>
      </c>
      <c r="I98" s="1">
        <v>39</v>
      </c>
      <c r="J98" s="1" t="b">
        <v>0</v>
      </c>
      <c r="K98" s="3" t="b">
        <v>0</v>
      </c>
      <c r="L98" s="3"/>
      <c r="M98" s="3"/>
      <c r="N98" s="3"/>
      <c r="O98" s="3"/>
      <c r="P98" s="3"/>
      <c r="Q98" s="3" t="b">
        <v>0</v>
      </c>
      <c r="R98" s="3"/>
      <c r="S98" s="1" t="str">
        <f t="shared" si="1"/>
        <v/>
      </c>
      <c r="T98" s="3"/>
      <c r="U98" s="5" t="b">
        <v>0</v>
      </c>
      <c r="W98" s="1" t="b">
        <v>0</v>
      </c>
      <c r="Z98" s="1" t="b">
        <f t="shared" si="7"/>
        <v>0</v>
      </c>
      <c r="AA98" t="b">
        <f t="shared" si="5"/>
        <v>0</v>
      </c>
    </row>
    <row r="99" spans="1:27" ht="15.75" customHeight="1" x14ac:dyDescent="0.2">
      <c r="A99" s="1" t="s">
        <v>555</v>
      </c>
      <c r="B99" s="1" t="s">
        <v>556</v>
      </c>
      <c r="C99" s="1" t="s">
        <v>557</v>
      </c>
      <c r="D99" s="1" t="s">
        <v>28</v>
      </c>
      <c r="E99" s="1">
        <v>2019</v>
      </c>
      <c r="F99" s="1" t="s">
        <v>558</v>
      </c>
      <c r="G99" s="2" t="s">
        <v>559</v>
      </c>
      <c r="H99" s="1" t="s">
        <v>31</v>
      </c>
      <c r="I99" s="1">
        <v>20</v>
      </c>
      <c r="J99" s="1" t="b">
        <v>0</v>
      </c>
      <c r="K99" s="3" t="b">
        <v>0</v>
      </c>
      <c r="L99" s="3"/>
      <c r="M99" s="3"/>
      <c r="N99" s="3"/>
      <c r="O99" s="3"/>
      <c r="P99" s="3"/>
      <c r="Q99" s="3" t="b">
        <v>0</v>
      </c>
      <c r="R99" s="3"/>
      <c r="S99" s="1" t="str">
        <f t="shared" si="1"/>
        <v/>
      </c>
      <c r="T99" s="3"/>
      <c r="U99" s="5" t="b">
        <v>0</v>
      </c>
      <c r="W99" s="1" t="b">
        <v>0</v>
      </c>
      <c r="Z99" s="1" t="b">
        <f t="shared" si="7"/>
        <v>0</v>
      </c>
      <c r="AA99" t="b">
        <f t="shared" si="5"/>
        <v>0</v>
      </c>
    </row>
    <row r="100" spans="1:27" ht="15.75" customHeight="1" x14ac:dyDescent="0.2">
      <c r="A100" s="1" t="s">
        <v>560</v>
      </c>
      <c r="B100" s="1" t="s">
        <v>561</v>
      </c>
      <c r="C100" s="1" t="s">
        <v>562</v>
      </c>
      <c r="D100" s="1" t="s">
        <v>35</v>
      </c>
      <c r="E100" s="1">
        <v>2010</v>
      </c>
      <c r="F100" s="1" t="s">
        <v>36</v>
      </c>
      <c r="G100" s="2" t="s">
        <v>563</v>
      </c>
      <c r="H100" s="1" t="s">
        <v>31</v>
      </c>
      <c r="I100" s="1">
        <v>43</v>
      </c>
      <c r="J100" s="1" t="b">
        <v>0</v>
      </c>
      <c r="K100" s="3" t="b">
        <v>1</v>
      </c>
      <c r="L100" s="3"/>
      <c r="M100" s="3"/>
      <c r="N100" s="3"/>
      <c r="O100" s="3"/>
      <c r="P100" s="3"/>
      <c r="Q100" s="3" t="b">
        <v>1</v>
      </c>
      <c r="R100" s="3" t="s">
        <v>564</v>
      </c>
      <c r="S100" s="1" t="str">
        <f t="shared" si="1"/>
        <v/>
      </c>
      <c r="T100" s="3"/>
      <c r="U100" s="5" t="b">
        <v>1</v>
      </c>
      <c r="W100" s="1" t="b">
        <v>1</v>
      </c>
      <c r="Z100" s="1" t="b">
        <f t="shared" si="7"/>
        <v>1</v>
      </c>
      <c r="AA100" t="b">
        <f t="shared" si="5"/>
        <v>1</v>
      </c>
    </row>
    <row r="101" spans="1:27" ht="15.75" customHeight="1" x14ac:dyDescent="0.2">
      <c r="A101" s="1" t="s">
        <v>565</v>
      </c>
      <c r="B101" s="1" t="s">
        <v>566</v>
      </c>
      <c r="C101" s="1" t="s">
        <v>567</v>
      </c>
      <c r="D101" s="1" t="s">
        <v>62</v>
      </c>
      <c r="E101" s="1">
        <v>2013</v>
      </c>
      <c r="F101" s="1" t="s">
        <v>36</v>
      </c>
      <c r="G101" s="2" t="s">
        <v>568</v>
      </c>
      <c r="H101" s="1" t="s">
        <v>31</v>
      </c>
      <c r="I101" s="1">
        <v>12</v>
      </c>
      <c r="J101" s="1" t="b">
        <v>0</v>
      </c>
      <c r="K101" s="3" t="b">
        <v>0</v>
      </c>
      <c r="L101" s="3"/>
      <c r="M101" s="3"/>
      <c r="N101" s="3"/>
      <c r="O101" s="3"/>
      <c r="P101" s="3"/>
      <c r="Q101" s="3" t="b">
        <v>0</v>
      </c>
      <c r="R101" s="3"/>
      <c r="S101" s="1" t="str">
        <f t="shared" ref="S101:S195" si="8">IF(OR(K101="",M101=""),"",IF(K101&lt;&gt;M101,"!!!",""))</f>
        <v/>
      </c>
      <c r="T101" s="3"/>
      <c r="U101" s="5" t="b">
        <v>0</v>
      </c>
      <c r="W101" s="1" t="b">
        <v>0</v>
      </c>
      <c r="Z101" s="1" t="b">
        <f t="shared" si="7"/>
        <v>0</v>
      </c>
      <c r="AA101" t="b">
        <f t="shared" si="5"/>
        <v>0</v>
      </c>
    </row>
    <row r="102" spans="1:27" ht="15.75" customHeight="1" x14ac:dyDescent="0.2">
      <c r="A102" s="1" t="s">
        <v>569</v>
      </c>
      <c r="B102" s="1" t="s">
        <v>570</v>
      </c>
      <c r="C102" s="1" t="s">
        <v>571</v>
      </c>
      <c r="D102" s="1" t="s">
        <v>179</v>
      </c>
      <c r="E102" s="1">
        <v>2024</v>
      </c>
      <c r="F102" s="1" t="s">
        <v>36</v>
      </c>
      <c r="G102" s="2" t="s">
        <v>572</v>
      </c>
      <c r="H102" s="1" t="s">
        <v>181</v>
      </c>
      <c r="I102" s="1">
        <v>1</v>
      </c>
      <c r="J102" s="1" t="b">
        <v>0</v>
      </c>
      <c r="K102" s="3" t="b">
        <v>0</v>
      </c>
      <c r="L102" s="3"/>
      <c r="M102" s="3"/>
      <c r="N102" s="3"/>
      <c r="O102" s="3"/>
      <c r="P102" s="3"/>
      <c r="Q102" s="3" t="b">
        <v>0</v>
      </c>
      <c r="R102" s="3"/>
      <c r="S102" s="1" t="str">
        <f t="shared" si="8"/>
        <v/>
      </c>
      <c r="T102" s="3"/>
      <c r="U102" s="5" t="b">
        <v>0</v>
      </c>
      <c r="W102" s="1" t="b">
        <v>0</v>
      </c>
      <c r="Z102" s="1" t="b">
        <f t="shared" si="7"/>
        <v>0</v>
      </c>
      <c r="AA102" t="b">
        <f t="shared" si="5"/>
        <v>0</v>
      </c>
    </row>
    <row r="103" spans="1:27" ht="15.75" customHeight="1" x14ac:dyDescent="0.2">
      <c r="A103" s="1" t="s">
        <v>573</v>
      </c>
      <c r="B103" s="1" t="s">
        <v>574</v>
      </c>
      <c r="C103" s="1" t="s">
        <v>575</v>
      </c>
      <c r="D103" s="1" t="s">
        <v>35</v>
      </c>
      <c r="E103" s="1">
        <v>2010</v>
      </c>
      <c r="F103" s="1" t="s">
        <v>36</v>
      </c>
      <c r="G103" s="2" t="s">
        <v>576</v>
      </c>
      <c r="H103" s="1" t="s">
        <v>31</v>
      </c>
      <c r="I103" s="1">
        <v>36</v>
      </c>
      <c r="J103" s="1" t="b">
        <v>0</v>
      </c>
      <c r="K103" s="3" t="b">
        <v>0</v>
      </c>
      <c r="L103" s="3"/>
      <c r="M103" s="3"/>
      <c r="N103" s="3"/>
      <c r="O103" s="3"/>
      <c r="P103" s="3"/>
      <c r="Q103" s="3" t="b">
        <v>0</v>
      </c>
      <c r="R103" s="3"/>
      <c r="S103" s="1" t="str">
        <f t="shared" si="8"/>
        <v/>
      </c>
      <c r="T103" s="3"/>
      <c r="U103" s="5" t="b">
        <v>0</v>
      </c>
      <c r="W103" s="1" t="b">
        <v>0</v>
      </c>
      <c r="Z103" s="1" t="b">
        <f t="shared" si="7"/>
        <v>0</v>
      </c>
      <c r="AA103" t="b">
        <f t="shared" si="5"/>
        <v>0</v>
      </c>
    </row>
    <row r="104" spans="1:27" ht="15.75" customHeight="1" x14ac:dyDescent="0.2">
      <c r="A104" s="1" t="s">
        <v>577</v>
      </c>
      <c r="B104" s="1" t="s">
        <v>578</v>
      </c>
      <c r="C104" s="1" t="s">
        <v>579</v>
      </c>
      <c r="D104" s="1" t="s">
        <v>28</v>
      </c>
      <c r="E104" s="1">
        <v>2004</v>
      </c>
      <c r="F104" s="1" t="s">
        <v>580</v>
      </c>
      <c r="G104" s="2" t="s">
        <v>581</v>
      </c>
      <c r="H104" s="1" t="s">
        <v>80</v>
      </c>
      <c r="I104" s="1">
        <v>77</v>
      </c>
      <c r="J104" s="1" t="b">
        <v>0</v>
      </c>
      <c r="K104" s="3" t="b">
        <v>0</v>
      </c>
      <c r="L104" s="3"/>
      <c r="M104" s="3"/>
      <c r="N104" s="3"/>
      <c r="O104" s="3"/>
      <c r="P104" s="3"/>
      <c r="Q104" s="3" t="b">
        <v>0</v>
      </c>
      <c r="R104" s="3"/>
      <c r="S104" s="1" t="str">
        <f t="shared" si="8"/>
        <v/>
      </c>
      <c r="T104" s="3"/>
      <c r="U104" s="5" t="b">
        <v>0</v>
      </c>
      <c r="W104" s="1" t="b">
        <v>0</v>
      </c>
      <c r="Z104" s="1" t="b">
        <f t="shared" si="7"/>
        <v>0</v>
      </c>
      <c r="AA104" t="b">
        <f t="shared" si="5"/>
        <v>0</v>
      </c>
    </row>
    <row r="105" spans="1:27" ht="15.75" customHeight="1" x14ac:dyDescent="0.2">
      <c r="A105" s="1" t="s">
        <v>582</v>
      </c>
      <c r="B105" s="1" t="s">
        <v>583</v>
      </c>
      <c r="C105" s="1" t="s">
        <v>584</v>
      </c>
      <c r="D105" s="1" t="s">
        <v>35</v>
      </c>
      <c r="E105" s="1">
        <v>1991</v>
      </c>
      <c r="F105" s="1" t="s">
        <v>36</v>
      </c>
      <c r="G105" s="2" t="s">
        <v>585</v>
      </c>
      <c r="H105" s="1" t="s">
        <v>31</v>
      </c>
      <c r="I105" s="1">
        <v>37</v>
      </c>
      <c r="J105" s="1" t="b">
        <v>0</v>
      </c>
      <c r="K105" s="3" t="b">
        <v>0</v>
      </c>
      <c r="L105" s="3"/>
      <c r="M105" s="3"/>
      <c r="N105" s="3"/>
      <c r="O105" s="3"/>
      <c r="P105" s="3"/>
      <c r="Q105" s="3" t="b">
        <v>0</v>
      </c>
      <c r="R105" s="3"/>
      <c r="S105" s="1" t="str">
        <f t="shared" si="8"/>
        <v/>
      </c>
      <c r="T105" s="3"/>
      <c r="U105" s="5" t="b">
        <v>0</v>
      </c>
      <c r="W105" s="1" t="b">
        <v>0</v>
      </c>
      <c r="Z105" s="1" t="b">
        <f t="shared" si="7"/>
        <v>0</v>
      </c>
      <c r="AA105" t="b">
        <f t="shared" si="5"/>
        <v>0</v>
      </c>
    </row>
    <row r="106" spans="1:27" ht="15.75" customHeight="1" x14ac:dyDescent="0.2">
      <c r="A106" s="1" t="s">
        <v>586</v>
      </c>
      <c r="B106" s="1" t="s">
        <v>587</v>
      </c>
      <c r="C106" s="1" t="s">
        <v>588</v>
      </c>
      <c r="D106" s="1" t="s">
        <v>120</v>
      </c>
      <c r="E106" s="1">
        <v>2009</v>
      </c>
      <c r="F106" s="1" t="s">
        <v>589</v>
      </c>
      <c r="G106" s="2" t="s">
        <v>590</v>
      </c>
      <c r="H106" s="1" t="s">
        <v>591</v>
      </c>
      <c r="I106" s="1">
        <v>13</v>
      </c>
      <c r="J106" s="1" t="b">
        <v>0</v>
      </c>
      <c r="K106" s="3" t="b">
        <v>0</v>
      </c>
      <c r="L106" s="3"/>
      <c r="M106" s="3"/>
      <c r="N106" s="3"/>
      <c r="O106" s="3"/>
      <c r="P106" s="3"/>
      <c r="Q106" s="3" t="b">
        <v>0</v>
      </c>
      <c r="R106" s="3"/>
      <c r="S106" s="1" t="str">
        <f t="shared" si="8"/>
        <v/>
      </c>
      <c r="T106" s="3"/>
      <c r="U106" s="5" t="b">
        <v>0</v>
      </c>
      <c r="W106" s="1" t="b">
        <v>0</v>
      </c>
      <c r="Z106" s="1" t="b">
        <f t="shared" si="7"/>
        <v>0</v>
      </c>
      <c r="AA106" t="b">
        <f t="shared" si="5"/>
        <v>0</v>
      </c>
    </row>
    <row r="107" spans="1:27" ht="15.75" customHeight="1" x14ac:dyDescent="0.2">
      <c r="A107" s="1" t="s">
        <v>592</v>
      </c>
      <c r="B107" s="1" t="s">
        <v>593</v>
      </c>
      <c r="C107" s="1" t="s">
        <v>594</v>
      </c>
      <c r="D107" s="1" t="s">
        <v>227</v>
      </c>
      <c r="E107" s="1">
        <v>2012</v>
      </c>
      <c r="F107" s="1" t="s">
        <v>36</v>
      </c>
      <c r="G107" s="2" t="s">
        <v>595</v>
      </c>
      <c r="H107" s="1" t="s">
        <v>280</v>
      </c>
      <c r="I107" s="1">
        <v>22</v>
      </c>
      <c r="J107" s="1" t="b">
        <v>0</v>
      </c>
      <c r="K107" s="3" t="b">
        <v>0</v>
      </c>
      <c r="L107" s="3"/>
      <c r="M107" s="3"/>
      <c r="N107" s="3"/>
      <c r="O107" s="3"/>
      <c r="P107" s="3"/>
      <c r="Q107" s="3" t="b">
        <v>0</v>
      </c>
      <c r="R107" s="3"/>
      <c r="S107" s="1" t="str">
        <f t="shared" si="8"/>
        <v/>
      </c>
      <c r="T107" s="3"/>
      <c r="U107" s="5" t="b">
        <v>0</v>
      </c>
      <c r="W107" s="1" t="b">
        <v>0</v>
      </c>
      <c r="Z107" s="1" t="b">
        <f t="shared" si="7"/>
        <v>0</v>
      </c>
      <c r="AA107" t="b">
        <f t="shared" si="5"/>
        <v>0</v>
      </c>
    </row>
    <row r="108" spans="1:27" ht="15.75" customHeight="1" x14ac:dyDescent="0.2">
      <c r="A108" s="1" t="s">
        <v>596</v>
      </c>
      <c r="B108" s="1" t="s">
        <v>597</v>
      </c>
      <c r="C108" s="1" t="s">
        <v>598</v>
      </c>
      <c r="D108" s="1" t="s">
        <v>62</v>
      </c>
      <c r="E108" s="1">
        <v>2017</v>
      </c>
      <c r="F108" s="1" t="s">
        <v>36</v>
      </c>
      <c r="G108" s="2" t="s">
        <v>599</v>
      </c>
      <c r="H108" s="1" t="s">
        <v>31</v>
      </c>
      <c r="I108" s="1">
        <v>65</v>
      </c>
      <c r="J108" s="1" t="b">
        <v>0</v>
      </c>
      <c r="K108" s="3" t="b">
        <v>1</v>
      </c>
      <c r="L108" s="3"/>
      <c r="M108" s="3"/>
      <c r="N108" s="3"/>
      <c r="O108" s="3"/>
      <c r="P108" s="3"/>
      <c r="Q108" s="3" t="b">
        <v>1</v>
      </c>
      <c r="R108" s="3" t="s">
        <v>600</v>
      </c>
      <c r="S108" s="1" t="str">
        <f t="shared" si="8"/>
        <v/>
      </c>
      <c r="T108" s="3"/>
      <c r="U108" s="5" t="b">
        <v>1</v>
      </c>
      <c r="W108" s="1" t="b">
        <v>1</v>
      </c>
      <c r="Z108" s="1" t="b">
        <f t="shared" si="7"/>
        <v>1</v>
      </c>
      <c r="AA108" t="b">
        <f t="shared" si="5"/>
        <v>1</v>
      </c>
    </row>
    <row r="109" spans="1:27" ht="15.75" customHeight="1" x14ac:dyDescent="0.2">
      <c r="A109" s="1" t="s">
        <v>601</v>
      </c>
      <c r="B109" s="1" t="s">
        <v>602</v>
      </c>
      <c r="C109" s="1" t="s">
        <v>603</v>
      </c>
      <c r="D109" s="1" t="s">
        <v>72</v>
      </c>
      <c r="E109" s="1">
        <v>2015</v>
      </c>
      <c r="F109" s="1" t="s">
        <v>36</v>
      </c>
      <c r="G109" s="2" t="s">
        <v>604</v>
      </c>
      <c r="H109" s="1" t="s">
        <v>31</v>
      </c>
      <c r="I109" s="1">
        <v>20</v>
      </c>
      <c r="J109" s="1" t="b">
        <v>0</v>
      </c>
      <c r="K109" s="3" t="b">
        <v>0</v>
      </c>
      <c r="L109" s="3"/>
      <c r="M109" s="3"/>
      <c r="N109" s="3"/>
      <c r="O109" s="3"/>
      <c r="P109" s="3"/>
      <c r="Q109" s="3" t="b">
        <v>1</v>
      </c>
      <c r="R109" s="3" t="s">
        <v>605</v>
      </c>
      <c r="S109" s="1" t="str">
        <f t="shared" si="8"/>
        <v/>
      </c>
      <c r="T109" s="3"/>
      <c r="U109" s="5" t="b">
        <v>1</v>
      </c>
      <c r="W109" s="1" t="b">
        <v>0</v>
      </c>
      <c r="Z109" s="1" t="b">
        <f t="shared" si="7"/>
        <v>0</v>
      </c>
      <c r="AA109" t="b">
        <f t="shared" si="5"/>
        <v>0</v>
      </c>
    </row>
    <row r="110" spans="1:27" ht="15.75" customHeight="1" x14ac:dyDescent="0.2">
      <c r="A110" s="1" t="s">
        <v>606</v>
      </c>
      <c r="B110" s="1" t="s">
        <v>607</v>
      </c>
      <c r="C110" s="1" t="s">
        <v>608</v>
      </c>
      <c r="D110" s="1" t="s">
        <v>106</v>
      </c>
      <c r="E110" s="1">
        <v>1993</v>
      </c>
      <c r="F110" s="1" t="s">
        <v>36</v>
      </c>
      <c r="G110" s="2" t="s">
        <v>609</v>
      </c>
      <c r="H110" s="1" t="s">
        <v>181</v>
      </c>
      <c r="I110" s="1">
        <v>54</v>
      </c>
      <c r="J110" s="1" t="b">
        <v>0</v>
      </c>
      <c r="K110" s="3" t="b">
        <v>0</v>
      </c>
      <c r="L110" s="3"/>
      <c r="M110" s="3"/>
      <c r="N110" s="3"/>
      <c r="O110" s="3"/>
      <c r="P110" s="3"/>
      <c r="Q110" s="3" t="b">
        <v>0</v>
      </c>
      <c r="R110" s="3"/>
      <c r="S110" s="1" t="str">
        <f t="shared" si="8"/>
        <v/>
      </c>
      <c r="T110" s="3"/>
      <c r="U110" s="5" t="b">
        <v>0</v>
      </c>
      <c r="W110" s="1" t="b">
        <v>0</v>
      </c>
      <c r="Z110" s="1" t="b">
        <f t="shared" si="7"/>
        <v>0</v>
      </c>
      <c r="AA110" t="b">
        <f t="shared" si="5"/>
        <v>0</v>
      </c>
    </row>
    <row r="111" spans="1:27" ht="15.75" customHeight="1" x14ac:dyDescent="0.2">
      <c r="A111" s="1" t="s">
        <v>610</v>
      </c>
      <c r="B111" s="1" t="s">
        <v>611</v>
      </c>
      <c r="C111" s="1" t="s">
        <v>612</v>
      </c>
      <c r="D111" s="1" t="s">
        <v>77</v>
      </c>
      <c r="E111" s="1">
        <v>1996</v>
      </c>
      <c r="F111" s="1" t="s">
        <v>613</v>
      </c>
      <c r="G111" s="2" t="s">
        <v>614</v>
      </c>
      <c r="H111" s="1" t="s">
        <v>615</v>
      </c>
      <c r="I111" s="1">
        <v>7</v>
      </c>
      <c r="J111" s="1" t="b">
        <v>0</v>
      </c>
      <c r="K111" s="3" t="b">
        <v>0</v>
      </c>
      <c r="L111" s="3"/>
      <c r="M111" s="3"/>
      <c r="N111" s="3"/>
      <c r="O111" s="3"/>
      <c r="P111" s="3"/>
      <c r="Q111" s="3" t="b">
        <v>0</v>
      </c>
      <c r="R111" s="3"/>
      <c r="S111" s="1" t="str">
        <f t="shared" si="8"/>
        <v/>
      </c>
      <c r="T111" s="3"/>
      <c r="U111" s="5" t="b">
        <v>0</v>
      </c>
      <c r="W111" s="1" t="b">
        <v>0</v>
      </c>
      <c r="X111" s="1" t="s">
        <v>616</v>
      </c>
      <c r="Z111" s="1" t="b">
        <f t="shared" si="7"/>
        <v>0</v>
      </c>
      <c r="AA111" t="b">
        <f t="shared" si="5"/>
        <v>0</v>
      </c>
    </row>
    <row r="112" spans="1:27" ht="15.75" customHeight="1" x14ac:dyDescent="0.2">
      <c r="A112" s="1" t="s">
        <v>617</v>
      </c>
      <c r="B112" s="1" t="s">
        <v>618</v>
      </c>
      <c r="C112" s="1" t="s">
        <v>619</v>
      </c>
      <c r="D112" s="1" t="s">
        <v>120</v>
      </c>
      <c r="E112" s="1">
        <v>2014</v>
      </c>
      <c r="F112" s="1" t="s">
        <v>620</v>
      </c>
      <c r="G112" s="2" t="s">
        <v>621</v>
      </c>
      <c r="H112" s="1" t="s">
        <v>622</v>
      </c>
      <c r="I112" s="1">
        <v>47</v>
      </c>
      <c r="J112" s="1" t="b">
        <v>0</v>
      </c>
      <c r="K112" s="3" t="b">
        <v>1</v>
      </c>
      <c r="L112" s="3"/>
      <c r="M112" s="3"/>
      <c r="N112" s="3"/>
      <c r="O112" s="3"/>
      <c r="P112" s="3"/>
      <c r="Q112" s="3" t="b">
        <v>1</v>
      </c>
      <c r="R112" s="3" t="s">
        <v>623</v>
      </c>
      <c r="S112" s="1" t="str">
        <f t="shared" si="8"/>
        <v/>
      </c>
      <c r="T112" s="3"/>
      <c r="U112" s="5" t="b">
        <v>1</v>
      </c>
      <c r="W112" s="1" t="b">
        <v>1</v>
      </c>
      <c r="Z112" s="1" t="b">
        <f t="shared" si="7"/>
        <v>1</v>
      </c>
      <c r="AA112" t="b">
        <f t="shared" si="5"/>
        <v>1</v>
      </c>
    </row>
    <row r="113" spans="1:27" ht="15.75" customHeight="1" x14ac:dyDescent="0.2">
      <c r="A113" s="1" t="s">
        <v>624</v>
      </c>
      <c r="B113" s="1" t="s">
        <v>625</v>
      </c>
      <c r="C113" s="1" t="s">
        <v>626</v>
      </c>
      <c r="D113" s="1" t="s">
        <v>120</v>
      </c>
      <c r="E113" s="1">
        <v>2021</v>
      </c>
      <c r="F113" s="1" t="s">
        <v>627</v>
      </c>
      <c r="G113" s="2" t="s">
        <v>628</v>
      </c>
      <c r="H113" s="1" t="s">
        <v>98</v>
      </c>
      <c r="I113" s="1">
        <v>4</v>
      </c>
      <c r="J113" s="1" t="b">
        <v>0</v>
      </c>
      <c r="K113" s="3" t="b">
        <v>0</v>
      </c>
      <c r="L113" s="3"/>
      <c r="M113" s="3"/>
      <c r="N113" s="3"/>
      <c r="O113" s="3"/>
      <c r="P113" s="3"/>
      <c r="Q113" s="3" t="b">
        <v>0</v>
      </c>
      <c r="R113" s="3"/>
      <c r="S113" s="1" t="str">
        <f t="shared" si="8"/>
        <v/>
      </c>
      <c r="T113" s="3"/>
      <c r="U113" s="5" t="b">
        <v>0</v>
      </c>
      <c r="W113" s="1" t="b">
        <v>0</v>
      </c>
      <c r="Z113" s="1" t="b">
        <f t="shared" si="7"/>
        <v>0</v>
      </c>
      <c r="AA113" t="b">
        <f t="shared" si="5"/>
        <v>0</v>
      </c>
    </row>
    <row r="114" spans="1:27" ht="15.75" customHeight="1" x14ac:dyDescent="0.2">
      <c r="A114" s="1" t="s">
        <v>629</v>
      </c>
      <c r="B114" s="1" t="s">
        <v>630</v>
      </c>
      <c r="C114" s="1" t="s">
        <v>631</v>
      </c>
      <c r="D114" s="1" t="s">
        <v>28</v>
      </c>
      <c r="E114" s="1">
        <v>2015</v>
      </c>
      <c r="F114" s="1" t="s">
        <v>632</v>
      </c>
      <c r="G114" s="2" t="s">
        <v>633</v>
      </c>
      <c r="H114" s="1" t="s">
        <v>154</v>
      </c>
      <c r="I114" s="1">
        <v>8</v>
      </c>
      <c r="J114" s="1" t="b">
        <v>0</v>
      </c>
      <c r="K114" s="3" t="b">
        <v>0</v>
      </c>
      <c r="L114" s="3"/>
      <c r="M114" s="3"/>
      <c r="N114" s="3"/>
      <c r="O114" s="3"/>
      <c r="P114" s="3"/>
      <c r="Q114" s="3" t="b">
        <v>0</v>
      </c>
      <c r="R114" s="3"/>
      <c r="S114" s="1" t="str">
        <f t="shared" si="8"/>
        <v/>
      </c>
      <c r="T114" s="3"/>
      <c r="U114" s="5" t="b">
        <v>0</v>
      </c>
      <c r="W114" s="1" t="b">
        <v>0</v>
      </c>
      <c r="Z114" s="1" t="b">
        <f t="shared" si="7"/>
        <v>0</v>
      </c>
      <c r="AA114" t="b">
        <f t="shared" si="5"/>
        <v>0</v>
      </c>
    </row>
    <row r="115" spans="1:27" ht="15.75" customHeight="1" x14ac:dyDescent="0.2">
      <c r="A115" s="1" t="s">
        <v>634</v>
      </c>
      <c r="B115" s="1" t="s">
        <v>635</v>
      </c>
      <c r="C115" s="1" t="s">
        <v>636</v>
      </c>
      <c r="D115" s="1" t="s">
        <v>35</v>
      </c>
      <c r="E115" s="1">
        <v>2009</v>
      </c>
      <c r="F115" s="1" t="s">
        <v>36</v>
      </c>
      <c r="G115" s="2" t="s">
        <v>637</v>
      </c>
      <c r="H115" s="1" t="s">
        <v>31</v>
      </c>
      <c r="I115" s="1">
        <v>41</v>
      </c>
      <c r="J115" s="1" t="b">
        <v>0</v>
      </c>
      <c r="K115" s="3" t="b">
        <v>1</v>
      </c>
      <c r="L115" s="3"/>
      <c r="M115" s="3"/>
      <c r="N115" s="3"/>
      <c r="O115" s="3"/>
      <c r="P115" s="3"/>
      <c r="Q115" s="3" t="b">
        <v>1</v>
      </c>
      <c r="R115" s="3" t="s">
        <v>638</v>
      </c>
      <c r="S115" s="1" t="str">
        <f t="shared" si="8"/>
        <v/>
      </c>
      <c r="T115" s="3"/>
      <c r="U115" s="5" t="b">
        <v>1</v>
      </c>
      <c r="W115" s="1" t="b">
        <v>1</v>
      </c>
      <c r="Z115" s="1" t="b">
        <f t="shared" si="7"/>
        <v>1</v>
      </c>
      <c r="AA115" t="b">
        <f t="shared" si="5"/>
        <v>1</v>
      </c>
    </row>
    <row r="116" spans="1:27" ht="15.75" customHeight="1" x14ac:dyDescent="0.2">
      <c r="A116" s="1" t="s">
        <v>639</v>
      </c>
      <c r="B116" s="1" t="s">
        <v>640</v>
      </c>
      <c r="C116" s="1" t="s">
        <v>641</v>
      </c>
      <c r="D116" s="1" t="s">
        <v>35</v>
      </c>
      <c r="E116" s="1">
        <v>1998</v>
      </c>
      <c r="F116" s="1" t="s">
        <v>36</v>
      </c>
      <c r="G116" s="2" t="s">
        <v>642</v>
      </c>
      <c r="H116" s="1" t="s">
        <v>31</v>
      </c>
      <c r="I116" s="1">
        <v>157</v>
      </c>
      <c r="J116" s="1" t="b">
        <v>0</v>
      </c>
      <c r="K116" s="3" t="b">
        <v>1</v>
      </c>
      <c r="L116" s="3"/>
      <c r="M116" s="3"/>
      <c r="N116" s="3"/>
      <c r="O116" s="3"/>
      <c r="P116" s="3"/>
      <c r="Q116" s="3" t="b">
        <v>0</v>
      </c>
      <c r="R116" s="3"/>
      <c r="S116" s="1" t="str">
        <f t="shared" si="8"/>
        <v/>
      </c>
      <c r="T116" s="3"/>
      <c r="U116" s="5" t="b">
        <v>0</v>
      </c>
      <c r="W116" s="1" t="b">
        <v>0</v>
      </c>
      <c r="Z116" s="1" t="b">
        <f t="shared" si="7"/>
        <v>0</v>
      </c>
      <c r="AA116" t="b">
        <f t="shared" si="5"/>
        <v>0</v>
      </c>
    </row>
    <row r="117" spans="1:27" ht="15.75" customHeight="1" x14ac:dyDescent="0.2">
      <c r="A117" s="1" t="s">
        <v>643</v>
      </c>
      <c r="B117" s="1" t="s">
        <v>644</v>
      </c>
      <c r="C117" s="1" t="s">
        <v>645</v>
      </c>
      <c r="D117" s="1" t="s">
        <v>120</v>
      </c>
      <c r="E117" s="1">
        <v>2018</v>
      </c>
      <c r="F117" s="1" t="s">
        <v>646</v>
      </c>
      <c r="G117" s="2" t="s">
        <v>647</v>
      </c>
      <c r="H117" s="1" t="s">
        <v>154</v>
      </c>
      <c r="I117" s="1">
        <v>32</v>
      </c>
      <c r="J117" s="1" t="b">
        <v>0</v>
      </c>
      <c r="K117" s="3" t="b">
        <v>0</v>
      </c>
      <c r="L117" s="3"/>
      <c r="M117" s="3"/>
      <c r="N117" s="3"/>
      <c r="O117" s="3"/>
      <c r="P117" s="3"/>
      <c r="Q117" s="3" t="b">
        <v>0</v>
      </c>
      <c r="R117" s="3"/>
      <c r="S117" s="1" t="str">
        <f t="shared" si="8"/>
        <v/>
      </c>
      <c r="T117" s="3"/>
      <c r="U117" s="5" t="b">
        <v>0</v>
      </c>
      <c r="W117" s="1" t="b">
        <v>0</v>
      </c>
      <c r="Z117" s="1" t="b">
        <f t="shared" si="7"/>
        <v>0</v>
      </c>
      <c r="AA117" t="b">
        <f t="shared" si="5"/>
        <v>0</v>
      </c>
    </row>
    <row r="118" spans="1:27" ht="15.75" customHeight="1" x14ac:dyDescent="0.2">
      <c r="A118" s="1" t="s">
        <v>648</v>
      </c>
      <c r="B118" s="1" t="s">
        <v>649</v>
      </c>
      <c r="C118" s="1" t="s">
        <v>650</v>
      </c>
      <c r="D118" s="1" t="s">
        <v>28</v>
      </c>
      <c r="E118" s="1">
        <v>2016</v>
      </c>
      <c r="F118" s="1" t="s">
        <v>651</v>
      </c>
      <c r="G118" s="2" t="s">
        <v>652</v>
      </c>
      <c r="H118" s="1" t="s">
        <v>31</v>
      </c>
      <c r="I118" s="1">
        <v>22</v>
      </c>
      <c r="J118" s="1" t="b">
        <v>0</v>
      </c>
      <c r="K118" s="3" t="b">
        <v>0</v>
      </c>
      <c r="L118" s="3"/>
      <c r="M118" s="3"/>
      <c r="N118" s="3"/>
      <c r="O118" s="3"/>
      <c r="P118" s="3"/>
      <c r="Q118" s="3" t="b">
        <v>0</v>
      </c>
      <c r="R118" s="3"/>
      <c r="S118" s="1" t="str">
        <f t="shared" si="8"/>
        <v/>
      </c>
      <c r="T118" s="3"/>
      <c r="U118" s="5" t="b">
        <v>0</v>
      </c>
      <c r="W118" s="1" t="b">
        <v>0</v>
      </c>
      <c r="Z118" s="1" t="b">
        <f t="shared" si="7"/>
        <v>0</v>
      </c>
      <c r="AA118" t="b">
        <f t="shared" si="5"/>
        <v>0</v>
      </c>
    </row>
    <row r="119" spans="1:27" ht="15.75" customHeight="1" x14ac:dyDescent="0.2">
      <c r="A119" s="1" t="s">
        <v>653</v>
      </c>
      <c r="B119" s="1" t="s">
        <v>654</v>
      </c>
      <c r="C119" s="1" t="s">
        <v>655</v>
      </c>
      <c r="D119" s="1" t="s">
        <v>62</v>
      </c>
      <c r="E119" s="1">
        <v>2023</v>
      </c>
      <c r="F119" s="1" t="s">
        <v>36</v>
      </c>
      <c r="G119" s="2" t="s">
        <v>656</v>
      </c>
      <c r="H119" s="1" t="s">
        <v>31</v>
      </c>
      <c r="I119" s="1">
        <v>1</v>
      </c>
      <c r="J119" s="1" t="b">
        <v>0</v>
      </c>
      <c r="K119" s="3" t="b">
        <v>0</v>
      </c>
      <c r="L119" s="3"/>
      <c r="M119" s="3"/>
      <c r="N119" s="3"/>
      <c r="O119" s="3"/>
      <c r="P119" s="3"/>
      <c r="Q119" s="3" t="b">
        <v>0</v>
      </c>
      <c r="R119" s="3"/>
      <c r="S119" s="1" t="str">
        <f t="shared" si="8"/>
        <v/>
      </c>
      <c r="T119" s="3"/>
      <c r="U119" s="5" t="b">
        <v>0</v>
      </c>
      <c r="W119" s="1" t="b">
        <v>0</v>
      </c>
      <c r="Z119" s="1" t="b">
        <f t="shared" si="7"/>
        <v>0</v>
      </c>
      <c r="AA119" t="b">
        <f t="shared" si="5"/>
        <v>0</v>
      </c>
    </row>
    <row r="120" spans="1:27" ht="15.75" customHeight="1" x14ac:dyDescent="0.2">
      <c r="A120" s="1" t="s">
        <v>657</v>
      </c>
      <c r="B120" s="1" t="s">
        <v>658</v>
      </c>
      <c r="C120" s="1" t="s">
        <v>659</v>
      </c>
      <c r="D120" s="1" t="s">
        <v>120</v>
      </c>
      <c r="E120" s="1">
        <v>2024</v>
      </c>
      <c r="F120" s="1" t="s">
        <v>660</v>
      </c>
      <c r="G120" s="2" t="s">
        <v>661</v>
      </c>
      <c r="H120" s="1" t="s">
        <v>410</v>
      </c>
      <c r="I120" s="1">
        <v>0</v>
      </c>
      <c r="J120" s="1" t="b">
        <v>0</v>
      </c>
      <c r="K120" s="3" t="b">
        <v>0</v>
      </c>
      <c r="L120" s="3"/>
      <c r="M120" s="3"/>
      <c r="N120" s="3"/>
      <c r="O120" s="3"/>
      <c r="P120" s="3"/>
      <c r="Q120" s="3" t="b">
        <v>0</v>
      </c>
      <c r="R120" s="3"/>
      <c r="S120" s="1" t="str">
        <f t="shared" si="8"/>
        <v/>
      </c>
      <c r="T120" s="3"/>
      <c r="U120" s="5" t="b">
        <v>0</v>
      </c>
      <c r="W120" s="1" t="b">
        <v>0</v>
      </c>
      <c r="Z120" s="1" t="b">
        <f t="shared" si="7"/>
        <v>0</v>
      </c>
      <c r="AA120" t="b">
        <f t="shared" si="5"/>
        <v>0</v>
      </c>
    </row>
    <row r="121" spans="1:27" ht="15.75" customHeight="1" x14ac:dyDescent="0.2">
      <c r="A121" s="1" t="s">
        <v>662</v>
      </c>
      <c r="B121" s="1" t="s">
        <v>663</v>
      </c>
      <c r="C121" s="1" t="s">
        <v>664</v>
      </c>
      <c r="D121" s="1" t="s">
        <v>120</v>
      </c>
      <c r="E121" s="1">
        <v>2018</v>
      </c>
      <c r="F121" s="1" t="s">
        <v>665</v>
      </c>
      <c r="G121" s="2" t="s">
        <v>666</v>
      </c>
      <c r="H121" s="1" t="s">
        <v>31</v>
      </c>
      <c r="I121" s="1">
        <v>11</v>
      </c>
      <c r="J121" s="1" t="b">
        <v>0</v>
      </c>
      <c r="K121" s="3" t="b">
        <v>1</v>
      </c>
      <c r="L121" s="3"/>
      <c r="M121" s="3"/>
      <c r="N121" s="3"/>
      <c r="O121" s="3"/>
      <c r="P121" s="3"/>
      <c r="Q121" s="3" t="b">
        <v>1</v>
      </c>
      <c r="R121" s="3" t="s">
        <v>667</v>
      </c>
      <c r="S121" s="1" t="str">
        <f t="shared" si="8"/>
        <v/>
      </c>
      <c r="T121" s="3"/>
      <c r="U121" s="5" t="b">
        <v>1</v>
      </c>
      <c r="W121" s="1" t="b">
        <v>1</v>
      </c>
      <c r="Z121" s="1" t="b">
        <f t="shared" si="7"/>
        <v>1</v>
      </c>
      <c r="AA121" t="b">
        <f t="shared" si="5"/>
        <v>1</v>
      </c>
    </row>
    <row r="122" spans="1:27" ht="15.75" customHeight="1" x14ac:dyDescent="0.2">
      <c r="A122" s="1" t="s">
        <v>668</v>
      </c>
      <c r="B122" s="1" t="s">
        <v>669</v>
      </c>
      <c r="C122" s="1" t="s">
        <v>670</v>
      </c>
      <c r="D122" s="1" t="s">
        <v>28</v>
      </c>
      <c r="E122" s="1">
        <v>1994</v>
      </c>
      <c r="F122" s="1" t="s">
        <v>671</v>
      </c>
      <c r="G122" s="2" t="s">
        <v>672</v>
      </c>
      <c r="H122" s="1" t="s">
        <v>31</v>
      </c>
      <c r="I122" s="1">
        <v>153</v>
      </c>
      <c r="J122" s="1" t="b">
        <v>0</v>
      </c>
      <c r="K122" s="3" t="b">
        <v>1</v>
      </c>
      <c r="L122" s="3"/>
      <c r="M122" s="3"/>
      <c r="N122" s="3"/>
      <c r="O122" s="3"/>
      <c r="P122" s="3"/>
      <c r="Q122" s="3" t="b">
        <v>0</v>
      </c>
      <c r="R122" s="3"/>
      <c r="S122" s="1" t="str">
        <f t="shared" si="8"/>
        <v/>
      </c>
      <c r="T122" s="3"/>
      <c r="U122" s="5" t="b">
        <v>0</v>
      </c>
      <c r="W122" s="1" t="b">
        <v>0</v>
      </c>
      <c r="Z122" s="1" t="b">
        <f t="shared" si="7"/>
        <v>0</v>
      </c>
      <c r="AA122" t="b">
        <f t="shared" si="5"/>
        <v>0</v>
      </c>
    </row>
    <row r="123" spans="1:27" ht="15.75" customHeight="1" x14ac:dyDescent="0.2">
      <c r="A123" s="1" t="s">
        <v>673</v>
      </c>
      <c r="B123" s="1" t="s">
        <v>674</v>
      </c>
      <c r="C123" s="1" t="s">
        <v>675</v>
      </c>
      <c r="D123" s="1" t="s">
        <v>62</v>
      </c>
      <c r="E123" s="1">
        <v>2023</v>
      </c>
      <c r="F123" s="1" t="s">
        <v>36</v>
      </c>
      <c r="G123" s="2" t="s">
        <v>676</v>
      </c>
      <c r="H123" s="1" t="s">
        <v>31</v>
      </c>
      <c r="I123" s="1">
        <v>1</v>
      </c>
      <c r="J123" s="1" t="b">
        <v>0</v>
      </c>
      <c r="K123" s="3" t="b">
        <v>0</v>
      </c>
      <c r="L123" s="3"/>
      <c r="M123" s="3"/>
      <c r="N123" s="3"/>
      <c r="O123" s="3"/>
      <c r="P123" s="3"/>
      <c r="Q123" s="3" t="b">
        <v>0</v>
      </c>
      <c r="R123" s="3"/>
      <c r="S123" s="1" t="str">
        <f t="shared" si="8"/>
        <v/>
      </c>
      <c r="T123" s="3"/>
      <c r="U123" s="5" t="b">
        <v>0</v>
      </c>
      <c r="W123" s="1" t="b">
        <v>0</v>
      </c>
      <c r="Z123" s="1" t="b">
        <f t="shared" si="7"/>
        <v>0</v>
      </c>
      <c r="AA123" t="b">
        <f t="shared" si="5"/>
        <v>0</v>
      </c>
    </row>
    <row r="124" spans="1:27" ht="15.75" customHeight="1" x14ac:dyDescent="0.2">
      <c r="A124" s="1" t="s">
        <v>677</v>
      </c>
      <c r="B124" s="1" t="s">
        <v>678</v>
      </c>
      <c r="C124" s="1" t="s">
        <v>679</v>
      </c>
      <c r="D124" s="1" t="s">
        <v>120</v>
      </c>
      <c r="E124" s="1">
        <v>2012</v>
      </c>
      <c r="F124" s="1" t="s">
        <v>680</v>
      </c>
      <c r="G124" s="2" t="s">
        <v>681</v>
      </c>
      <c r="H124" s="1" t="s">
        <v>31</v>
      </c>
      <c r="I124" s="1">
        <v>108</v>
      </c>
      <c r="J124" s="1" t="b">
        <v>0</v>
      </c>
      <c r="K124" s="3" t="b">
        <v>0</v>
      </c>
      <c r="L124" s="3"/>
      <c r="M124" s="3"/>
      <c r="N124" s="3"/>
      <c r="O124" s="3"/>
      <c r="P124" s="3"/>
      <c r="Q124" s="3" t="b">
        <v>0</v>
      </c>
      <c r="R124" s="3"/>
      <c r="S124" s="1" t="str">
        <f t="shared" si="8"/>
        <v/>
      </c>
      <c r="T124" s="3"/>
      <c r="U124" s="5" t="b">
        <v>0</v>
      </c>
      <c r="W124" s="1" t="b">
        <v>0</v>
      </c>
      <c r="Z124" s="1" t="b">
        <f t="shared" si="7"/>
        <v>0</v>
      </c>
      <c r="AA124" t="b">
        <f t="shared" si="5"/>
        <v>0</v>
      </c>
    </row>
    <row r="125" spans="1:27" ht="15.75" customHeight="1" x14ac:dyDescent="0.2">
      <c r="A125" s="1" t="s">
        <v>682</v>
      </c>
      <c r="B125" s="1" t="s">
        <v>683</v>
      </c>
      <c r="C125" s="1" t="s">
        <v>684</v>
      </c>
      <c r="D125" s="1" t="s">
        <v>77</v>
      </c>
      <c r="E125" s="1">
        <v>1997</v>
      </c>
      <c r="F125" s="1" t="s">
        <v>685</v>
      </c>
      <c r="G125" s="2" t="s">
        <v>686</v>
      </c>
      <c r="H125" s="1" t="s">
        <v>687</v>
      </c>
      <c r="I125" s="1">
        <v>43</v>
      </c>
      <c r="J125" s="1" t="b">
        <v>0</v>
      </c>
      <c r="K125" s="3" t="b">
        <v>0</v>
      </c>
      <c r="L125" s="3"/>
      <c r="M125" s="3"/>
      <c r="N125" s="3"/>
      <c r="O125" s="3"/>
      <c r="P125" s="3"/>
      <c r="Q125" s="3" t="b">
        <v>0</v>
      </c>
      <c r="R125" s="3"/>
      <c r="S125" s="1" t="str">
        <f t="shared" si="8"/>
        <v/>
      </c>
      <c r="T125" s="3"/>
      <c r="U125" s="5" t="b">
        <v>0</v>
      </c>
      <c r="W125" s="1" t="b">
        <v>0</v>
      </c>
      <c r="Z125" s="1" t="b">
        <f t="shared" si="7"/>
        <v>0</v>
      </c>
      <c r="AA125" t="b">
        <f t="shared" si="5"/>
        <v>0</v>
      </c>
    </row>
    <row r="126" spans="1:27" ht="15.75" customHeight="1" x14ac:dyDescent="0.2">
      <c r="A126" s="1" t="s">
        <v>688</v>
      </c>
      <c r="B126" s="1" t="s">
        <v>689</v>
      </c>
      <c r="C126" s="1" t="s">
        <v>690</v>
      </c>
      <c r="D126" s="1" t="s">
        <v>62</v>
      </c>
      <c r="E126" s="1">
        <v>1993</v>
      </c>
      <c r="F126" s="1" t="s">
        <v>36</v>
      </c>
      <c r="G126" s="2" t="s">
        <v>691</v>
      </c>
      <c r="H126" s="1" t="s">
        <v>31</v>
      </c>
      <c r="I126" s="1">
        <v>8</v>
      </c>
      <c r="J126" s="1" t="b">
        <v>0</v>
      </c>
      <c r="K126" s="3" t="b">
        <v>1</v>
      </c>
      <c r="L126" s="3"/>
      <c r="M126" s="3"/>
      <c r="N126" s="3"/>
      <c r="O126" s="3"/>
      <c r="P126" s="3"/>
      <c r="Q126" s="3" t="b">
        <v>0</v>
      </c>
      <c r="R126" s="3"/>
      <c r="S126" s="1" t="str">
        <f t="shared" si="8"/>
        <v/>
      </c>
      <c r="T126" s="3"/>
      <c r="U126" s="5" t="b">
        <v>0</v>
      </c>
      <c r="W126" s="1" t="b">
        <v>0</v>
      </c>
      <c r="X126" s="1" t="s">
        <v>692</v>
      </c>
      <c r="Z126" s="1" t="b">
        <f t="shared" si="7"/>
        <v>0</v>
      </c>
      <c r="AA126" t="b">
        <f t="shared" si="5"/>
        <v>0</v>
      </c>
    </row>
    <row r="127" spans="1:27" ht="15.75" customHeight="1" x14ac:dyDescent="0.2">
      <c r="A127" s="1" t="s">
        <v>693</v>
      </c>
      <c r="B127" s="1" t="s">
        <v>694</v>
      </c>
      <c r="C127" s="1" t="s">
        <v>695</v>
      </c>
      <c r="D127" s="1" t="s">
        <v>72</v>
      </c>
      <c r="E127" s="1">
        <v>1990</v>
      </c>
      <c r="F127" s="1" t="s">
        <v>696</v>
      </c>
      <c r="G127" s="2" t="s">
        <v>697</v>
      </c>
      <c r="H127" s="1" t="s">
        <v>698</v>
      </c>
      <c r="I127" s="1">
        <v>4631</v>
      </c>
      <c r="J127" s="1" t="b">
        <v>0</v>
      </c>
      <c r="K127" s="3" t="b">
        <v>0</v>
      </c>
      <c r="L127" s="3"/>
      <c r="M127" s="3"/>
      <c r="N127" s="3"/>
      <c r="O127" s="3"/>
      <c r="P127" s="3"/>
      <c r="Q127" s="3" t="b">
        <v>1</v>
      </c>
      <c r="R127" s="3" t="s">
        <v>699</v>
      </c>
      <c r="S127" s="1" t="str">
        <f t="shared" si="8"/>
        <v/>
      </c>
      <c r="T127" s="3"/>
      <c r="U127" s="5" t="b">
        <v>1</v>
      </c>
      <c r="W127" s="1" t="b">
        <v>0</v>
      </c>
      <c r="Z127" s="1" t="b">
        <f t="shared" si="7"/>
        <v>0</v>
      </c>
      <c r="AA127" t="b">
        <f t="shared" si="5"/>
        <v>0</v>
      </c>
    </row>
    <row r="128" spans="1:27" ht="15.75" customHeight="1" x14ac:dyDescent="0.2">
      <c r="A128" s="1" t="s">
        <v>700</v>
      </c>
      <c r="B128" s="1" t="s">
        <v>701</v>
      </c>
      <c r="C128" s="1" t="s">
        <v>702</v>
      </c>
      <c r="D128" s="1" t="s">
        <v>120</v>
      </c>
      <c r="E128" s="1">
        <v>2010</v>
      </c>
      <c r="F128" s="1" t="s">
        <v>703</v>
      </c>
      <c r="G128" s="2" t="s">
        <v>704</v>
      </c>
      <c r="H128" s="1" t="s">
        <v>31</v>
      </c>
      <c r="I128" s="1">
        <v>52</v>
      </c>
      <c r="J128" s="1" t="b">
        <v>0</v>
      </c>
      <c r="K128" s="3" t="b">
        <v>1</v>
      </c>
      <c r="L128" s="3"/>
      <c r="M128" s="3"/>
      <c r="N128" s="3"/>
      <c r="O128" s="3"/>
      <c r="P128" s="3"/>
      <c r="Q128" s="3" t="b">
        <v>1</v>
      </c>
      <c r="R128" s="3" t="s">
        <v>705</v>
      </c>
      <c r="S128" s="1" t="str">
        <f t="shared" si="8"/>
        <v/>
      </c>
      <c r="T128" s="3"/>
      <c r="U128" s="5" t="b">
        <v>1</v>
      </c>
      <c r="W128" s="1" t="b">
        <v>1</v>
      </c>
      <c r="Z128" s="1" t="b">
        <f t="shared" si="7"/>
        <v>1</v>
      </c>
      <c r="AA128" t="b">
        <f t="shared" si="5"/>
        <v>1</v>
      </c>
    </row>
    <row r="129" spans="1:28" ht="15.75" customHeight="1" x14ac:dyDescent="0.2">
      <c r="A129" s="1" t="s">
        <v>706</v>
      </c>
      <c r="B129" s="1" t="s">
        <v>707</v>
      </c>
      <c r="C129" s="1" t="s">
        <v>708</v>
      </c>
      <c r="D129" s="1" t="s">
        <v>179</v>
      </c>
      <c r="E129" s="1">
        <v>2023</v>
      </c>
      <c r="F129" s="1" t="s">
        <v>709</v>
      </c>
      <c r="G129" s="2" t="s">
        <v>710</v>
      </c>
      <c r="H129" s="1" t="s">
        <v>134</v>
      </c>
      <c r="I129" s="1">
        <v>3</v>
      </c>
      <c r="J129" s="1" t="b">
        <v>0</v>
      </c>
      <c r="K129" s="3" t="b">
        <v>0</v>
      </c>
      <c r="L129" s="3"/>
      <c r="M129" s="3"/>
      <c r="N129" s="3"/>
      <c r="O129" s="3"/>
      <c r="P129" s="3"/>
      <c r="Q129" s="3" t="b">
        <v>0</v>
      </c>
      <c r="R129" s="3"/>
      <c r="S129" s="1" t="str">
        <f t="shared" si="8"/>
        <v/>
      </c>
      <c r="T129" s="3"/>
      <c r="U129" s="5" t="b">
        <v>0</v>
      </c>
      <c r="W129" s="1" t="b">
        <v>0</v>
      </c>
      <c r="Z129" s="1" t="b">
        <f t="shared" si="7"/>
        <v>0</v>
      </c>
      <c r="AA129" t="b">
        <f t="shared" si="5"/>
        <v>0</v>
      </c>
    </row>
    <row r="130" spans="1:28" ht="15.75" customHeight="1" x14ac:dyDescent="0.2">
      <c r="A130" s="1" t="s">
        <v>711</v>
      </c>
      <c r="B130" s="1" t="s">
        <v>712</v>
      </c>
      <c r="C130" s="1" t="s">
        <v>713</v>
      </c>
      <c r="D130" s="1" t="s">
        <v>35</v>
      </c>
      <c r="E130" s="1">
        <v>2014</v>
      </c>
      <c r="F130" s="1" t="s">
        <v>36</v>
      </c>
      <c r="G130" s="2" t="s">
        <v>714</v>
      </c>
      <c r="H130" s="1" t="s">
        <v>31</v>
      </c>
      <c r="I130" s="1">
        <v>50</v>
      </c>
      <c r="J130" s="1" t="b">
        <v>0</v>
      </c>
      <c r="K130" s="3" t="b">
        <v>1</v>
      </c>
      <c r="L130" s="3"/>
      <c r="M130" s="3"/>
      <c r="N130" s="3"/>
      <c r="O130" s="3"/>
      <c r="P130" s="3"/>
      <c r="Q130" s="3" t="b">
        <v>1</v>
      </c>
      <c r="R130" s="3" t="s">
        <v>715</v>
      </c>
      <c r="S130" s="1" t="str">
        <f t="shared" si="8"/>
        <v/>
      </c>
      <c r="T130" s="3"/>
      <c r="U130" s="5" t="b">
        <v>1</v>
      </c>
      <c r="W130" s="1" t="b">
        <v>1</v>
      </c>
      <c r="Z130" s="1" t="b">
        <f t="shared" si="7"/>
        <v>1</v>
      </c>
      <c r="AA130" t="b">
        <f t="shared" si="5"/>
        <v>1</v>
      </c>
    </row>
    <row r="131" spans="1:28" ht="15.75" customHeight="1" x14ac:dyDescent="0.2">
      <c r="A131" s="1" t="s">
        <v>716</v>
      </c>
      <c r="B131" s="1" t="s">
        <v>717</v>
      </c>
      <c r="C131" s="1" t="s">
        <v>718</v>
      </c>
      <c r="D131" s="1" t="s">
        <v>62</v>
      </c>
      <c r="E131" s="1">
        <v>2015</v>
      </c>
      <c r="F131" s="1" t="s">
        <v>36</v>
      </c>
      <c r="G131" s="2" t="s">
        <v>719</v>
      </c>
      <c r="H131" s="1" t="s">
        <v>31</v>
      </c>
      <c r="I131" s="1">
        <v>9</v>
      </c>
      <c r="J131" s="1" t="b">
        <v>0</v>
      </c>
      <c r="K131" s="3" t="b">
        <v>1</v>
      </c>
      <c r="L131" s="3"/>
      <c r="M131" s="3"/>
      <c r="N131" s="3"/>
      <c r="O131" s="3"/>
      <c r="P131" s="3"/>
      <c r="Q131" s="3" t="b">
        <v>1</v>
      </c>
      <c r="R131" s="3" t="s">
        <v>720</v>
      </c>
      <c r="S131" s="1" t="str">
        <f t="shared" si="8"/>
        <v/>
      </c>
      <c r="T131" s="3"/>
      <c r="U131" s="5" t="b">
        <v>1</v>
      </c>
      <c r="W131" s="1" t="b">
        <v>1</v>
      </c>
      <c r="Z131" s="1" t="b">
        <f t="shared" si="7"/>
        <v>1</v>
      </c>
      <c r="AA131" t="b">
        <f t="shared" ref="AA131:AA133" si="9">Z131</f>
        <v>1</v>
      </c>
    </row>
    <row r="132" spans="1:28" ht="15.75" customHeight="1" x14ac:dyDescent="0.2">
      <c r="A132" s="1" t="s">
        <v>721</v>
      </c>
      <c r="B132" s="1" t="s">
        <v>722</v>
      </c>
      <c r="C132" s="1" t="s">
        <v>723</v>
      </c>
      <c r="D132" s="1" t="s">
        <v>179</v>
      </c>
      <c r="E132" s="1">
        <v>1998</v>
      </c>
      <c r="F132" s="1" t="s">
        <v>36</v>
      </c>
      <c r="G132" s="2" t="s">
        <v>724</v>
      </c>
      <c r="H132" s="1" t="s">
        <v>725</v>
      </c>
      <c r="I132" s="1">
        <v>15</v>
      </c>
      <c r="J132" s="1" t="b">
        <v>0</v>
      </c>
      <c r="K132" s="3" t="b">
        <v>0</v>
      </c>
      <c r="L132" s="3"/>
      <c r="M132" s="3"/>
      <c r="N132" s="3"/>
      <c r="O132" s="3"/>
      <c r="P132" s="3"/>
      <c r="Q132" s="3" t="b">
        <v>0</v>
      </c>
      <c r="R132" s="3"/>
      <c r="S132" s="1" t="str">
        <f t="shared" si="8"/>
        <v/>
      </c>
      <c r="T132" s="3"/>
      <c r="U132" s="5" t="b">
        <v>0</v>
      </c>
      <c r="W132" s="1" t="b">
        <v>0</v>
      </c>
      <c r="Z132" s="1" t="b">
        <f t="shared" si="7"/>
        <v>0</v>
      </c>
      <c r="AA132" t="b">
        <f t="shared" si="9"/>
        <v>0</v>
      </c>
    </row>
    <row r="133" spans="1:28" ht="15.75" customHeight="1" x14ac:dyDescent="0.2">
      <c r="A133" s="1" t="s">
        <v>726</v>
      </c>
      <c r="B133" s="1" t="s">
        <v>727</v>
      </c>
      <c r="C133" s="1" t="s">
        <v>728</v>
      </c>
      <c r="D133" s="1" t="s">
        <v>35</v>
      </c>
      <c r="E133" s="1">
        <v>2000</v>
      </c>
      <c r="F133" s="1" t="s">
        <v>36</v>
      </c>
      <c r="G133" s="2" t="s">
        <v>729</v>
      </c>
      <c r="H133" s="1" t="s">
        <v>31</v>
      </c>
      <c r="I133" s="1">
        <v>45</v>
      </c>
      <c r="J133" s="1" t="b">
        <v>0</v>
      </c>
      <c r="K133" s="3" t="b">
        <v>0</v>
      </c>
      <c r="L133" s="3"/>
      <c r="M133" s="3"/>
      <c r="N133" s="3"/>
      <c r="O133" s="3"/>
      <c r="P133" s="3"/>
      <c r="Q133" s="3" t="b">
        <v>0</v>
      </c>
      <c r="R133" s="3"/>
      <c r="S133" s="1" t="str">
        <f t="shared" si="8"/>
        <v/>
      </c>
      <c r="T133" s="3"/>
      <c r="U133" s="5" t="b">
        <v>0</v>
      </c>
      <c r="W133" s="1" t="b">
        <v>0</v>
      </c>
      <c r="Z133" s="1" t="b">
        <f t="shared" si="7"/>
        <v>0</v>
      </c>
      <c r="AA133" t="b">
        <f t="shared" si="9"/>
        <v>0</v>
      </c>
    </row>
    <row r="134" spans="1:28" ht="15.75" customHeight="1" x14ac:dyDescent="0.2">
      <c r="A134" s="1" t="s">
        <v>730</v>
      </c>
      <c r="B134" s="1" t="s">
        <v>731</v>
      </c>
      <c r="C134" s="1" t="s">
        <v>732</v>
      </c>
      <c r="D134" s="1" t="s">
        <v>227</v>
      </c>
      <c r="E134" s="1">
        <v>2007</v>
      </c>
      <c r="F134" s="1" t="s">
        <v>733</v>
      </c>
      <c r="G134" s="2" t="s">
        <v>734</v>
      </c>
      <c r="H134" s="1" t="s">
        <v>80</v>
      </c>
      <c r="I134" s="1">
        <v>56</v>
      </c>
      <c r="J134" s="1" t="b">
        <v>0</v>
      </c>
      <c r="K134" s="3" t="b">
        <v>0</v>
      </c>
      <c r="L134" s="3"/>
      <c r="M134" s="3"/>
      <c r="N134" s="3"/>
      <c r="O134" s="3"/>
      <c r="P134" s="3"/>
      <c r="Q134" s="3" t="b">
        <v>0</v>
      </c>
      <c r="R134" s="3"/>
      <c r="S134" s="1" t="str">
        <f t="shared" si="8"/>
        <v/>
      </c>
      <c r="T134" s="3"/>
      <c r="U134" s="5" t="b">
        <v>0</v>
      </c>
      <c r="W134" s="1" t="b">
        <v>0</v>
      </c>
      <c r="Z134" s="1" t="b">
        <f t="shared" si="7"/>
        <v>0</v>
      </c>
      <c r="AA134" s="1" t="b">
        <f>Z134</f>
        <v>0</v>
      </c>
    </row>
    <row r="135" spans="1:28" ht="15.75" customHeight="1" x14ac:dyDescent="0.2">
      <c r="A135" s="1" t="s">
        <v>735</v>
      </c>
      <c r="B135" s="1" t="s">
        <v>736</v>
      </c>
      <c r="C135" s="1" t="s">
        <v>737</v>
      </c>
      <c r="D135" s="1" t="s">
        <v>35</v>
      </c>
      <c r="E135" s="1">
        <v>2013</v>
      </c>
      <c r="F135" s="1" t="s">
        <v>36</v>
      </c>
      <c r="G135" s="2" t="s">
        <v>738</v>
      </c>
      <c r="H135" s="1" t="s">
        <v>31</v>
      </c>
      <c r="I135" s="1">
        <v>45</v>
      </c>
      <c r="J135" s="1" t="b">
        <v>0</v>
      </c>
      <c r="K135" s="3" t="b">
        <v>1</v>
      </c>
      <c r="L135" s="3"/>
      <c r="M135" s="3"/>
      <c r="N135" s="3"/>
      <c r="O135" s="3"/>
      <c r="P135" s="3"/>
      <c r="Q135" s="3" t="b">
        <v>1</v>
      </c>
      <c r="R135" s="3" t="s">
        <v>739</v>
      </c>
      <c r="S135" s="1" t="str">
        <f t="shared" si="8"/>
        <v/>
      </c>
      <c r="T135" s="3"/>
      <c r="U135" s="5" t="b">
        <v>1</v>
      </c>
      <c r="W135" s="1" t="b">
        <v>1</v>
      </c>
      <c r="Z135" s="1" t="b">
        <f t="shared" si="7"/>
        <v>1</v>
      </c>
      <c r="AA135" s="1" t="b">
        <f t="shared" ref="AA135:AA198" si="10">Z135</f>
        <v>1</v>
      </c>
    </row>
    <row r="136" spans="1:28" ht="15.75" customHeight="1" x14ac:dyDescent="0.2">
      <c r="A136" s="1" t="s">
        <v>740</v>
      </c>
      <c r="B136" s="1" t="s">
        <v>741</v>
      </c>
      <c r="C136" s="1" t="s">
        <v>742</v>
      </c>
      <c r="D136" s="1" t="s">
        <v>28</v>
      </c>
      <c r="E136" s="1">
        <v>2020</v>
      </c>
      <c r="F136" s="1" t="s">
        <v>743</v>
      </c>
      <c r="G136" s="2" t="s">
        <v>744</v>
      </c>
      <c r="H136" s="1" t="s">
        <v>80</v>
      </c>
      <c r="I136" s="1">
        <v>20</v>
      </c>
      <c r="J136" s="1" t="b">
        <v>0</v>
      </c>
      <c r="K136" s="3" t="b">
        <v>0</v>
      </c>
      <c r="L136" s="3"/>
      <c r="M136" s="3"/>
      <c r="N136" s="3"/>
      <c r="O136" s="3"/>
      <c r="P136" s="3"/>
      <c r="Q136" s="3" t="b">
        <v>0</v>
      </c>
      <c r="R136" s="3"/>
      <c r="S136" s="1" t="str">
        <f t="shared" si="8"/>
        <v/>
      </c>
      <c r="T136" s="3"/>
      <c r="U136" s="5" t="b">
        <v>0</v>
      </c>
      <c r="W136" s="1" t="b">
        <v>0</v>
      </c>
      <c r="Z136" s="1" t="b">
        <f t="shared" si="7"/>
        <v>0</v>
      </c>
      <c r="AA136" s="1" t="b">
        <f t="shared" si="10"/>
        <v>0</v>
      </c>
    </row>
    <row r="137" spans="1:28" ht="15.75" customHeight="1" x14ac:dyDescent="0.2">
      <c r="A137" s="1" t="s">
        <v>745</v>
      </c>
      <c r="B137" s="1" t="s">
        <v>746</v>
      </c>
      <c r="C137" s="1" t="s">
        <v>747</v>
      </c>
      <c r="D137" s="1" t="s">
        <v>62</v>
      </c>
      <c r="E137" s="1">
        <v>2016</v>
      </c>
      <c r="F137" s="1" t="s">
        <v>36</v>
      </c>
      <c r="G137" s="2" t="s">
        <v>748</v>
      </c>
      <c r="H137" s="1" t="s">
        <v>31</v>
      </c>
      <c r="I137" s="1">
        <v>33</v>
      </c>
      <c r="J137" s="1" t="b">
        <v>0</v>
      </c>
      <c r="K137" s="3" t="b">
        <v>0</v>
      </c>
      <c r="L137" s="3"/>
      <c r="M137" s="3"/>
      <c r="N137" s="3"/>
      <c r="O137" s="3"/>
      <c r="P137" s="3"/>
      <c r="Q137" s="3" t="b">
        <v>0</v>
      </c>
      <c r="R137" s="3"/>
      <c r="S137" s="1" t="str">
        <f t="shared" si="8"/>
        <v/>
      </c>
      <c r="T137" s="3"/>
      <c r="U137" s="5" t="b">
        <v>0</v>
      </c>
      <c r="W137" s="1" t="b">
        <v>0</v>
      </c>
      <c r="Z137" s="1" t="b">
        <f t="shared" si="7"/>
        <v>0</v>
      </c>
      <c r="AA137" s="1" t="b">
        <f t="shared" si="10"/>
        <v>0</v>
      </c>
    </row>
    <row r="138" spans="1:28" ht="15.75" customHeight="1" x14ac:dyDescent="0.2">
      <c r="A138" s="1" t="s">
        <v>749</v>
      </c>
      <c r="B138" s="1" t="s">
        <v>750</v>
      </c>
      <c r="C138" s="1" t="s">
        <v>751</v>
      </c>
      <c r="D138" s="1" t="s">
        <v>72</v>
      </c>
      <c r="E138" s="1">
        <v>1997</v>
      </c>
      <c r="F138" s="1" t="s">
        <v>752</v>
      </c>
      <c r="G138" s="2" t="s">
        <v>753</v>
      </c>
      <c r="H138" s="1" t="s">
        <v>31</v>
      </c>
      <c r="I138" s="1">
        <v>16</v>
      </c>
      <c r="J138" s="1" t="b">
        <v>0</v>
      </c>
      <c r="K138" s="3" t="b">
        <v>0</v>
      </c>
      <c r="L138" s="3"/>
      <c r="M138" s="3"/>
      <c r="N138" s="3"/>
      <c r="O138" s="3"/>
      <c r="P138" s="3"/>
      <c r="Q138" s="3" t="b">
        <v>0</v>
      </c>
      <c r="R138" s="3"/>
      <c r="S138" s="1" t="str">
        <f t="shared" si="8"/>
        <v/>
      </c>
      <c r="T138" s="3"/>
      <c r="U138" s="5" t="b">
        <v>0</v>
      </c>
      <c r="W138" s="1" t="b">
        <v>0</v>
      </c>
      <c r="X138" s="1" t="s">
        <v>754</v>
      </c>
      <c r="Z138" s="1" t="b">
        <f t="shared" si="7"/>
        <v>0</v>
      </c>
      <c r="AA138" s="1"/>
      <c r="AB138" s="1" t="s">
        <v>755</v>
      </c>
    </row>
    <row r="139" spans="1:28" ht="15.75" customHeight="1" x14ac:dyDescent="0.2">
      <c r="A139" s="1" t="s">
        <v>756</v>
      </c>
      <c r="B139" s="1" t="s">
        <v>757</v>
      </c>
      <c r="C139" s="1" t="s">
        <v>758</v>
      </c>
      <c r="D139" s="1" t="s">
        <v>28</v>
      </c>
      <c r="E139" s="1">
        <v>1997</v>
      </c>
      <c r="F139" s="1" t="s">
        <v>759</v>
      </c>
      <c r="G139" s="2" t="s">
        <v>760</v>
      </c>
      <c r="H139" s="1" t="s">
        <v>280</v>
      </c>
      <c r="I139" s="1">
        <v>22</v>
      </c>
      <c r="J139" s="1" t="b">
        <v>0</v>
      </c>
      <c r="K139" s="3" t="b">
        <v>0</v>
      </c>
      <c r="L139" s="3"/>
      <c r="M139" s="3"/>
      <c r="N139" s="3"/>
      <c r="O139" s="3"/>
      <c r="P139" s="3"/>
      <c r="Q139" s="3" t="b">
        <v>0</v>
      </c>
      <c r="R139" s="3"/>
      <c r="S139" s="1" t="str">
        <f t="shared" si="8"/>
        <v/>
      </c>
      <c r="T139" s="3"/>
      <c r="U139" s="5" t="b">
        <v>0</v>
      </c>
      <c r="W139" s="1" t="b">
        <v>0</v>
      </c>
      <c r="Z139" s="1" t="b">
        <f t="shared" si="7"/>
        <v>0</v>
      </c>
      <c r="AA139" s="1" t="b">
        <f t="shared" si="10"/>
        <v>0</v>
      </c>
    </row>
    <row r="140" spans="1:28" ht="15.75" customHeight="1" x14ac:dyDescent="0.2">
      <c r="A140" s="1" t="s">
        <v>761</v>
      </c>
      <c r="B140" s="1" t="s">
        <v>762</v>
      </c>
      <c r="C140" s="1" t="s">
        <v>763</v>
      </c>
      <c r="D140" s="1" t="s">
        <v>35</v>
      </c>
      <c r="E140" s="1">
        <v>2010</v>
      </c>
      <c r="F140" s="1" t="s">
        <v>36</v>
      </c>
      <c r="G140" s="2" t="s">
        <v>764</v>
      </c>
      <c r="H140" s="1" t="s">
        <v>31</v>
      </c>
      <c r="I140" s="1">
        <v>8</v>
      </c>
      <c r="J140" s="1" t="b">
        <v>0</v>
      </c>
      <c r="K140" s="3" t="b">
        <v>0</v>
      </c>
      <c r="L140" s="3"/>
      <c r="M140" s="3"/>
      <c r="N140" s="3"/>
      <c r="O140" s="3"/>
      <c r="P140" s="3"/>
      <c r="Q140" s="3" t="b">
        <v>0</v>
      </c>
      <c r="R140" s="3"/>
      <c r="S140" s="1" t="str">
        <f t="shared" si="8"/>
        <v/>
      </c>
      <c r="T140" s="3"/>
      <c r="U140" s="5" t="b">
        <v>0</v>
      </c>
      <c r="W140" s="1" t="b">
        <v>0</v>
      </c>
      <c r="Z140" s="1" t="b">
        <f t="shared" si="7"/>
        <v>0</v>
      </c>
      <c r="AA140" s="1" t="b">
        <f t="shared" si="10"/>
        <v>0</v>
      </c>
    </row>
    <row r="141" spans="1:28" ht="15.75" customHeight="1" x14ac:dyDescent="0.2">
      <c r="A141" s="1" t="s">
        <v>765</v>
      </c>
      <c r="B141" s="1" t="s">
        <v>766</v>
      </c>
      <c r="C141" s="1" t="s">
        <v>767</v>
      </c>
      <c r="D141" s="1" t="s">
        <v>28</v>
      </c>
      <c r="E141" s="1">
        <v>1999</v>
      </c>
      <c r="F141" s="1" t="s">
        <v>768</v>
      </c>
      <c r="G141" s="2" t="s">
        <v>769</v>
      </c>
      <c r="H141" s="1" t="s">
        <v>154</v>
      </c>
      <c r="I141" s="1">
        <v>227</v>
      </c>
      <c r="J141" s="1" t="b">
        <v>0</v>
      </c>
      <c r="K141" s="3" t="b">
        <v>0</v>
      </c>
      <c r="L141" s="3"/>
      <c r="M141" s="3"/>
      <c r="N141" s="3"/>
      <c r="O141" s="3"/>
      <c r="P141" s="3"/>
      <c r="Q141" s="3" t="b">
        <v>0</v>
      </c>
      <c r="R141" s="3"/>
      <c r="S141" s="1" t="str">
        <f t="shared" si="8"/>
        <v/>
      </c>
      <c r="T141" s="3"/>
      <c r="U141" s="5" t="b">
        <v>0</v>
      </c>
      <c r="W141" s="1" t="b">
        <v>0</v>
      </c>
      <c r="Z141" s="1" t="b">
        <f t="shared" si="7"/>
        <v>0</v>
      </c>
      <c r="AA141" s="1" t="b">
        <f t="shared" si="10"/>
        <v>0</v>
      </c>
    </row>
    <row r="142" spans="1:28" ht="15.75" customHeight="1" x14ac:dyDescent="0.2">
      <c r="A142" s="1" t="s">
        <v>770</v>
      </c>
      <c r="B142" s="1" t="s">
        <v>771</v>
      </c>
      <c r="C142" s="1" t="s">
        <v>772</v>
      </c>
      <c r="D142" s="1" t="s">
        <v>120</v>
      </c>
      <c r="E142" s="1">
        <v>2013</v>
      </c>
      <c r="F142" s="1" t="s">
        <v>773</v>
      </c>
      <c r="G142" s="2" t="s">
        <v>774</v>
      </c>
      <c r="H142" s="1" t="s">
        <v>219</v>
      </c>
      <c r="I142" s="1">
        <v>51</v>
      </c>
      <c r="J142" s="1" t="b">
        <v>0</v>
      </c>
      <c r="K142" s="3" t="b">
        <v>0</v>
      </c>
      <c r="L142" s="3"/>
      <c r="M142" s="3"/>
      <c r="N142" s="3"/>
      <c r="O142" s="3"/>
      <c r="P142" s="3"/>
      <c r="Q142" s="3" t="b">
        <v>0</v>
      </c>
      <c r="R142" s="3"/>
      <c r="S142" s="1" t="str">
        <f t="shared" si="8"/>
        <v/>
      </c>
      <c r="T142" s="3"/>
      <c r="U142" s="5" t="b">
        <v>0</v>
      </c>
      <c r="W142" s="1" t="b">
        <v>0</v>
      </c>
      <c r="Z142" s="1" t="b">
        <f t="shared" si="7"/>
        <v>0</v>
      </c>
      <c r="AA142" s="1" t="b">
        <f t="shared" si="10"/>
        <v>0</v>
      </c>
    </row>
    <row r="143" spans="1:28" ht="15.75" customHeight="1" x14ac:dyDescent="0.2">
      <c r="A143" s="1" t="s">
        <v>775</v>
      </c>
      <c r="B143" s="1" t="s">
        <v>776</v>
      </c>
      <c r="C143" s="1" t="s">
        <v>777</v>
      </c>
      <c r="D143" s="1" t="s">
        <v>28</v>
      </c>
      <c r="E143" s="1">
        <v>1998</v>
      </c>
      <c r="F143" s="1" t="s">
        <v>778</v>
      </c>
      <c r="G143" s="2" t="s">
        <v>779</v>
      </c>
      <c r="H143" s="1" t="s">
        <v>31</v>
      </c>
      <c r="I143" s="1">
        <v>7</v>
      </c>
      <c r="J143" s="1" t="b">
        <v>0</v>
      </c>
      <c r="K143" s="3" t="b">
        <v>0</v>
      </c>
      <c r="L143" s="3"/>
      <c r="M143" s="3"/>
      <c r="N143" s="3"/>
      <c r="O143" s="3"/>
      <c r="P143" s="3" t="b">
        <v>0</v>
      </c>
      <c r="Q143" s="3" t="b">
        <v>0</v>
      </c>
      <c r="R143" s="3"/>
      <c r="S143" s="1" t="str">
        <f t="shared" si="8"/>
        <v/>
      </c>
      <c r="T143" s="3"/>
      <c r="U143" s="5" t="b">
        <v>1</v>
      </c>
      <c r="W143" s="1" t="b">
        <v>0</v>
      </c>
      <c r="Z143" s="1" t="b">
        <f t="shared" si="7"/>
        <v>0</v>
      </c>
      <c r="AA143" s="1" t="b">
        <f t="shared" si="10"/>
        <v>0</v>
      </c>
    </row>
    <row r="144" spans="1:28" ht="15.75" customHeight="1" x14ac:dyDescent="0.2">
      <c r="A144" s="1" t="s">
        <v>780</v>
      </c>
      <c r="B144" s="1" t="s">
        <v>781</v>
      </c>
      <c r="C144" s="1" t="s">
        <v>782</v>
      </c>
      <c r="D144" s="1" t="s">
        <v>120</v>
      </c>
      <c r="E144" s="1">
        <v>1999</v>
      </c>
      <c r="F144" s="1" t="s">
        <v>783</v>
      </c>
      <c r="G144" s="2" t="s">
        <v>784</v>
      </c>
      <c r="H144" s="1" t="s">
        <v>280</v>
      </c>
      <c r="I144" s="1">
        <v>81</v>
      </c>
      <c r="J144" s="1" t="b">
        <v>0</v>
      </c>
      <c r="K144" s="3" t="b">
        <v>0</v>
      </c>
      <c r="L144" s="3"/>
      <c r="M144" s="3"/>
      <c r="N144" s="3"/>
      <c r="O144" s="3"/>
      <c r="P144" s="3"/>
      <c r="Q144" s="3" t="b">
        <v>0</v>
      </c>
      <c r="R144" s="3"/>
      <c r="S144" s="1" t="str">
        <f t="shared" si="8"/>
        <v/>
      </c>
      <c r="T144" s="3"/>
      <c r="U144" s="5" t="b">
        <v>0</v>
      </c>
      <c r="W144" s="1" t="b">
        <v>0</v>
      </c>
      <c r="Z144" s="1" t="b">
        <f t="shared" si="7"/>
        <v>0</v>
      </c>
      <c r="AA144" s="1" t="b">
        <f t="shared" si="10"/>
        <v>0</v>
      </c>
    </row>
    <row r="145" spans="1:27" ht="15.75" customHeight="1" x14ac:dyDescent="0.2">
      <c r="A145" s="1" t="s">
        <v>785</v>
      </c>
      <c r="B145" s="1" t="s">
        <v>786</v>
      </c>
      <c r="C145" s="1" t="s">
        <v>787</v>
      </c>
      <c r="D145" s="1" t="s">
        <v>120</v>
      </c>
      <c r="E145" s="1">
        <v>2015</v>
      </c>
      <c r="F145" s="1" t="s">
        <v>788</v>
      </c>
      <c r="G145" s="2" t="s">
        <v>789</v>
      </c>
      <c r="H145" s="1" t="s">
        <v>790</v>
      </c>
      <c r="I145" s="1">
        <v>39</v>
      </c>
      <c r="J145" s="1" t="b">
        <v>0</v>
      </c>
      <c r="K145" s="3" t="b">
        <v>0</v>
      </c>
      <c r="L145" s="3"/>
      <c r="M145" s="3"/>
      <c r="N145" s="3"/>
      <c r="O145" s="3"/>
      <c r="P145" s="3"/>
      <c r="Q145" s="3" t="b">
        <v>0</v>
      </c>
      <c r="R145" s="3"/>
      <c r="S145" s="1" t="str">
        <f t="shared" si="8"/>
        <v/>
      </c>
      <c r="T145" s="3"/>
      <c r="U145" s="5" t="b">
        <v>0</v>
      </c>
      <c r="W145" s="1" t="b">
        <v>0</v>
      </c>
      <c r="Z145" s="1" t="b">
        <f t="shared" si="7"/>
        <v>0</v>
      </c>
      <c r="AA145" s="1" t="b">
        <f t="shared" si="10"/>
        <v>0</v>
      </c>
    </row>
    <row r="146" spans="1:27" ht="15.75" customHeight="1" x14ac:dyDescent="0.2">
      <c r="A146" s="1" t="s">
        <v>791</v>
      </c>
      <c r="B146" s="1" t="s">
        <v>792</v>
      </c>
      <c r="C146" s="1" t="s">
        <v>793</v>
      </c>
      <c r="D146" s="1" t="s">
        <v>49</v>
      </c>
      <c r="E146" s="1">
        <v>2018</v>
      </c>
      <c r="F146" s="1" t="s">
        <v>36</v>
      </c>
      <c r="G146" s="2" t="s">
        <v>794</v>
      </c>
      <c r="H146" s="1" t="s">
        <v>181</v>
      </c>
      <c r="I146" s="1">
        <v>40</v>
      </c>
      <c r="J146" s="1" t="b">
        <v>0</v>
      </c>
      <c r="K146" s="3" t="b">
        <v>0</v>
      </c>
      <c r="L146" s="3"/>
      <c r="M146" s="3"/>
      <c r="N146" s="3"/>
      <c r="O146" s="3"/>
      <c r="P146" s="3"/>
      <c r="Q146" s="3" t="b">
        <v>0</v>
      </c>
      <c r="R146" s="3"/>
      <c r="S146" s="1" t="str">
        <f t="shared" si="8"/>
        <v/>
      </c>
      <c r="T146" s="3"/>
      <c r="U146" s="5" t="b">
        <v>0</v>
      </c>
      <c r="W146" s="1" t="b">
        <v>0</v>
      </c>
      <c r="Z146" s="1" t="b">
        <f t="shared" si="7"/>
        <v>0</v>
      </c>
      <c r="AA146" s="1" t="b">
        <f t="shared" si="10"/>
        <v>0</v>
      </c>
    </row>
    <row r="147" spans="1:27" ht="15.75" customHeight="1" x14ac:dyDescent="0.2">
      <c r="A147" s="1" t="s">
        <v>795</v>
      </c>
      <c r="B147" s="1" t="s">
        <v>796</v>
      </c>
      <c r="C147" s="1" t="s">
        <v>797</v>
      </c>
      <c r="D147" s="1" t="s">
        <v>62</v>
      </c>
      <c r="E147" s="1">
        <v>1999</v>
      </c>
      <c r="F147" s="1" t="s">
        <v>36</v>
      </c>
      <c r="G147" s="2" t="s">
        <v>798</v>
      </c>
      <c r="H147" s="1" t="s">
        <v>31</v>
      </c>
      <c r="I147" s="1">
        <v>47</v>
      </c>
      <c r="J147" s="1" t="b">
        <v>0</v>
      </c>
      <c r="K147" s="3" t="b">
        <v>0</v>
      </c>
      <c r="L147" s="3"/>
      <c r="M147" s="3"/>
      <c r="N147" s="3"/>
      <c r="O147" s="3"/>
      <c r="P147" s="3"/>
      <c r="Q147" s="3" t="b">
        <v>0</v>
      </c>
      <c r="R147" s="3"/>
      <c r="S147" s="1" t="str">
        <f t="shared" si="8"/>
        <v/>
      </c>
      <c r="T147" s="3"/>
      <c r="U147" s="5" t="b">
        <v>0</v>
      </c>
      <c r="W147" s="1" t="b">
        <v>0</v>
      </c>
      <c r="Z147" s="1" t="b">
        <f t="shared" si="7"/>
        <v>0</v>
      </c>
      <c r="AA147" s="1" t="b">
        <f t="shared" si="10"/>
        <v>0</v>
      </c>
    </row>
    <row r="148" spans="1:27" ht="15.75" customHeight="1" x14ac:dyDescent="0.2">
      <c r="A148" s="1" t="s">
        <v>799</v>
      </c>
      <c r="B148" s="1" t="s">
        <v>800</v>
      </c>
      <c r="C148" s="1" t="s">
        <v>801</v>
      </c>
      <c r="D148" s="1" t="s">
        <v>179</v>
      </c>
      <c r="E148" s="1">
        <v>2019</v>
      </c>
      <c r="F148" s="1" t="s">
        <v>802</v>
      </c>
      <c r="G148" s="2" t="s">
        <v>803</v>
      </c>
      <c r="H148" s="1" t="s">
        <v>181</v>
      </c>
      <c r="I148" s="1">
        <v>20</v>
      </c>
      <c r="J148" s="1" t="b">
        <v>0</v>
      </c>
      <c r="K148" s="3" t="b">
        <v>1</v>
      </c>
      <c r="L148" s="3"/>
      <c r="M148" s="3"/>
      <c r="N148" s="3"/>
      <c r="O148" s="3"/>
      <c r="P148" s="3"/>
      <c r="Q148" s="3" t="b">
        <v>1</v>
      </c>
      <c r="R148" s="3" t="s">
        <v>804</v>
      </c>
      <c r="S148" s="1" t="str">
        <f t="shared" si="8"/>
        <v/>
      </c>
      <c r="T148" s="3"/>
      <c r="U148" s="5" t="b">
        <v>0</v>
      </c>
      <c r="W148" s="1" t="b">
        <v>1</v>
      </c>
      <c r="Z148" s="1" t="b">
        <f t="shared" si="7"/>
        <v>1</v>
      </c>
      <c r="AA148" s="1" t="b">
        <f t="shared" si="10"/>
        <v>1</v>
      </c>
    </row>
    <row r="149" spans="1:27" ht="15.75" customHeight="1" x14ac:dyDescent="0.2">
      <c r="A149" s="1" t="s">
        <v>805</v>
      </c>
      <c r="B149" s="1" t="s">
        <v>806</v>
      </c>
      <c r="C149" s="1" t="s">
        <v>807</v>
      </c>
      <c r="D149" s="1" t="s">
        <v>62</v>
      </c>
      <c r="E149" s="1">
        <v>2016</v>
      </c>
      <c r="F149" s="1" t="s">
        <v>36</v>
      </c>
      <c r="G149" s="2" t="s">
        <v>808</v>
      </c>
      <c r="H149" s="1" t="s">
        <v>51</v>
      </c>
      <c r="I149" s="1">
        <v>9</v>
      </c>
      <c r="J149" s="1" t="b">
        <v>0</v>
      </c>
      <c r="K149" s="3" t="b">
        <v>1</v>
      </c>
      <c r="L149" s="3"/>
      <c r="M149" s="3"/>
      <c r="N149" s="3"/>
      <c r="O149" s="3"/>
      <c r="P149" s="3"/>
      <c r="Q149" s="3" t="b">
        <v>1</v>
      </c>
      <c r="R149" s="3" t="s">
        <v>809</v>
      </c>
      <c r="S149" s="1" t="str">
        <f t="shared" si="8"/>
        <v/>
      </c>
      <c r="T149" s="3"/>
      <c r="U149" s="5" t="b">
        <v>1</v>
      </c>
      <c r="W149" s="1" t="b">
        <v>1</v>
      </c>
      <c r="Z149" s="1" t="b">
        <f t="shared" si="7"/>
        <v>1</v>
      </c>
      <c r="AA149" s="1" t="b">
        <f t="shared" si="10"/>
        <v>1</v>
      </c>
    </row>
    <row r="150" spans="1:27" ht="15.75" customHeight="1" x14ac:dyDescent="0.2">
      <c r="A150" s="1" t="s">
        <v>810</v>
      </c>
      <c r="B150" s="1" t="s">
        <v>811</v>
      </c>
      <c r="C150" s="1" t="s">
        <v>812</v>
      </c>
      <c r="D150" s="1" t="s">
        <v>120</v>
      </c>
      <c r="E150" s="1">
        <v>2004</v>
      </c>
      <c r="F150" s="1" t="s">
        <v>813</v>
      </c>
      <c r="G150" s="2" t="s">
        <v>814</v>
      </c>
      <c r="H150" s="1" t="s">
        <v>790</v>
      </c>
      <c r="I150" s="1">
        <v>32</v>
      </c>
      <c r="J150" s="1" t="b">
        <v>0</v>
      </c>
      <c r="K150" s="3" t="b">
        <v>0</v>
      </c>
      <c r="L150" s="3"/>
      <c r="M150" s="3"/>
      <c r="N150" s="3"/>
      <c r="O150" s="3"/>
      <c r="P150" s="3"/>
      <c r="Q150" s="3" t="b">
        <v>0</v>
      </c>
      <c r="R150" s="3"/>
      <c r="S150" s="1" t="str">
        <f t="shared" si="8"/>
        <v/>
      </c>
      <c r="T150" s="3"/>
      <c r="U150" s="5" t="b">
        <v>0</v>
      </c>
      <c r="W150" s="1" t="b">
        <v>0</v>
      </c>
      <c r="Z150" s="1" t="b">
        <f t="shared" si="7"/>
        <v>0</v>
      </c>
      <c r="AA150" s="1" t="b">
        <f t="shared" si="10"/>
        <v>0</v>
      </c>
    </row>
    <row r="151" spans="1:27" ht="15.75" customHeight="1" x14ac:dyDescent="0.2">
      <c r="A151" s="1" t="s">
        <v>815</v>
      </c>
      <c r="B151" s="1" t="s">
        <v>816</v>
      </c>
      <c r="C151" s="1" t="s">
        <v>817</v>
      </c>
      <c r="D151" s="1" t="s">
        <v>72</v>
      </c>
      <c r="E151" s="1">
        <v>2022</v>
      </c>
      <c r="F151" s="1" t="s">
        <v>818</v>
      </c>
      <c r="G151" s="2" t="s">
        <v>819</v>
      </c>
      <c r="H151" s="1" t="s">
        <v>154</v>
      </c>
      <c r="I151" s="1">
        <v>14</v>
      </c>
      <c r="J151" s="1" t="b">
        <v>0</v>
      </c>
      <c r="K151" s="3" t="b">
        <v>0</v>
      </c>
      <c r="L151" s="3"/>
      <c r="M151" s="3"/>
      <c r="N151" s="3"/>
      <c r="O151" s="3"/>
      <c r="P151" s="3"/>
      <c r="Q151" s="3" t="b">
        <v>0</v>
      </c>
      <c r="R151" s="3"/>
      <c r="S151" s="1" t="str">
        <f t="shared" si="8"/>
        <v/>
      </c>
      <c r="T151" s="3"/>
      <c r="U151" s="5" t="b">
        <v>0</v>
      </c>
      <c r="W151" s="1" t="b">
        <v>0</v>
      </c>
      <c r="Z151" s="1" t="b">
        <f t="shared" si="7"/>
        <v>0</v>
      </c>
      <c r="AA151" s="1" t="b">
        <f t="shared" si="10"/>
        <v>0</v>
      </c>
    </row>
    <row r="152" spans="1:27" ht="15.75" customHeight="1" x14ac:dyDescent="0.2">
      <c r="A152" s="1" t="s">
        <v>820</v>
      </c>
      <c r="B152" s="1" t="s">
        <v>821</v>
      </c>
      <c r="C152" s="1" t="s">
        <v>822</v>
      </c>
      <c r="D152" s="1" t="s">
        <v>227</v>
      </c>
      <c r="E152" s="1">
        <v>1996</v>
      </c>
      <c r="F152" s="1" t="s">
        <v>823</v>
      </c>
      <c r="G152" s="2" t="s">
        <v>824</v>
      </c>
      <c r="H152" s="1" t="s">
        <v>280</v>
      </c>
      <c r="I152" s="1">
        <v>17</v>
      </c>
      <c r="J152" s="1" t="b">
        <v>0</v>
      </c>
      <c r="K152" s="3" t="b">
        <v>0</v>
      </c>
      <c r="L152" s="3"/>
      <c r="M152" s="3"/>
      <c r="N152" s="3"/>
      <c r="O152" s="3"/>
      <c r="P152" s="3"/>
      <c r="Q152" s="3" t="b">
        <v>0</v>
      </c>
      <c r="R152" s="3"/>
      <c r="S152" s="1" t="str">
        <f t="shared" si="8"/>
        <v/>
      </c>
      <c r="T152" s="3"/>
      <c r="U152" s="5" t="b">
        <v>0</v>
      </c>
      <c r="W152" s="1" t="b">
        <v>0</v>
      </c>
      <c r="Z152" s="1" t="b">
        <f t="shared" si="7"/>
        <v>0</v>
      </c>
      <c r="AA152" s="1" t="b">
        <f t="shared" si="10"/>
        <v>0</v>
      </c>
    </row>
    <row r="153" spans="1:27" ht="15.75" customHeight="1" x14ac:dyDescent="0.2">
      <c r="A153" s="1" t="s">
        <v>825</v>
      </c>
      <c r="B153" s="1" t="s">
        <v>826</v>
      </c>
      <c r="C153" s="1" t="s">
        <v>827</v>
      </c>
      <c r="D153" s="1" t="s">
        <v>28</v>
      </c>
      <c r="E153" s="1">
        <v>2002</v>
      </c>
      <c r="F153" s="1" t="s">
        <v>828</v>
      </c>
      <c r="G153" s="2" t="s">
        <v>829</v>
      </c>
      <c r="H153" s="1" t="s">
        <v>31</v>
      </c>
      <c r="I153" s="1">
        <v>183</v>
      </c>
      <c r="J153" s="1" t="b">
        <v>0</v>
      </c>
      <c r="K153" s="3" t="b">
        <v>0</v>
      </c>
      <c r="L153" s="3"/>
      <c r="M153" s="3"/>
      <c r="N153" s="3"/>
      <c r="O153" s="3"/>
      <c r="P153" s="3"/>
      <c r="Q153" s="3" t="b">
        <v>0</v>
      </c>
      <c r="R153" s="3"/>
      <c r="S153" s="1" t="str">
        <f t="shared" si="8"/>
        <v/>
      </c>
      <c r="T153" s="3"/>
      <c r="U153" s="5" t="b">
        <v>0</v>
      </c>
      <c r="W153" s="1" t="b">
        <v>0</v>
      </c>
      <c r="Z153" s="1" t="b">
        <f t="shared" si="7"/>
        <v>0</v>
      </c>
      <c r="AA153" s="1" t="b">
        <f t="shared" si="10"/>
        <v>0</v>
      </c>
    </row>
    <row r="154" spans="1:27" ht="15.75" customHeight="1" x14ac:dyDescent="0.2">
      <c r="A154" s="1" t="s">
        <v>830</v>
      </c>
      <c r="B154" s="1" t="s">
        <v>831</v>
      </c>
      <c r="C154" s="1" t="s">
        <v>832</v>
      </c>
      <c r="D154" s="1" t="s">
        <v>179</v>
      </c>
      <c r="E154" s="1">
        <v>2011</v>
      </c>
      <c r="F154" s="1" t="s">
        <v>36</v>
      </c>
      <c r="G154" s="2" t="s">
        <v>833</v>
      </c>
      <c r="H154" s="1" t="s">
        <v>31</v>
      </c>
      <c r="I154" s="1">
        <v>42</v>
      </c>
      <c r="J154" s="1" t="b">
        <v>0</v>
      </c>
      <c r="K154" s="3" t="b">
        <v>0</v>
      </c>
      <c r="L154" s="3"/>
      <c r="M154" s="3"/>
      <c r="N154" s="3"/>
      <c r="O154" s="3"/>
      <c r="P154" s="3"/>
      <c r="Q154" s="3" t="b">
        <v>0</v>
      </c>
      <c r="R154" s="3"/>
      <c r="S154" s="1" t="str">
        <f t="shared" si="8"/>
        <v/>
      </c>
      <c r="T154" s="3"/>
      <c r="U154" s="5" t="b">
        <v>0</v>
      </c>
      <c r="W154" s="1" t="b">
        <v>0</v>
      </c>
      <c r="Z154" s="1" t="b">
        <f t="shared" si="7"/>
        <v>0</v>
      </c>
      <c r="AA154" s="1" t="b">
        <f t="shared" si="10"/>
        <v>0</v>
      </c>
    </row>
    <row r="155" spans="1:27" ht="15.75" customHeight="1" x14ac:dyDescent="0.2">
      <c r="A155" s="1" t="s">
        <v>834</v>
      </c>
      <c r="B155" s="1" t="s">
        <v>835</v>
      </c>
      <c r="C155" s="1" t="s">
        <v>836</v>
      </c>
      <c r="D155" s="1" t="s">
        <v>62</v>
      </c>
      <c r="E155" s="1">
        <v>2023</v>
      </c>
      <c r="F155" s="1" t="s">
        <v>36</v>
      </c>
      <c r="G155" s="2" t="s">
        <v>837</v>
      </c>
      <c r="H155" s="1" t="s">
        <v>31</v>
      </c>
      <c r="I155" s="1">
        <v>6</v>
      </c>
      <c r="J155" s="1" t="b">
        <v>0</v>
      </c>
      <c r="K155" s="3" t="b">
        <v>0</v>
      </c>
      <c r="L155" s="3"/>
      <c r="M155" s="3"/>
      <c r="N155" s="3"/>
      <c r="O155" s="3"/>
      <c r="P155" s="3"/>
      <c r="Q155" s="3" t="b">
        <v>0</v>
      </c>
      <c r="R155" s="3"/>
      <c r="S155" s="1" t="str">
        <f t="shared" si="8"/>
        <v/>
      </c>
      <c r="T155" s="3"/>
      <c r="U155" s="5" t="b">
        <v>0</v>
      </c>
      <c r="W155" s="1" t="b">
        <v>0</v>
      </c>
      <c r="Z155" s="1" t="b">
        <f t="shared" si="7"/>
        <v>0</v>
      </c>
      <c r="AA155" s="1" t="b">
        <f t="shared" si="10"/>
        <v>0</v>
      </c>
    </row>
    <row r="156" spans="1:27" ht="15.75" customHeight="1" x14ac:dyDescent="0.2">
      <c r="A156" s="1" t="s">
        <v>838</v>
      </c>
      <c r="B156" s="1" t="s">
        <v>839</v>
      </c>
      <c r="C156" s="1" t="s">
        <v>840</v>
      </c>
      <c r="D156" s="1" t="s">
        <v>106</v>
      </c>
      <c r="E156" s="1">
        <v>1996</v>
      </c>
      <c r="F156" s="1" t="s">
        <v>841</v>
      </c>
      <c r="G156" s="2" t="s">
        <v>842</v>
      </c>
      <c r="H156" s="1" t="s">
        <v>280</v>
      </c>
      <c r="I156" s="1">
        <v>12</v>
      </c>
      <c r="J156" s="1" t="b">
        <v>0</v>
      </c>
      <c r="K156" s="3" t="b">
        <v>0</v>
      </c>
      <c r="L156" s="3"/>
      <c r="M156" s="3"/>
      <c r="N156" s="3"/>
      <c r="O156" s="3"/>
      <c r="P156" s="3"/>
      <c r="Q156" s="3" t="b">
        <v>0</v>
      </c>
      <c r="R156" s="3"/>
      <c r="S156" s="1" t="str">
        <f t="shared" si="8"/>
        <v/>
      </c>
      <c r="T156" s="3"/>
      <c r="U156" s="5" t="b">
        <v>0</v>
      </c>
      <c r="W156" s="1" t="b">
        <v>0</v>
      </c>
      <c r="Z156" s="1" t="b">
        <f t="shared" si="7"/>
        <v>0</v>
      </c>
      <c r="AA156" s="1" t="b">
        <f t="shared" si="10"/>
        <v>0</v>
      </c>
    </row>
    <row r="157" spans="1:27" ht="15.75" customHeight="1" x14ac:dyDescent="0.2">
      <c r="A157" s="1" t="s">
        <v>843</v>
      </c>
      <c r="B157" s="1" t="s">
        <v>844</v>
      </c>
      <c r="C157" s="1" t="s">
        <v>845</v>
      </c>
      <c r="D157" s="1" t="s">
        <v>35</v>
      </c>
      <c r="E157" s="1">
        <v>2002</v>
      </c>
      <c r="F157" s="1" t="s">
        <v>36</v>
      </c>
      <c r="G157" s="2" t="s">
        <v>846</v>
      </c>
      <c r="H157" s="1" t="s">
        <v>31</v>
      </c>
      <c r="I157" s="1">
        <v>208</v>
      </c>
      <c r="J157" s="1" t="b">
        <v>0</v>
      </c>
      <c r="K157" s="3" t="b">
        <v>1</v>
      </c>
      <c r="L157" s="3"/>
      <c r="M157" s="3"/>
      <c r="N157" s="3"/>
      <c r="O157" s="3"/>
      <c r="P157" s="3"/>
      <c r="Q157" s="3" t="b">
        <v>1</v>
      </c>
      <c r="R157" s="3" t="s">
        <v>847</v>
      </c>
      <c r="S157" s="1" t="str">
        <f t="shared" si="8"/>
        <v/>
      </c>
      <c r="T157" s="3"/>
      <c r="U157" s="5" t="b">
        <v>1</v>
      </c>
      <c r="W157" s="1" t="b">
        <v>1</v>
      </c>
      <c r="Z157" s="1" t="b">
        <f t="shared" si="7"/>
        <v>1</v>
      </c>
      <c r="AA157" s="1" t="b">
        <f t="shared" si="10"/>
        <v>1</v>
      </c>
    </row>
    <row r="158" spans="1:27" ht="15.75" customHeight="1" x14ac:dyDescent="0.2">
      <c r="A158" s="1" t="s">
        <v>848</v>
      </c>
      <c r="B158" s="1" t="s">
        <v>849</v>
      </c>
      <c r="C158" s="1" t="s">
        <v>850</v>
      </c>
      <c r="D158" s="1" t="s">
        <v>35</v>
      </c>
      <c r="E158" s="1">
        <v>2013</v>
      </c>
      <c r="F158" s="1" t="s">
        <v>36</v>
      </c>
      <c r="G158" s="2" t="s">
        <v>851</v>
      </c>
      <c r="H158" s="1" t="s">
        <v>31</v>
      </c>
      <c r="I158" s="1">
        <v>32</v>
      </c>
      <c r="J158" s="1" t="b">
        <v>0</v>
      </c>
      <c r="K158" s="3" t="b">
        <v>1</v>
      </c>
      <c r="L158" s="3"/>
      <c r="M158" s="3"/>
      <c r="N158" s="3"/>
      <c r="O158" s="3"/>
      <c r="P158" s="3"/>
      <c r="Q158" s="3" t="b">
        <v>1</v>
      </c>
      <c r="R158" s="3" t="s">
        <v>852</v>
      </c>
      <c r="S158" s="1" t="str">
        <f t="shared" si="8"/>
        <v/>
      </c>
      <c r="T158" s="3"/>
      <c r="U158" s="5" t="b">
        <v>1</v>
      </c>
      <c r="W158" s="1" t="b">
        <v>1</v>
      </c>
      <c r="Z158" s="1" t="b">
        <f t="shared" si="7"/>
        <v>1</v>
      </c>
      <c r="AA158" s="1" t="b">
        <f t="shared" si="10"/>
        <v>1</v>
      </c>
    </row>
    <row r="159" spans="1:27" ht="15.75" customHeight="1" x14ac:dyDescent="0.2">
      <c r="A159" s="1" t="s">
        <v>853</v>
      </c>
      <c r="B159" s="1" t="s">
        <v>854</v>
      </c>
      <c r="C159" s="1" t="s">
        <v>855</v>
      </c>
      <c r="D159" s="1" t="s">
        <v>35</v>
      </c>
      <c r="E159" s="1">
        <v>2022</v>
      </c>
      <c r="F159" s="1" t="s">
        <v>36</v>
      </c>
      <c r="G159" s="2" t="s">
        <v>856</v>
      </c>
      <c r="H159" s="1" t="s">
        <v>31</v>
      </c>
      <c r="I159" s="1">
        <v>19</v>
      </c>
      <c r="J159" s="1" t="b">
        <v>0</v>
      </c>
      <c r="K159" s="3" t="b">
        <v>0</v>
      </c>
      <c r="L159" s="3"/>
      <c r="M159" s="3"/>
      <c r="N159" s="3"/>
      <c r="O159" s="3"/>
      <c r="P159" s="3"/>
      <c r="Q159" s="3" t="b">
        <v>0</v>
      </c>
      <c r="R159" s="3"/>
      <c r="S159" s="1" t="str">
        <f t="shared" si="8"/>
        <v/>
      </c>
      <c r="T159" s="3"/>
      <c r="U159" s="5" t="b">
        <v>0</v>
      </c>
      <c r="W159" s="1" t="b">
        <v>0</v>
      </c>
      <c r="Z159" s="1" t="b">
        <f t="shared" si="7"/>
        <v>0</v>
      </c>
      <c r="AA159" s="1" t="b">
        <f t="shared" si="10"/>
        <v>0</v>
      </c>
    </row>
    <row r="160" spans="1:27" ht="15.75" customHeight="1" x14ac:dyDescent="0.2">
      <c r="A160" s="1" t="s">
        <v>857</v>
      </c>
      <c r="B160" s="1" t="s">
        <v>858</v>
      </c>
      <c r="C160" s="1" t="s">
        <v>859</v>
      </c>
      <c r="D160" s="1" t="s">
        <v>28</v>
      </c>
      <c r="E160" s="1">
        <v>2001</v>
      </c>
      <c r="F160" s="1" t="s">
        <v>860</v>
      </c>
      <c r="G160" s="2" t="s">
        <v>861</v>
      </c>
      <c r="H160" s="1" t="s">
        <v>31</v>
      </c>
      <c r="I160" s="1">
        <v>67</v>
      </c>
      <c r="J160" s="1" t="b">
        <v>0</v>
      </c>
      <c r="K160" s="3" t="b">
        <v>0</v>
      </c>
      <c r="L160" s="3"/>
      <c r="M160" s="3"/>
      <c r="N160" s="3"/>
      <c r="O160" s="3"/>
      <c r="P160" s="3"/>
      <c r="Q160" s="3" t="b">
        <v>0</v>
      </c>
      <c r="R160" s="3"/>
      <c r="S160" s="1" t="str">
        <f t="shared" si="8"/>
        <v/>
      </c>
      <c r="T160" s="3"/>
      <c r="U160" s="5" t="b">
        <v>0</v>
      </c>
      <c r="W160" s="1" t="b">
        <v>0</v>
      </c>
      <c r="Z160" s="1" t="b">
        <f t="shared" si="7"/>
        <v>0</v>
      </c>
      <c r="AA160" s="1" t="b">
        <f t="shared" si="10"/>
        <v>0</v>
      </c>
    </row>
    <row r="161" spans="1:28" ht="15.75" customHeight="1" x14ac:dyDescent="0.2">
      <c r="A161" s="1" t="s">
        <v>862</v>
      </c>
      <c r="B161" s="1" t="s">
        <v>863</v>
      </c>
      <c r="C161" s="1" t="s">
        <v>864</v>
      </c>
      <c r="D161" s="1" t="s">
        <v>28</v>
      </c>
      <c r="E161" s="1">
        <v>2017</v>
      </c>
      <c r="F161" s="1" t="s">
        <v>865</v>
      </c>
      <c r="G161" s="2" t="s">
        <v>866</v>
      </c>
      <c r="H161" s="1" t="s">
        <v>336</v>
      </c>
      <c r="I161" s="1">
        <v>23</v>
      </c>
      <c r="J161" s="1" t="b">
        <v>0</v>
      </c>
      <c r="K161" s="3" t="b">
        <v>0</v>
      </c>
      <c r="L161" s="3"/>
      <c r="M161" s="3"/>
      <c r="N161" s="3"/>
      <c r="O161" s="3"/>
      <c r="P161" s="3"/>
      <c r="Q161" s="3" t="b">
        <v>0</v>
      </c>
      <c r="R161" s="3"/>
      <c r="S161" s="1" t="str">
        <f t="shared" si="8"/>
        <v/>
      </c>
      <c r="T161" s="3"/>
      <c r="U161" s="5" t="b">
        <v>0</v>
      </c>
      <c r="W161" s="1" t="b">
        <v>0</v>
      </c>
      <c r="Z161" s="1" t="b">
        <f t="shared" si="7"/>
        <v>0</v>
      </c>
      <c r="AA161" s="1" t="b">
        <f t="shared" si="10"/>
        <v>0</v>
      </c>
    </row>
    <row r="162" spans="1:28" ht="15.75" customHeight="1" x14ac:dyDescent="0.2">
      <c r="A162" s="1" t="s">
        <v>867</v>
      </c>
      <c r="B162" s="1" t="s">
        <v>868</v>
      </c>
      <c r="C162" s="1" t="s">
        <v>869</v>
      </c>
      <c r="D162" s="1" t="s">
        <v>227</v>
      </c>
      <c r="E162" s="1">
        <v>2019</v>
      </c>
      <c r="F162" s="1" t="s">
        <v>36</v>
      </c>
      <c r="G162" s="2" t="s">
        <v>870</v>
      </c>
      <c r="H162" s="1" t="s">
        <v>336</v>
      </c>
      <c r="I162" s="1">
        <v>4</v>
      </c>
      <c r="J162" s="1" t="b">
        <v>0</v>
      </c>
      <c r="K162" s="3" t="b">
        <v>0</v>
      </c>
      <c r="L162" s="3"/>
      <c r="M162" s="3"/>
      <c r="N162" s="3"/>
      <c r="O162" s="3"/>
      <c r="P162" s="3"/>
      <c r="Q162" s="3" t="b">
        <v>0</v>
      </c>
      <c r="R162" s="3"/>
      <c r="S162" s="1" t="str">
        <f t="shared" si="8"/>
        <v/>
      </c>
      <c r="T162" s="3"/>
      <c r="U162" s="5" t="b">
        <v>0</v>
      </c>
      <c r="W162" s="1" t="b">
        <v>0</v>
      </c>
      <c r="Z162" s="1" t="b">
        <f t="shared" si="7"/>
        <v>0</v>
      </c>
      <c r="AA162" s="1" t="b">
        <f t="shared" si="10"/>
        <v>0</v>
      </c>
    </row>
    <row r="163" spans="1:28" ht="15.75" customHeight="1" x14ac:dyDescent="0.2">
      <c r="A163" s="1" t="s">
        <v>871</v>
      </c>
      <c r="B163" s="1" t="s">
        <v>872</v>
      </c>
      <c r="C163" s="1" t="s">
        <v>873</v>
      </c>
      <c r="D163" s="1" t="s">
        <v>28</v>
      </c>
      <c r="E163" s="1">
        <v>2015</v>
      </c>
      <c r="F163" s="1" t="s">
        <v>874</v>
      </c>
      <c r="G163" s="2" t="s">
        <v>875</v>
      </c>
      <c r="H163" s="1" t="s">
        <v>31</v>
      </c>
      <c r="I163" s="1">
        <v>32</v>
      </c>
      <c r="J163" s="1" t="b">
        <v>0</v>
      </c>
      <c r="K163" s="3" t="b">
        <v>0</v>
      </c>
      <c r="L163" s="3"/>
      <c r="M163" s="3"/>
      <c r="N163" s="3"/>
      <c r="O163" s="3"/>
      <c r="P163" s="3"/>
      <c r="Q163" s="3" t="b">
        <v>0</v>
      </c>
      <c r="R163" s="3"/>
      <c r="S163" s="1" t="str">
        <f t="shared" si="8"/>
        <v/>
      </c>
      <c r="T163" s="3"/>
      <c r="U163" s="5" t="b">
        <v>0</v>
      </c>
      <c r="W163" s="1" t="b">
        <v>0</v>
      </c>
      <c r="Z163" s="1" t="b">
        <f t="shared" si="7"/>
        <v>0</v>
      </c>
      <c r="AA163" s="1" t="b">
        <f t="shared" si="10"/>
        <v>0</v>
      </c>
    </row>
    <row r="164" spans="1:28" ht="15.75" customHeight="1" x14ac:dyDescent="0.2">
      <c r="A164" s="1" t="s">
        <v>876</v>
      </c>
      <c r="B164" s="1" t="s">
        <v>877</v>
      </c>
      <c r="C164" s="1" t="s">
        <v>878</v>
      </c>
      <c r="D164" s="1" t="s">
        <v>28</v>
      </c>
      <c r="E164" s="1">
        <v>2005</v>
      </c>
      <c r="F164" s="1" t="s">
        <v>879</v>
      </c>
      <c r="G164" s="2" t="s">
        <v>880</v>
      </c>
      <c r="H164" s="1" t="s">
        <v>31</v>
      </c>
      <c r="I164" s="1">
        <v>25</v>
      </c>
      <c r="J164" s="1" t="b">
        <v>0</v>
      </c>
      <c r="K164" s="3" t="b">
        <v>0</v>
      </c>
      <c r="L164" s="3"/>
      <c r="M164" s="3"/>
      <c r="N164" s="3"/>
      <c r="O164" s="3"/>
      <c r="P164" s="3"/>
      <c r="Q164" s="3" t="b">
        <v>0</v>
      </c>
      <c r="R164" s="3"/>
      <c r="S164" s="1" t="str">
        <f t="shared" si="8"/>
        <v/>
      </c>
      <c r="T164" s="3"/>
      <c r="U164" s="5" t="b">
        <v>0</v>
      </c>
      <c r="W164" s="1" t="b">
        <v>0</v>
      </c>
      <c r="Z164" s="1" t="b">
        <f t="shared" si="7"/>
        <v>0</v>
      </c>
      <c r="AA164" s="1" t="b">
        <f t="shared" si="10"/>
        <v>0</v>
      </c>
    </row>
    <row r="165" spans="1:28" ht="15.75" customHeight="1" x14ac:dyDescent="0.2">
      <c r="A165" s="1" t="s">
        <v>881</v>
      </c>
      <c r="B165" s="1" t="s">
        <v>882</v>
      </c>
      <c r="C165" s="1" t="s">
        <v>883</v>
      </c>
      <c r="D165" s="1" t="s">
        <v>28</v>
      </c>
      <c r="E165" s="1">
        <v>2001</v>
      </c>
      <c r="F165" s="1" t="s">
        <v>884</v>
      </c>
      <c r="G165" s="2" t="s">
        <v>885</v>
      </c>
      <c r="H165" s="1" t="s">
        <v>410</v>
      </c>
      <c r="I165" s="1">
        <v>79</v>
      </c>
      <c r="J165" s="1" t="b">
        <v>0</v>
      </c>
      <c r="K165" s="3" t="b">
        <v>0</v>
      </c>
      <c r="L165" s="3"/>
      <c r="M165" s="3"/>
      <c r="N165" s="3"/>
      <c r="O165" s="3"/>
      <c r="P165" s="3"/>
      <c r="Q165" s="3" t="b">
        <v>0</v>
      </c>
      <c r="R165" s="3"/>
      <c r="S165" s="1" t="str">
        <f t="shared" si="8"/>
        <v/>
      </c>
      <c r="T165" s="3"/>
      <c r="U165" s="5" t="b">
        <v>0</v>
      </c>
      <c r="W165" s="1" t="b">
        <v>0</v>
      </c>
      <c r="Z165" s="1" t="b">
        <f t="shared" si="7"/>
        <v>0</v>
      </c>
      <c r="AA165" s="1" t="b">
        <f t="shared" si="10"/>
        <v>0</v>
      </c>
    </row>
    <row r="166" spans="1:28" ht="15.75" customHeight="1" x14ac:dyDescent="0.2">
      <c r="A166" s="1" t="s">
        <v>886</v>
      </c>
      <c r="B166" s="1" t="s">
        <v>887</v>
      </c>
      <c r="C166" s="1" t="s">
        <v>888</v>
      </c>
      <c r="D166" s="1" t="s">
        <v>35</v>
      </c>
      <c r="E166" s="1">
        <v>2013</v>
      </c>
      <c r="F166" s="1" t="s">
        <v>36</v>
      </c>
      <c r="G166" s="2" t="s">
        <v>889</v>
      </c>
      <c r="H166" s="1" t="s">
        <v>31</v>
      </c>
      <c r="I166" s="1">
        <v>10</v>
      </c>
      <c r="J166" s="1" t="b">
        <v>0</v>
      </c>
      <c r="K166" s="3" t="b">
        <v>1</v>
      </c>
      <c r="L166" s="3"/>
      <c r="M166" s="3"/>
      <c r="N166" s="3"/>
      <c r="O166" s="3"/>
      <c r="P166" s="3"/>
      <c r="Q166" s="3" t="b">
        <v>1</v>
      </c>
      <c r="R166" s="3" t="s">
        <v>890</v>
      </c>
      <c r="S166" s="1" t="str">
        <f t="shared" si="8"/>
        <v/>
      </c>
      <c r="T166" s="3"/>
      <c r="U166" s="5" t="b">
        <v>1</v>
      </c>
      <c r="W166" s="1" t="b">
        <v>1</v>
      </c>
      <c r="Z166" s="1" t="b">
        <f t="shared" si="7"/>
        <v>1</v>
      </c>
      <c r="AA166" s="1" t="b">
        <f t="shared" si="10"/>
        <v>1</v>
      </c>
    </row>
    <row r="167" spans="1:28" ht="15.75" customHeight="1" x14ac:dyDescent="0.2">
      <c r="A167" s="1" t="s">
        <v>891</v>
      </c>
      <c r="B167" s="1" t="s">
        <v>892</v>
      </c>
      <c r="C167" s="1" t="s">
        <v>893</v>
      </c>
      <c r="D167" s="1" t="s">
        <v>120</v>
      </c>
      <c r="E167" s="1">
        <v>2023</v>
      </c>
      <c r="F167" s="1" t="s">
        <v>894</v>
      </c>
      <c r="G167" s="2" t="s">
        <v>895</v>
      </c>
      <c r="H167" s="1" t="s">
        <v>134</v>
      </c>
      <c r="I167" s="1">
        <v>1</v>
      </c>
      <c r="J167" s="1" t="b">
        <v>0</v>
      </c>
      <c r="K167" s="3" t="b">
        <v>1</v>
      </c>
      <c r="L167" s="3"/>
      <c r="M167" s="3"/>
      <c r="N167" s="3"/>
      <c r="O167" s="3"/>
      <c r="P167" s="3"/>
      <c r="Q167" s="3" t="b">
        <v>1</v>
      </c>
      <c r="R167" s="3" t="s">
        <v>896</v>
      </c>
      <c r="S167" s="1" t="str">
        <f t="shared" si="8"/>
        <v/>
      </c>
      <c r="T167" s="3"/>
      <c r="U167" s="5" t="b">
        <v>1</v>
      </c>
      <c r="V167" s="1" t="s">
        <v>897</v>
      </c>
      <c r="W167" s="1" t="b">
        <v>1</v>
      </c>
      <c r="X167" s="1" t="s">
        <v>898</v>
      </c>
      <c r="Z167" s="1" t="b">
        <f t="shared" si="7"/>
        <v>1</v>
      </c>
      <c r="AA167" s="1"/>
      <c r="AB167" s="1" t="s">
        <v>353</v>
      </c>
    </row>
    <row r="168" spans="1:28" ht="15.75" customHeight="1" x14ac:dyDescent="0.2">
      <c r="A168" s="1" t="s">
        <v>899</v>
      </c>
      <c r="B168" s="1" t="s">
        <v>900</v>
      </c>
      <c r="C168" s="1" t="s">
        <v>901</v>
      </c>
      <c r="D168" s="1" t="s">
        <v>227</v>
      </c>
      <c r="E168" s="1">
        <v>2015</v>
      </c>
      <c r="F168" s="1" t="s">
        <v>36</v>
      </c>
      <c r="G168" s="2" t="s">
        <v>902</v>
      </c>
      <c r="H168" s="1" t="s">
        <v>280</v>
      </c>
      <c r="I168" s="1">
        <v>11</v>
      </c>
      <c r="J168" s="1" t="b">
        <v>0</v>
      </c>
      <c r="K168" s="3" t="b">
        <v>1</v>
      </c>
      <c r="L168" s="3"/>
      <c r="M168" s="3"/>
      <c r="N168" s="3"/>
      <c r="O168" s="3"/>
      <c r="P168" s="3"/>
      <c r="Q168" s="3" t="b">
        <v>0</v>
      </c>
      <c r="R168" s="3"/>
      <c r="S168" s="1" t="str">
        <f t="shared" si="8"/>
        <v/>
      </c>
      <c r="T168" s="3"/>
      <c r="U168" s="5" t="b">
        <v>1</v>
      </c>
      <c r="W168" s="1" t="b">
        <v>0</v>
      </c>
      <c r="Z168" s="1" t="b">
        <f t="shared" si="7"/>
        <v>0</v>
      </c>
      <c r="AA168" s="1" t="b">
        <f t="shared" si="10"/>
        <v>0</v>
      </c>
    </row>
    <row r="169" spans="1:28" ht="15.75" customHeight="1" x14ac:dyDescent="0.2">
      <c r="A169" s="1" t="s">
        <v>903</v>
      </c>
      <c r="B169" s="1" t="s">
        <v>904</v>
      </c>
      <c r="C169" s="1" t="s">
        <v>905</v>
      </c>
      <c r="D169" s="1" t="s">
        <v>62</v>
      </c>
      <c r="E169" s="1">
        <v>2010</v>
      </c>
      <c r="F169" s="1" t="s">
        <v>36</v>
      </c>
      <c r="G169" s="2" t="s">
        <v>906</v>
      </c>
      <c r="H169" s="1" t="s">
        <v>31</v>
      </c>
      <c r="I169" s="1">
        <v>45</v>
      </c>
      <c r="J169" s="1" t="b">
        <v>0</v>
      </c>
      <c r="K169" s="3" t="b">
        <v>1</v>
      </c>
      <c r="L169" s="3"/>
      <c r="M169" s="3"/>
      <c r="N169" s="3"/>
      <c r="O169" s="3"/>
      <c r="P169" s="3"/>
      <c r="Q169" s="3" t="b">
        <v>1</v>
      </c>
      <c r="R169" s="3" t="s">
        <v>907</v>
      </c>
      <c r="S169" s="1" t="str">
        <f t="shared" si="8"/>
        <v/>
      </c>
      <c r="T169" s="3"/>
      <c r="U169" s="5" t="b">
        <v>1</v>
      </c>
      <c r="W169" s="1" t="b">
        <v>1</v>
      </c>
      <c r="Z169" s="1" t="b">
        <f t="shared" si="7"/>
        <v>1</v>
      </c>
      <c r="AA169" s="1" t="b">
        <f t="shared" si="10"/>
        <v>1</v>
      </c>
    </row>
    <row r="170" spans="1:28" ht="15.75" customHeight="1" x14ac:dyDescent="0.2">
      <c r="A170" s="1" t="s">
        <v>908</v>
      </c>
      <c r="B170" s="1" t="s">
        <v>909</v>
      </c>
      <c r="C170" s="1" t="s">
        <v>910</v>
      </c>
      <c r="D170" s="1" t="s">
        <v>35</v>
      </c>
      <c r="E170" s="1">
        <v>2017</v>
      </c>
      <c r="F170" s="1" t="s">
        <v>36</v>
      </c>
      <c r="G170" s="2" t="s">
        <v>911</v>
      </c>
      <c r="H170" s="1" t="s">
        <v>31</v>
      </c>
      <c r="I170" s="1">
        <v>3</v>
      </c>
      <c r="J170" s="1" t="b">
        <v>0</v>
      </c>
      <c r="K170" s="3" t="b">
        <v>0</v>
      </c>
      <c r="L170" s="3"/>
      <c r="M170" s="3"/>
      <c r="N170" s="3"/>
      <c r="O170" s="3"/>
      <c r="P170" s="3"/>
      <c r="Q170" s="3" t="b">
        <v>0</v>
      </c>
      <c r="R170" s="3"/>
      <c r="S170" s="1" t="str">
        <f t="shared" si="8"/>
        <v/>
      </c>
      <c r="T170" s="3"/>
      <c r="U170" s="5" t="b">
        <v>0</v>
      </c>
      <c r="W170" s="1" t="b">
        <v>0</v>
      </c>
      <c r="Z170" s="1" t="b">
        <f t="shared" si="7"/>
        <v>0</v>
      </c>
      <c r="AA170" s="1" t="b">
        <f t="shared" si="10"/>
        <v>0</v>
      </c>
    </row>
    <row r="171" spans="1:28" ht="15.75" customHeight="1" x14ac:dyDescent="0.2">
      <c r="A171" s="1" t="s">
        <v>912</v>
      </c>
      <c r="B171" s="1" t="s">
        <v>913</v>
      </c>
      <c r="C171" s="1" t="s">
        <v>914</v>
      </c>
      <c r="D171" s="1" t="s">
        <v>35</v>
      </c>
      <c r="E171" s="1">
        <v>2021</v>
      </c>
      <c r="F171" s="1" t="s">
        <v>36</v>
      </c>
      <c r="G171" s="2" t="s">
        <v>915</v>
      </c>
      <c r="H171" s="1" t="s">
        <v>31</v>
      </c>
      <c r="I171" s="1">
        <v>19</v>
      </c>
      <c r="J171" s="1" t="b">
        <v>0</v>
      </c>
      <c r="K171" s="3" t="b">
        <v>0</v>
      </c>
      <c r="L171" s="3"/>
      <c r="M171" s="3"/>
      <c r="N171" s="3"/>
      <c r="O171" s="3"/>
      <c r="P171" s="3"/>
      <c r="Q171" s="3" t="b">
        <v>0</v>
      </c>
      <c r="R171" s="3"/>
      <c r="S171" s="1" t="str">
        <f t="shared" si="8"/>
        <v/>
      </c>
      <c r="T171" s="3"/>
      <c r="U171" s="5" t="b">
        <v>0</v>
      </c>
      <c r="W171" s="1" t="b">
        <v>0</v>
      </c>
      <c r="Z171" s="1" t="b">
        <f t="shared" si="7"/>
        <v>0</v>
      </c>
      <c r="AA171" s="1" t="b">
        <f t="shared" si="10"/>
        <v>0</v>
      </c>
    </row>
    <row r="172" spans="1:28" ht="15.75" customHeight="1" x14ac:dyDescent="0.2">
      <c r="A172" s="1" t="s">
        <v>916</v>
      </c>
      <c r="B172" s="1" t="s">
        <v>917</v>
      </c>
      <c r="C172" s="1" t="s">
        <v>918</v>
      </c>
      <c r="D172" s="1" t="s">
        <v>72</v>
      </c>
      <c r="E172" s="1">
        <v>2018</v>
      </c>
      <c r="F172" s="1" t="s">
        <v>36</v>
      </c>
      <c r="G172" s="2" t="s">
        <v>919</v>
      </c>
      <c r="H172" s="1" t="s">
        <v>154</v>
      </c>
      <c r="I172" s="1">
        <v>26</v>
      </c>
      <c r="J172" s="1" t="b">
        <v>0</v>
      </c>
      <c r="K172" s="3" t="b">
        <v>0</v>
      </c>
      <c r="L172" s="3"/>
      <c r="M172" s="3"/>
      <c r="N172" s="3"/>
      <c r="O172" s="3"/>
      <c r="P172" s="3"/>
      <c r="Q172" s="3" t="b">
        <v>0</v>
      </c>
      <c r="R172" s="3"/>
      <c r="S172" s="1" t="str">
        <f t="shared" si="8"/>
        <v/>
      </c>
      <c r="T172" s="3"/>
      <c r="U172" s="5" t="b">
        <v>0</v>
      </c>
      <c r="W172" s="1" t="b">
        <v>0</v>
      </c>
      <c r="Z172" s="1" t="b">
        <f t="shared" si="7"/>
        <v>0</v>
      </c>
      <c r="AA172" s="1" t="b">
        <f t="shared" si="10"/>
        <v>0</v>
      </c>
    </row>
    <row r="173" spans="1:28" ht="15.75" customHeight="1" x14ac:dyDescent="0.2">
      <c r="A173" s="1" t="s">
        <v>920</v>
      </c>
      <c r="B173" s="1" t="s">
        <v>921</v>
      </c>
      <c r="C173" s="1" t="s">
        <v>922</v>
      </c>
      <c r="D173" s="1" t="s">
        <v>28</v>
      </c>
      <c r="E173" s="1">
        <v>2019</v>
      </c>
      <c r="F173" s="1" t="s">
        <v>923</v>
      </c>
      <c r="G173" s="2" t="s">
        <v>924</v>
      </c>
      <c r="H173" s="1" t="s">
        <v>31</v>
      </c>
      <c r="I173" s="1">
        <v>56</v>
      </c>
      <c r="J173" s="1" t="b">
        <v>0</v>
      </c>
      <c r="K173" s="3" t="b">
        <v>0</v>
      </c>
      <c r="L173" s="3"/>
      <c r="M173" s="3"/>
      <c r="N173" s="3"/>
      <c r="O173" s="3"/>
      <c r="P173" s="3"/>
      <c r="Q173" s="3" t="b">
        <v>0</v>
      </c>
      <c r="R173" s="3"/>
      <c r="S173" s="1" t="str">
        <f t="shared" si="8"/>
        <v/>
      </c>
      <c r="T173" s="3"/>
      <c r="U173" s="5" t="b">
        <v>0</v>
      </c>
      <c r="W173" s="1" t="b">
        <v>0</v>
      </c>
      <c r="Z173" s="1" t="b">
        <f t="shared" si="7"/>
        <v>0</v>
      </c>
      <c r="AA173" s="1" t="b">
        <f t="shared" si="10"/>
        <v>0</v>
      </c>
    </row>
    <row r="174" spans="1:28" ht="15.75" customHeight="1" x14ac:dyDescent="0.2">
      <c r="A174" s="1" t="s">
        <v>925</v>
      </c>
      <c r="B174" s="1" t="s">
        <v>926</v>
      </c>
      <c r="C174" s="1" t="s">
        <v>927</v>
      </c>
      <c r="D174" s="1" t="s">
        <v>227</v>
      </c>
      <c r="E174" s="1">
        <v>1997</v>
      </c>
      <c r="F174" s="1" t="s">
        <v>928</v>
      </c>
      <c r="G174" s="2" t="s">
        <v>929</v>
      </c>
      <c r="H174" s="1" t="s">
        <v>280</v>
      </c>
      <c r="I174" s="1">
        <v>40</v>
      </c>
      <c r="J174" s="1" t="b">
        <v>0</v>
      </c>
      <c r="K174" s="3" t="b">
        <v>0</v>
      </c>
      <c r="L174" s="3"/>
      <c r="M174" s="3"/>
      <c r="N174" s="3"/>
      <c r="O174" s="3"/>
      <c r="P174" s="3"/>
      <c r="Q174" s="3" t="b">
        <v>0</v>
      </c>
      <c r="R174" s="3"/>
      <c r="S174" s="1" t="str">
        <f t="shared" si="8"/>
        <v/>
      </c>
      <c r="T174" s="3"/>
      <c r="U174" s="5" t="b">
        <v>1</v>
      </c>
      <c r="W174" s="1" t="b">
        <v>0</v>
      </c>
      <c r="Z174" s="1" t="b">
        <f t="shared" si="7"/>
        <v>0</v>
      </c>
      <c r="AA174" s="1" t="b">
        <f t="shared" si="10"/>
        <v>0</v>
      </c>
    </row>
    <row r="175" spans="1:28" ht="15.75" customHeight="1" x14ac:dyDescent="0.2">
      <c r="A175" s="1" t="s">
        <v>930</v>
      </c>
      <c r="B175" s="1" t="s">
        <v>931</v>
      </c>
      <c r="C175" s="1" t="s">
        <v>932</v>
      </c>
      <c r="D175" s="1" t="s">
        <v>227</v>
      </c>
      <c r="E175" s="1">
        <v>2015</v>
      </c>
      <c r="F175" s="1" t="s">
        <v>36</v>
      </c>
      <c r="G175" s="2" t="s">
        <v>933</v>
      </c>
      <c r="H175" s="1" t="s">
        <v>687</v>
      </c>
      <c r="I175" s="1">
        <v>40</v>
      </c>
      <c r="J175" s="1" t="b">
        <v>0</v>
      </c>
      <c r="K175" s="3" t="b">
        <v>1</v>
      </c>
      <c r="L175" s="3"/>
      <c r="M175" s="3"/>
      <c r="N175" s="3"/>
      <c r="O175" s="3"/>
      <c r="P175" s="3"/>
      <c r="Q175" s="3" t="b">
        <v>1</v>
      </c>
      <c r="R175" s="3" t="s">
        <v>934</v>
      </c>
      <c r="S175" s="1" t="str">
        <f t="shared" si="8"/>
        <v/>
      </c>
      <c r="T175" s="3"/>
      <c r="U175" s="5" t="b">
        <v>1</v>
      </c>
      <c r="W175" s="1" t="b">
        <v>1</v>
      </c>
      <c r="Z175" s="1" t="b">
        <f t="shared" si="7"/>
        <v>1</v>
      </c>
      <c r="AA175" s="1" t="b">
        <f t="shared" si="10"/>
        <v>1</v>
      </c>
    </row>
    <row r="176" spans="1:28" ht="15.75" customHeight="1" x14ac:dyDescent="0.2">
      <c r="A176" s="1" t="s">
        <v>935</v>
      </c>
      <c r="B176" s="1" t="s">
        <v>936</v>
      </c>
      <c r="C176" s="1" t="s">
        <v>937</v>
      </c>
      <c r="D176" s="1" t="s">
        <v>35</v>
      </c>
      <c r="E176" s="1">
        <v>2018</v>
      </c>
      <c r="F176" s="1" t="s">
        <v>36</v>
      </c>
      <c r="G176" s="2" t="s">
        <v>938</v>
      </c>
      <c r="H176" s="1" t="s">
        <v>31</v>
      </c>
      <c r="I176" s="1">
        <v>75</v>
      </c>
      <c r="J176" s="1" t="b">
        <v>0</v>
      </c>
      <c r="K176" s="3" t="b">
        <v>0</v>
      </c>
      <c r="L176" s="3"/>
      <c r="M176" s="3"/>
      <c r="N176" s="3"/>
      <c r="O176" s="3"/>
      <c r="P176" s="3"/>
      <c r="Q176" s="3" t="b">
        <v>0</v>
      </c>
      <c r="R176" s="3"/>
      <c r="S176" s="1" t="str">
        <f t="shared" si="8"/>
        <v/>
      </c>
      <c r="T176" s="3"/>
      <c r="U176" s="5" t="b">
        <v>0</v>
      </c>
      <c r="W176" s="1" t="b">
        <v>0</v>
      </c>
      <c r="Z176" s="1" t="b">
        <f t="shared" si="7"/>
        <v>0</v>
      </c>
      <c r="AA176" s="1" t="b">
        <f t="shared" si="10"/>
        <v>0</v>
      </c>
    </row>
    <row r="177" spans="1:27" ht="15.75" customHeight="1" x14ac:dyDescent="0.2">
      <c r="A177" s="1" t="s">
        <v>939</v>
      </c>
      <c r="B177" s="1" t="s">
        <v>940</v>
      </c>
      <c r="C177" s="1" t="s">
        <v>941</v>
      </c>
      <c r="D177" s="1" t="s">
        <v>179</v>
      </c>
      <c r="E177" s="1">
        <v>2004</v>
      </c>
      <c r="F177" s="1" t="s">
        <v>36</v>
      </c>
      <c r="G177" s="2" t="s">
        <v>942</v>
      </c>
      <c r="H177" s="1" t="s">
        <v>181</v>
      </c>
      <c r="I177" s="1">
        <v>15</v>
      </c>
      <c r="J177" s="1" t="b">
        <v>0</v>
      </c>
      <c r="K177" s="3" t="b">
        <v>0</v>
      </c>
      <c r="L177" s="3"/>
      <c r="M177" s="3"/>
      <c r="N177" s="3"/>
      <c r="O177" s="3"/>
      <c r="P177" s="3"/>
      <c r="Q177" s="3" t="b">
        <v>0</v>
      </c>
      <c r="R177" s="3"/>
      <c r="S177" s="1" t="str">
        <f t="shared" si="8"/>
        <v/>
      </c>
      <c r="T177" s="3"/>
      <c r="U177" s="5" t="b">
        <v>0</v>
      </c>
      <c r="W177" s="1" t="b">
        <v>0</v>
      </c>
      <c r="X177" s="1" t="s">
        <v>943</v>
      </c>
      <c r="Z177" s="1" t="b">
        <f t="shared" si="7"/>
        <v>0</v>
      </c>
      <c r="AA177" s="1" t="b">
        <f t="shared" si="10"/>
        <v>0</v>
      </c>
    </row>
    <row r="178" spans="1:27" ht="15.75" customHeight="1" x14ac:dyDescent="0.2">
      <c r="A178" s="1" t="s">
        <v>944</v>
      </c>
      <c r="B178" s="1" t="s">
        <v>945</v>
      </c>
      <c r="C178" s="1" t="s">
        <v>946</v>
      </c>
      <c r="D178" s="1" t="s">
        <v>120</v>
      </c>
      <c r="E178" s="1">
        <v>2003</v>
      </c>
      <c r="F178" s="1" t="s">
        <v>947</v>
      </c>
      <c r="G178" s="2" t="s">
        <v>948</v>
      </c>
      <c r="H178" s="1" t="s">
        <v>31</v>
      </c>
      <c r="I178" s="1">
        <v>39</v>
      </c>
      <c r="J178" s="1" t="b">
        <v>0</v>
      </c>
      <c r="K178" s="3" t="b">
        <v>0</v>
      </c>
      <c r="L178" s="3"/>
      <c r="M178" s="3"/>
      <c r="N178" s="3"/>
      <c r="O178" s="3"/>
      <c r="P178" s="3"/>
      <c r="Q178" s="3" t="b">
        <v>0</v>
      </c>
      <c r="R178" s="3"/>
      <c r="S178" s="1" t="str">
        <f t="shared" si="8"/>
        <v/>
      </c>
      <c r="T178" s="3"/>
      <c r="U178" s="5" t="b">
        <v>0</v>
      </c>
      <c r="W178" s="1" t="b">
        <v>0</v>
      </c>
      <c r="Z178" s="1" t="b">
        <f t="shared" si="7"/>
        <v>0</v>
      </c>
      <c r="AA178" s="1" t="b">
        <f t="shared" si="10"/>
        <v>0</v>
      </c>
    </row>
    <row r="179" spans="1:27" ht="15.75" customHeight="1" x14ac:dyDescent="0.2">
      <c r="A179" s="1" t="s">
        <v>949</v>
      </c>
      <c r="B179" s="1" t="s">
        <v>950</v>
      </c>
      <c r="C179" s="1" t="s">
        <v>951</v>
      </c>
      <c r="D179" s="1" t="s">
        <v>106</v>
      </c>
      <c r="E179" s="1">
        <v>2005</v>
      </c>
      <c r="F179" s="1" t="s">
        <v>952</v>
      </c>
      <c r="G179" s="2" t="s">
        <v>953</v>
      </c>
      <c r="H179" s="1" t="s">
        <v>181</v>
      </c>
      <c r="I179" s="1">
        <v>9</v>
      </c>
      <c r="J179" s="1" t="b">
        <v>0</v>
      </c>
      <c r="K179" s="3" t="b">
        <v>0</v>
      </c>
      <c r="L179" s="3"/>
      <c r="M179" s="3"/>
      <c r="N179" s="3"/>
      <c r="O179" s="3"/>
      <c r="P179" s="3"/>
      <c r="Q179" s="3" t="b">
        <v>1</v>
      </c>
      <c r="R179" s="3" t="s">
        <v>954</v>
      </c>
      <c r="S179" s="1" t="str">
        <f t="shared" si="8"/>
        <v/>
      </c>
      <c r="T179" s="3"/>
      <c r="U179" s="5" t="b">
        <v>1</v>
      </c>
      <c r="W179" s="1" t="b">
        <v>0</v>
      </c>
      <c r="X179" s="1" t="s">
        <v>955</v>
      </c>
      <c r="Z179" s="1" t="b">
        <f t="shared" si="7"/>
        <v>0</v>
      </c>
      <c r="AA179" s="1" t="b">
        <f t="shared" si="10"/>
        <v>0</v>
      </c>
    </row>
    <row r="180" spans="1:27" ht="15.75" customHeight="1" x14ac:dyDescent="0.2">
      <c r="A180" s="1" t="s">
        <v>956</v>
      </c>
      <c r="B180" s="1" t="s">
        <v>957</v>
      </c>
      <c r="C180" s="1" t="s">
        <v>958</v>
      </c>
      <c r="D180" s="1" t="s">
        <v>106</v>
      </c>
      <c r="E180" s="1">
        <v>2022</v>
      </c>
      <c r="F180" s="1" t="s">
        <v>959</v>
      </c>
      <c r="G180" s="2" t="s">
        <v>960</v>
      </c>
      <c r="H180" s="1" t="s">
        <v>181</v>
      </c>
      <c r="I180" s="1">
        <v>15</v>
      </c>
      <c r="J180" s="1" t="b">
        <v>0</v>
      </c>
      <c r="K180" s="3" t="b">
        <v>0</v>
      </c>
      <c r="L180" s="3"/>
      <c r="M180" s="3"/>
      <c r="N180" s="3"/>
      <c r="O180" s="3"/>
      <c r="P180" s="3"/>
      <c r="Q180" s="3" t="b">
        <v>0</v>
      </c>
      <c r="R180" s="3"/>
      <c r="S180" s="1" t="str">
        <f t="shared" si="8"/>
        <v/>
      </c>
      <c r="T180" s="3"/>
      <c r="U180" s="5" t="b">
        <v>0</v>
      </c>
      <c r="W180" s="1" t="b">
        <v>0</v>
      </c>
      <c r="Z180" s="1" t="b">
        <f t="shared" si="7"/>
        <v>0</v>
      </c>
      <c r="AA180" s="1" t="b">
        <f t="shared" si="10"/>
        <v>0</v>
      </c>
    </row>
    <row r="181" spans="1:27" ht="15.75" customHeight="1" x14ac:dyDescent="0.2">
      <c r="A181" s="1" t="s">
        <v>961</v>
      </c>
      <c r="B181" s="1" t="s">
        <v>962</v>
      </c>
      <c r="C181" s="1" t="s">
        <v>963</v>
      </c>
      <c r="D181" s="1" t="s">
        <v>120</v>
      </c>
      <c r="E181" s="1">
        <v>2023</v>
      </c>
      <c r="F181" s="1" t="s">
        <v>964</v>
      </c>
      <c r="G181" s="2" t="s">
        <v>965</v>
      </c>
      <c r="H181" s="1" t="s">
        <v>966</v>
      </c>
      <c r="I181" s="1">
        <v>6</v>
      </c>
      <c r="J181" s="1" t="b">
        <v>0</v>
      </c>
      <c r="K181" s="3" t="b">
        <v>0</v>
      </c>
      <c r="L181" s="3"/>
      <c r="M181" s="3"/>
      <c r="N181" s="3"/>
      <c r="O181" s="3"/>
      <c r="P181" s="3"/>
      <c r="Q181" s="3" t="b">
        <v>0</v>
      </c>
      <c r="R181" s="3"/>
      <c r="S181" s="1" t="str">
        <f t="shared" si="8"/>
        <v/>
      </c>
      <c r="T181" s="3"/>
      <c r="U181" s="5" t="b">
        <v>0</v>
      </c>
      <c r="W181" s="1" t="b">
        <v>0</v>
      </c>
      <c r="Z181" s="1" t="b">
        <f t="shared" si="7"/>
        <v>0</v>
      </c>
      <c r="AA181" s="1" t="b">
        <f t="shared" si="10"/>
        <v>0</v>
      </c>
    </row>
    <row r="182" spans="1:27" ht="15.75" customHeight="1" x14ac:dyDescent="0.2">
      <c r="A182" s="1" t="s">
        <v>967</v>
      </c>
      <c r="B182" s="1" t="s">
        <v>968</v>
      </c>
      <c r="C182" s="1" t="s">
        <v>969</v>
      </c>
      <c r="D182" s="1" t="s">
        <v>49</v>
      </c>
      <c r="E182" s="1">
        <v>2018</v>
      </c>
      <c r="F182" s="1" t="s">
        <v>36</v>
      </c>
      <c r="G182" s="2" t="s">
        <v>970</v>
      </c>
      <c r="H182" s="1" t="s">
        <v>134</v>
      </c>
      <c r="I182" s="1">
        <v>39</v>
      </c>
      <c r="J182" s="1" t="b">
        <v>0</v>
      </c>
      <c r="K182" s="3" t="b">
        <v>1</v>
      </c>
      <c r="L182" s="3"/>
      <c r="M182" s="3"/>
      <c r="N182" s="3"/>
      <c r="O182" s="3"/>
      <c r="P182" s="3"/>
      <c r="Q182" s="3" t="b">
        <v>1</v>
      </c>
      <c r="R182" s="3" t="s">
        <v>971</v>
      </c>
      <c r="S182" s="1" t="str">
        <f t="shared" si="8"/>
        <v/>
      </c>
      <c r="T182" s="3"/>
      <c r="U182" s="5" t="b">
        <v>1</v>
      </c>
      <c r="W182" s="1" t="b">
        <v>1</v>
      </c>
      <c r="Z182" s="1" t="b">
        <f t="shared" si="7"/>
        <v>1</v>
      </c>
      <c r="AA182" s="1" t="b">
        <f t="shared" si="10"/>
        <v>1</v>
      </c>
    </row>
    <row r="183" spans="1:27" ht="15.75" customHeight="1" x14ac:dyDescent="0.2">
      <c r="A183" s="1" t="s">
        <v>972</v>
      </c>
      <c r="B183" s="1" t="s">
        <v>973</v>
      </c>
      <c r="C183" s="1" t="s">
        <v>974</v>
      </c>
      <c r="D183" s="1" t="s">
        <v>120</v>
      </c>
      <c r="E183" s="1">
        <v>2002</v>
      </c>
      <c r="F183" s="1" t="s">
        <v>975</v>
      </c>
      <c r="G183" s="2" t="s">
        <v>976</v>
      </c>
      <c r="H183" s="1" t="s">
        <v>280</v>
      </c>
      <c r="I183" s="1">
        <v>415</v>
      </c>
      <c r="J183" s="1" t="b">
        <v>0</v>
      </c>
      <c r="K183" s="3" t="b">
        <v>1</v>
      </c>
      <c r="L183" s="3"/>
      <c r="M183" s="3"/>
      <c r="N183" s="3"/>
      <c r="O183" s="3"/>
      <c r="P183" s="3"/>
      <c r="Q183" s="3" t="b">
        <v>1</v>
      </c>
      <c r="R183" s="3" t="s">
        <v>977</v>
      </c>
      <c r="S183" s="1" t="str">
        <f t="shared" si="8"/>
        <v/>
      </c>
      <c r="T183" s="3"/>
      <c r="U183" s="5" t="b">
        <v>1</v>
      </c>
      <c r="W183" s="1" t="b">
        <v>1</v>
      </c>
      <c r="Z183" s="1" t="b">
        <f t="shared" si="7"/>
        <v>1</v>
      </c>
      <c r="AA183" s="1" t="b">
        <f t="shared" si="10"/>
        <v>1</v>
      </c>
    </row>
    <row r="184" spans="1:27" ht="15.75" customHeight="1" x14ac:dyDescent="0.2">
      <c r="A184" s="1" t="s">
        <v>978</v>
      </c>
      <c r="B184" s="1" t="s">
        <v>979</v>
      </c>
      <c r="C184" s="1" t="s">
        <v>980</v>
      </c>
      <c r="D184" s="1" t="s">
        <v>106</v>
      </c>
      <c r="E184" s="1">
        <v>1998</v>
      </c>
      <c r="F184" s="1" t="s">
        <v>981</v>
      </c>
      <c r="G184" s="2" t="s">
        <v>982</v>
      </c>
      <c r="H184" s="1" t="s">
        <v>98</v>
      </c>
      <c r="I184" s="1">
        <v>85</v>
      </c>
      <c r="J184" s="1" t="b">
        <v>0</v>
      </c>
      <c r="K184" s="3" t="b">
        <v>0</v>
      </c>
      <c r="L184" s="3"/>
      <c r="M184" s="3"/>
      <c r="N184" s="3"/>
      <c r="O184" s="3"/>
      <c r="P184" s="3"/>
      <c r="Q184" s="3" t="b">
        <v>0</v>
      </c>
      <c r="R184" s="3"/>
      <c r="S184" s="1" t="str">
        <f t="shared" si="8"/>
        <v/>
      </c>
      <c r="T184" s="3"/>
      <c r="U184" s="5" t="b">
        <v>0</v>
      </c>
      <c r="W184" s="1" t="b">
        <v>0</v>
      </c>
      <c r="Z184" s="1" t="b">
        <f t="shared" si="7"/>
        <v>0</v>
      </c>
      <c r="AA184" s="1" t="b">
        <f t="shared" si="10"/>
        <v>0</v>
      </c>
    </row>
    <row r="185" spans="1:27" ht="15.75" customHeight="1" x14ac:dyDescent="0.2">
      <c r="A185" s="1" t="s">
        <v>983</v>
      </c>
      <c r="B185" s="1" t="s">
        <v>984</v>
      </c>
      <c r="C185" s="1" t="s">
        <v>985</v>
      </c>
      <c r="D185" s="1" t="s">
        <v>28</v>
      </c>
      <c r="E185" s="1">
        <v>1993</v>
      </c>
      <c r="F185" s="1" t="s">
        <v>986</v>
      </c>
      <c r="G185" s="2" t="s">
        <v>987</v>
      </c>
      <c r="H185" s="1" t="s">
        <v>31</v>
      </c>
      <c r="I185" s="1">
        <v>59</v>
      </c>
      <c r="J185" s="1" t="b">
        <v>0</v>
      </c>
      <c r="K185" s="3" t="b">
        <v>0</v>
      </c>
      <c r="L185" s="3"/>
      <c r="M185" s="3"/>
      <c r="N185" s="3"/>
      <c r="O185" s="3"/>
      <c r="P185" s="3"/>
      <c r="Q185" s="3" t="b">
        <v>0</v>
      </c>
      <c r="R185" s="3"/>
      <c r="S185" s="1" t="str">
        <f t="shared" si="8"/>
        <v/>
      </c>
      <c r="T185" s="3"/>
      <c r="U185" s="5" t="b">
        <v>0</v>
      </c>
      <c r="W185" s="1" t="b">
        <v>0</v>
      </c>
      <c r="Z185" s="1" t="b">
        <f t="shared" si="7"/>
        <v>0</v>
      </c>
      <c r="AA185" s="1" t="b">
        <f t="shared" si="10"/>
        <v>0</v>
      </c>
    </row>
    <row r="186" spans="1:27" ht="15.75" customHeight="1" x14ac:dyDescent="0.2">
      <c r="A186" s="1" t="s">
        <v>988</v>
      </c>
      <c r="B186" s="1" t="s">
        <v>989</v>
      </c>
      <c r="C186" s="1" t="s">
        <v>990</v>
      </c>
      <c r="D186" s="1" t="s">
        <v>62</v>
      </c>
      <c r="E186" s="1">
        <v>1999</v>
      </c>
      <c r="F186" s="1" t="s">
        <v>991</v>
      </c>
      <c r="G186" s="2" t="s">
        <v>992</v>
      </c>
      <c r="H186" s="1" t="s">
        <v>31</v>
      </c>
      <c r="I186" s="1">
        <v>11</v>
      </c>
      <c r="J186" s="1" t="b">
        <v>0</v>
      </c>
      <c r="K186" s="3" t="b">
        <v>1</v>
      </c>
      <c r="L186" s="3"/>
      <c r="M186" s="3"/>
      <c r="N186" s="3"/>
      <c r="O186" s="3"/>
      <c r="P186" s="3"/>
      <c r="Q186" s="3" t="b">
        <v>1</v>
      </c>
      <c r="R186" s="3" t="s">
        <v>993</v>
      </c>
      <c r="S186" s="1" t="str">
        <f t="shared" si="8"/>
        <v/>
      </c>
      <c r="T186" s="3"/>
      <c r="U186" s="5" t="b">
        <v>1</v>
      </c>
      <c r="V186" s="1" t="s">
        <v>994</v>
      </c>
      <c r="W186" s="1" t="b">
        <v>1</v>
      </c>
      <c r="X186" s="1" t="s">
        <v>995</v>
      </c>
      <c r="Z186" s="1" t="b">
        <f t="shared" si="7"/>
        <v>1</v>
      </c>
      <c r="AA186" s="1" t="b">
        <f t="shared" si="10"/>
        <v>1</v>
      </c>
    </row>
    <row r="187" spans="1:27" ht="15.75" customHeight="1" x14ac:dyDescent="0.2">
      <c r="A187" s="1" t="s">
        <v>996</v>
      </c>
      <c r="B187" s="1" t="s">
        <v>997</v>
      </c>
      <c r="C187" s="1" t="s">
        <v>998</v>
      </c>
      <c r="D187" s="1" t="s">
        <v>35</v>
      </c>
      <c r="E187" s="1">
        <v>2016</v>
      </c>
      <c r="F187" s="1" t="s">
        <v>36</v>
      </c>
      <c r="G187" s="2" t="s">
        <v>999</v>
      </c>
      <c r="H187" s="1" t="s">
        <v>31</v>
      </c>
      <c r="I187" s="1">
        <v>343</v>
      </c>
      <c r="J187" s="1" t="b">
        <v>0</v>
      </c>
      <c r="K187" s="3" t="b">
        <v>0</v>
      </c>
      <c r="L187" s="3"/>
      <c r="M187" s="3"/>
      <c r="N187" s="3"/>
      <c r="O187" s="3"/>
      <c r="P187" s="3"/>
      <c r="Q187" s="3" t="b">
        <v>1</v>
      </c>
      <c r="R187" s="3" t="s">
        <v>1000</v>
      </c>
      <c r="S187" s="1" t="str">
        <f t="shared" si="8"/>
        <v/>
      </c>
      <c r="T187" s="3"/>
      <c r="U187" s="5" t="b">
        <v>0</v>
      </c>
      <c r="W187" s="1" t="s">
        <v>1001</v>
      </c>
      <c r="X187" s="1" t="s">
        <v>1002</v>
      </c>
      <c r="Z187" s="1" t="str">
        <f t="shared" si="7"/>
        <v xml:space="preserve">FALSE </v>
      </c>
      <c r="AA187" s="1" t="str">
        <f t="shared" si="10"/>
        <v xml:space="preserve">FALSE </v>
      </c>
    </row>
    <row r="188" spans="1:27" ht="15.75" customHeight="1" x14ac:dyDescent="0.2">
      <c r="A188" s="1" t="s">
        <v>1003</v>
      </c>
      <c r="B188" s="1" t="s">
        <v>1004</v>
      </c>
      <c r="C188" s="1" t="s">
        <v>1005</v>
      </c>
      <c r="D188" s="1" t="s">
        <v>120</v>
      </c>
      <c r="E188" s="1">
        <v>1994</v>
      </c>
      <c r="F188" s="1" t="s">
        <v>36</v>
      </c>
      <c r="G188" s="2" t="s">
        <v>1006</v>
      </c>
      <c r="H188" s="1" t="s">
        <v>31</v>
      </c>
      <c r="I188" s="1">
        <v>23</v>
      </c>
      <c r="J188" s="1" t="b">
        <v>0</v>
      </c>
      <c r="K188" s="3" t="b">
        <v>1</v>
      </c>
      <c r="L188" s="3"/>
      <c r="M188" s="3"/>
      <c r="N188" s="3"/>
      <c r="O188" s="3"/>
      <c r="P188" s="3"/>
      <c r="Q188" s="3" t="b">
        <v>1</v>
      </c>
      <c r="R188" s="3" t="s">
        <v>1007</v>
      </c>
      <c r="S188" s="1" t="str">
        <f t="shared" si="8"/>
        <v/>
      </c>
      <c r="T188" s="3"/>
      <c r="U188" s="5" t="b">
        <v>1</v>
      </c>
      <c r="V188" s="1" t="s">
        <v>38</v>
      </c>
      <c r="W188" s="1" t="b">
        <v>1</v>
      </c>
      <c r="Z188" s="1" t="b">
        <f t="shared" si="7"/>
        <v>1</v>
      </c>
      <c r="AA188" s="1" t="b">
        <f t="shared" si="10"/>
        <v>1</v>
      </c>
    </row>
    <row r="189" spans="1:27" ht="15.75" customHeight="1" x14ac:dyDescent="0.2">
      <c r="A189" s="1" t="s">
        <v>1008</v>
      </c>
      <c r="B189" s="1" t="s">
        <v>1009</v>
      </c>
      <c r="C189" s="1" t="s">
        <v>1010</v>
      </c>
      <c r="D189" s="1" t="s">
        <v>227</v>
      </c>
      <c r="E189" s="1">
        <v>2009</v>
      </c>
      <c r="F189" s="1" t="s">
        <v>1011</v>
      </c>
      <c r="G189" s="2" t="s">
        <v>1012</v>
      </c>
      <c r="H189" s="1" t="s">
        <v>280</v>
      </c>
      <c r="I189" s="1">
        <v>15</v>
      </c>
      <c r="J189" s="1" t="b">
        <v>0</v>
      </c>
      <c r="K189" s="3" t="b">
        <v>0</v>
      </c>
      <c r="L189" s="3"/>
      <c r="M189" s="3"/>
      <c r="N189" s="3"/>
      <c r="O189" s="3"/>
      <c r="P189" s="3"/>
      <c r="Q189" s="3" t="b">
        <v>0</v>
      </c>
      <c r="R189" s="3"/>
      <c r="S189" s="1" t="str">
        <f t="shared" si="8"/>
        <v/>
      </c>
      <c r="T189" s="3"/>
      <c r="U189" s="5" t="b">
        <v>0</v>
      </c>
      <c r="W189" s="1" t="b">
        <v>0</v>
      </c>
      <c r="Z189" s="1" t="b">
        <f t="shared" si="7"/>
        <v>0</v>
      </c>
      <c r="AA189" s="1" t="b">
        <f t="shared" si="10"/>
        <v>0</v>
      </c>
    </row>
    <row r="190" spans="1:27" ht="15.75" customHeight="1" x14ac:dyDescent="0.2">
      <c r="A190" s="1" t="s">
        <v>1013</v>
      </c>
      <c r="B190" s="1" t="s">
        <v>1014</v>
      </c>
      <c r="C190" s="1" t="s">
        <v>1015</v>
      </c>
      <c r="D190" s="1" t="s">
        <v>120</v>
      </c>
      <c r="E190" s="1">
        <v>2018</v>
      </c>
      <c r="F190" s="1" t="s">
        <v>1016</v>
      </c>
      <c r="G190" s="2" t="s">
        <v>1017</v>
      </c>
      <c r="H190" s="1" t="s">
        <v>725</v>
      </c>
      <c r="I190" s="1">
        <v>53</v>
      </c>
      <c r="J190" s="1" t="b">
        <v>0</v>
      </c>
      <c r="K190" s="3" t="b">
        <v>0</v>
      </c>
      <c r="L190" s="3"/>
      <c r="M190" s="3"/>
      <c r="N190" s="3"/>
      <c r="O190" s="3"/>
      <c r="P190" s="3"/>
      <c r="Q190" s="3" t="b">
        <v>0</v>
      </c>
      <c r="R190" s="3"/>
      <c r="S190" s="1" t="str">
        <f t="shared" si="8"/>
        <v/>
      </c>
      <c r="T190" s="3"/>
      <c r="U190" s="5" t="b">
        <v>0</v>
      </c>
      <c r="W190" s="1" t="b">
        <v>0</v>
      </c>
      <c r="Z190" s="1" t="b">
        <f t="shared" si="7"/>
        <v>0</v>
      </c>
      <c r="AA190" s="1" t="b">
        <f t="shared" si="10"/>
        <v>0</v>
      </c>
    </row>
    <row r="191" spans="1:27" ht="15.75" customHeight="1" x14ac:dyDescent="0.2">
      <c r="A191" s="1" t="s">
        <v>1018</v>
      </c>
      <c r="B191" s="1" t="s">
        <v>1019</v>
      </c>
      <c r="C191" s="1" t="s">
        <v>1020</v>
      </c>
      <c r="D191" s="1" t="s">
        <v>120</v>
      </c>
      <c r="E191" s="1">
        <v>2005</v>
      </c>
      <c r="F191" s="1" t="s">
        <v>1021</v>
      </c>
      <c r="G191" s="2" t="s">
        <v>1022</v>
      </c>
      <c r="H191" s="1" t="s">
        <v>31</v>
      </c>
      <c r="I191" s="1">
        <v>47</v>
      </c>
      <c r="J191" s="1" t="b">
        <v>0</v>
      </c>
      <c r="K191" s="3" t="b">
        <v>0</v>
      </c>
      <c r="L191" s="3"/>
      <c r="M191" s="3"/>
      <c r="N191" s="3"/>
      <c r="O191" s="3"/>
      <c r="P191" s="3"/>
      <c r="Q191" s="3" t="b">
        <v>0</v>
      </c>
      <c r="R191" s="3"/>
      <c r="S191" s="1" t="str">
        <f t="shared" si="8"/>
        <v/>
      </c>
      <c r="T191" s="3"/>
      <c r="U191" s="5" t="b">
        <v>0</v>
      </c>
      <c r="W191" s="1" t="b">
        <v>0</v>
      </c>
      <c r="Z191" s="1" t="b">
        <f t="shared" si="7"/>
        <v>0</v>
      </c>
      <c r="AA191" s="1" t="b">
        <f t="shared" si="10"/>
        <v>0</v>
      </c>
    </row>
    <row r="192" spans="1:27" ht="15.75" customHeight="1" x14ac:dyDescent="0.2">
      <c r="A192" s="1" t="s">
        <v>1023</v>
      </c>
      <c r="B192" s="1" t="s">
        <v>1024</v>
      </c>
      <c r="C192" s="1" t="s">
        <v>1025</v>
      </c>
      <c r="D192" s="1" t="s">
        <v>62</v>
      </c>
      <c r="E192" s="1">
        <v>2017</v>
      </c>
      <c r="F192" s="1" t="s">
        <v>36</v>
      </c>
      <c r="G192" s="2" t="s">
        <v>1026</v>
      </c>
      <c r="H192" s="1" t="s">
        <v>31</v>
      </c>
      <c r="I192" s="1">
        <v>11</v>
      </c>
      <c r="J192" s="1" t="b">
        <v>0</v>
      </c>
      <c r="K192" s="3" t="b">
        <v>1</v>
      </c>
      <c r="L192" s="3"/>
      <c r="M192" s="3"/>
      <c r="N192" s="3"/>
      <c r="O192" s="3"/>
      <c r="P192" s="3"/>
      <c r="Q192" s="3" t="b">
        <v>1</v>
      </c>
      <c r="R192" s="3" t="s">
        <v>1027</v>
      </c>
      <c r="S192" s="1" t="str">
        <f t="shared" si="8"/>
        <v/>
      </c>
      <c r="T192" s="3"/>
      <c r="U192" s="5" t="b">
        <v>1</v>
      </c>
      <c r="W192" s="1" t="b">
        <v>1</v>
      </c>
      <c r="Z192" s="1" t="b">
        <f t="shared" si="7"/>
        <v>1</v>
      </c>
      <c r="AA192" s="1" t="b">
        <f t="shared" si="10"/>
        <v>1</v>
      </c>
    </row>
    <row r="193" spans="1:28" ht="15.75" customHeight="1" x14ac:dyDescent="0.2">
      <c r="A193" s="1" t="s">
        <v>1028</v>
      </c>
      <c r="B193" s="1" t="s">
        <v>1029</v>
      </c>
      <c r="C193" s="1" t="s">
        <v>1030</v>
      </c>
      <c r="D193" s="1" t="s">
        <v>227</v>
      </c>
      <c r="E193" s="1">
        <v>2021</v>
      </c>
      <c r="F193" s="1" t="s">
        <v>36</v>
      </c>
      <c r="G193" s="2" t="s">
        <v>1031</v>
      </c>
      <c r="H193" s="1" t="s">
        <v>310</v>
      </c>
      <c r="I193" s="1">
        <v>22</v>
      </c>
      <c r="J193" s="1" t="b">
        <v>0</v>
      </c>
      <c r="K193" s="3" t="b">
        <v>1</v>
      </c>
      <c r="L193" s="3"/>
      <c r="M193" s="3"/>
      <c r="N193" s="3"/>
      <c r="O193" s="3"/>
      <c r="P193" s="3"/>
      <c r="Q193" s="3" t="b">
        <v>1</v>
      </c>
      <c r="R193" s="3" t="s">
        <v>1032</v>
      </c>
      <c r="S193" s="1" t="str">
        <f t="shared" si="8"/>
        <v/>
      </c>
      <c r="T193" s="3"/>
      <c r="U193" s="5" t="b">
        <v>1</v>
      </c>
      <c r="W193" s="1" t="b">
        <v>1</v>
      </c>
      <c r="X193" s="1" t="s">
        <v>1033</v>
      </c>
      <c r="Z193" s="1" t="b">
        <f t="shared" si="7"/>
        <v>1</v>
      </c>
      <c r="AA193" s="1" t="b">
        <f t="shared" si="10"/>
        <v>1</v>
      </c>
    </row>
    <row r="194" spans="1:28" ht="15.75" customHeight="1" x14ac:dyDescent="0.2">
      <c r="A194" s="1" t="s">
        <v>1034</v>
      </c>
      <c r="B194" s="1" t="s">
        <v>1035</v>
      </c>
      <c r="C194" s="1" t="s">
        <v>1036</v>
      </c>
      <c r="D194" s="1" t="s">
        <v>106</v>
      </c>
      <c r="E194" s="1">
        <v>2022</v>
      </c>
      <c r="F194" s="1" t="s">
        <v>1037</v>
      </c>
      <c r="G194" s="2" t="s">
        <v>1038</v>
      </c>
      <c r="H194" s="1" t="s">
        <v>725</v>
      </c>
      <c r="I194" s="1">
        <v>3</v>
      </c>
      <c r="J194" s="1" t="b">
        <v>0</v>
      </c>
      <c r="K194" s="3" t="b">
        <v>0</v>
      </c>
      <c r="L194" s="3"/>
      <c r="M194" s="3"/>
      <c r="N194" s="3"/>
      <c r="O194" s="3"/>
      <c r="P194" s="3"/>
      <c r="Q194" s="3" t="b">
        <v>0</v>
      </c>
      <c r="R194" s="3"/>
      <c r="S194" s="1" t="str">
        <f t="shared" si="8"/>
        <v/>
      </c>
      <c r="T194" s="3"/>
      <c r="U194" s="5" t="b">
        <v>0</v>
      </c>
      <c r="W194" s="1" t="b">
        <v>0</v>
      </c>
      <c r="Z194" s="1" t="b">
        <f t="shared" si="7"/>
        <v>0</v>
      </c>
      <c r="AA194" s="1" t="b">
        <f t="shared" si="10"/>
        <v>0</v>
      </c>
    </row>
    <row r="195" spans="1:28" ht="15.75" customHeight="1" x14ac:dyDescent="0.2">
      <c r="A195" s="7" t="s">
        <v>1039</v>
      </c>
      <c r="B195" s="7" t="s">
        <v>1040</v>
      </c>
      <c r="C195" s="7" t="s">
        <v>1041</v>
      </c>
      <c r="D195" s="7" t="s">
        <v>28</v>
      </c>
      <c r="E195" s="7">
        <v>1999</v>
      </c>
      <c r="F195" s="7" t="s">
        <v>1042</v>
      </c>
      <c r="G195" s="8" t="s">
        <v>1043</v>
      </c>
      <c r="H195" s="7" t="s">
        <v>31</v>
      </c>
      <c r="I195" s="7">
        <v>43</v>
      </c>
      <c r="J195" s="7" t="b">
        <v>0</v>
      </c>
      <c r="K195" s="9" t="b">
        <v>0</v>
      </c>
      <c r="L195" s="9"/>
      <c r="M195" s="9"/>
      <c r="N195" s="9"/>
      <c r="O195" s="9"/>
      <c r="P195" s="9"/>
      <c r="Q195" s="9" t="b">
        <v>0</v>
      </c>
      <c r="R195" s="9"/>
      <c r="S195" s="1" t="str">
        <f t="shared" si="8"/>
        <v/>
      </c>
      <c r="T195" s="9"/>
      <c r="U195" s="10" t="b">
        <v>0</v>
      </c>
      <c r="V195" s="7"/>
      <c r="W195" s="7" t="b">
        <v>0</v>
      </c>
      <c r="X195" s="7"/>
      <c r="Y195" s="7"/>
      <c r="Z195" s="1" t="b">
        <f t="shared" si="7"/>
        <v>0</v>
      </c>
      <c r="AA195" s="1" t="b">
        <f t="shared" si="10"/>
        <v>0</v>
      </c>
    </row>
    <row r="196" spans="1:28" ht="15.75" customHeight="1" x14ac:dyDescent="0.2">
      <c r="A196" s="7" t="s">
        <v>1044</v>
      </c>
      <c r="B196" s="7" t="s">
        <v>1045</v>
      </c>
      <c r="C196" s="7" t="s">
        <v>1046</v>
      </c>
      <c r="D196" s="7" t="s">
        <v>106</v>
      </c>
      <c r="E196" s="7">
        <v>1995</v>
      </c>
      <c r="F196" s="7" t="s">
        <v>36</v>
      </c>
      <c r="G196" s="1" t="s">
        <v>1047</v>
      </c>
      <c r="H196" s="7" t="s">
        <v>181</v>
      </c>
      <c r="I196" s="7">
        <v>1</v>
      </c>
      <c r="J196" s="7" t="b">
        <v>0</v>
      </c>
      <c r="K196" s="9" t="b">
        <v>1</v>
      </c>
      <c r="L196" s="9"/>
      <c r="M196" s="9"/>
      <c r="N196" s="9"/>
      <c r="O196" s="9"/>
      <c r="P196" s="9"/>
      <c r="Q196" s="9" t="b">
        <v>1</v>
      </c>
      <c r="R196" s="9"/>
      <c r="S196" s="1" t="str">
        <f>IF(OR(K196="",W196=""),"",IF(K196&lt;&gt;W196,"!!!",""))</f>
        <v/>
      </c>
      <c r="T196" s="9"/>
      <c r="U196" s="10" t="b">
        <v>1</v>
      </c>
      <c r="V196" s="7" t="s">
        <v>353</v>
      </c>
      <c r="W196" s="7" t="b">
        <v>1</v>
      </c>
      <c r="X196" s="7" t="s">
        <v>1048</v>
      </c>
      <c r="Y196" s="7"/>
      <c r="Z196" s="1" t="b">
        <f t="shared" si="7"/>
        <v>1</v>
      </c>
      <c r="AA196" s="1"/>
      <c r="AB196" s="1" t="s">
        <v>353</v>
      </c>
    </row>
    <row r="197" spans="1:28" ht="15.75" customHeight="1" x14ac:dyDescent="0.2">
      <c r="A197" s="7" t="s">
        <v>1049</v>
      </c>
      <c r="B197" s="7" t="s">
        <v>1050</v>
      </c>
      <c r="C197" s="7" t="s">
        <v>1051</v>
      </c>
      <c r="D197" s="7" t="s">
        <v>106</v>
      </c>
      <c r="E197" s="7">
        <v>1990</v>
      </c>
      <c r="F197" s="7" t="s">
        <v>36</v>
      </c>
      <c r="G197" s="8" t="s">
        <v>1052</v>
      </c>
      <c r="H197" s="7" t="s">
        <v>280</v>
      </c>
      <c r="I197" s="7">
        <v>134</v>
      </c>
      <c r="J197" s="7" t="b">
        <v>0</v>
      </c>
      <c r="K197" s="9" t="b">
        <v>0</v>
      </c>
      <c r="L197" s="9"/>
      <c r="M197" s="9"/>
      <c r="N197" s="9"/>
      <c r="O197" s="9"/>
      <c r="P197" s="9"/>
      <c r="Q197" s="10" t="b">
        <v>0</v>
      </c>
      <c r="R197" s="9"/>
      <c r="S197" s="1" t="str">
        <f t="shared" ref="S197:S205" si="11">IF(OR(K197="",M197=""),"",IF(K197&lt;&gt;M197,"!!!",""))</f>
        <v/>
      </c>
      <c r="T197" s="9"/>
      <c r="U197" s="10" t="b">
        <v>0</v>
      </c>
      <c r="V197" s="7"/>
      <c r="W197" s="7" t="b">
        <v>0</v>
      </c>
      <c r="X197" s="7"/>
      <c r="Y197" s="7"/>
      <c r="Z197" s="1" t="b">
        <f t="shared" si="7"/>
        <v>0</v>
      </c>
      <c r="AA197" s="1" t="b">
        <f t="shared" si="10"/>
        <v>0</v>
      </c>
    </row>
    <row r="198" spans="1:28" ht="15.75" customHeight="1" x14ac:dyDescent="0.2">
      <c r="A198" s="7" t="s">
        <v>1053</v>
      </c>
      <c r="B198" s="7" t="s">
        <v>1054</v>
      </c>
      <c r="C198" s="7" t="s">
        <v>1055</v>
      </c>
      <c r="D198" s="7" t="s">
        <v>49</v>
      </c>
      <c r="E198" s="7">
        <v>2018</v>
      </c>
      <c r="F198" s="7" t="s">
        <v>36</v>
      </c>
      <c r="G198" s="8" t="s">
        <v>1056</v>
      </c>
      <c r="H198" s="7" t="s">
        <v>181</v>
      </c>
      <c r="I198" s="7">
        <v>48</v>
      </c>
      <c r="J198" s="7" t="b">
        <v>0</v>
      </c>
      <c r="K198" s="9" t="b">
        <v>1</v>
      </c>
      <c r="L198" s="9"/>
      <c r="M198" s="9"/>
      <c r="N198" s="9"/>
      <c r="O198" s="9"/>
      <c r="P198" s="9"/>
      <c r="Q198" s="10" t="b">
        <v>1</v>
      </c>
      <c r="R198" s="9"/>
      <c r="S198" s="1" t="str">
        <f t="shared" si="11"/>
        <v/>
      </c>
      <c r="T198" s="9"/>
      <c r="U198" s="10" t="b">
        <v>1</v>
      </c>
      <c r="V198" s="7"/>
      <c r="W198" s="7" t="b">
        <v>1</v>
      </c>
      <c r="X198" s="7"/>
      <c r="Y198" s="7"/>
      <c r="Z198" s="1" t="b">
        <f t="shared" si="7"/>
        <v>1</v>
      </c>
      <c r="AA198" s="1" t="b">
        <f t="shared" si="10"/>
        <v>1</v>
      </c>
    </row>
    <row r="199" spans="1:28" ht="15.75" customHeight="1" x14ac:dyDescent="0.2">
      <c r="A199" s="7" t="s">
        <v>1057</v>
      </c>
      <c r="B199" s="7" t="s">
        <v>1058</v>
      </c>
      <c r="C199" s="7" t="s">
        <v>1059</v>
      </c>
      <c r="D199" s="7" t="s">
        <v>28</v>
      </c>
      <c r="E199" s="7">
        <v>1991</v>
      </c>
      <c r="F199" s="7" t="s">
        <v>1060</v>
      </c>
      <c r="G199" s="8" t="s">
        <v>1061</v>
      </c>
      <c r="H199" s="7" t="s">
        <v>31</v>
      </c>
      <c r="I199" s="7">
        <v>45</v>
      </c>
      <c r="J199" s="7" t="b">
        <v>0</v>
      </c>
      <c r="K199" s="9" t="b">
        <v>0</v>
      </c>
      <c r="L199" s="9"/>
      <c r="M199" s="9"/>
      <c r="N199" s="9"/>
      <c r="O199" s="9"/>
      <c r="P199" s="9"/>
      <c r="Q199" s="10" t="b">
        <v>0</v>
      </c>
      <c r="R199" s="9"/>
      <c r="S199" s="1" t="str">
        <f t="shared" si="11"/>
        <v/>
      </c>
      <c r="T199" s="9"/>
      <c r="U199" s="10" t="b">
        <v>0</v>
      </c>
      <c r="V199" s="7"/>
      <c r="W199" s="7" t="b">
        <v>0</v>
      </c>
      <c r="X199" s="7"/>
      <c r="Y199" s="7"/>
      <c r="Z199" s="1" t="b">
        <f t="shared" si="7"/>
        <v>0</v>
      </c>
      <c r="AA199" s="1" t="b">
        <f t="shared" ref="AA199:AA205" si="12">Z199</f>
        <v>0</v>
      </c>
    </row>
    <row r="200" spans="1:28" ht="15.75" customHeight="1" x14ac:dyDescent="0.2">
      <c r="A200" s="7" t="s">
        <v>1062</v>
      </c>
      <c r="B200" s="7" t="s">
        <v>1063</v>
      </c>
      <c r="C200" s="7" t="s">
        <v>1064</v>
      </c>
      <c r="D200" s="7" t="s">
        <v>227</v>
      </c>
      <c r="E200" s="7">
        <v>2004</v>
      </c>
      <c r="F200" s="7" t="s">
        <v>1065</v>
      </c>
      <c r="G200" s="8" t="s">
        <v>1066</v>
      </c>
      <c r="H200" s="7" t="s">
        <v>518</v>
      </c>
      <c r="I200" s="7">
        <v>37</v>
      </c>
      <c r="J200" s="7" t="b">
        <v>0</v>
      </c>
      <c r="K200" s="9" t="b">
        <v>0</v>
      </c>
      <c r="L200" s="9"/>
      <c r="M200" s="9"/>
      <c r="N200" s="9"/>
      <c r="O200" s="9"/>
      <c r="P200" s="9"/>
      <c r="Q200" s="10" t="b">
        <v>0</v>
      </c>
      <c r="R200" s="9"/>
      <c r="S200" s="1" t="str">
        <f t="shared" si="11"/>
        <v/>
      </c>
      <c r="T200" s="9"/>
      <c r="U200" s="10" t="b">
        <v>0</v>
      </c>
      <c r="V200" s="7"/>
      <c r="W200" s="7" t="b">
        <v>0</v>
      </c>
      <c r="X200" s="7"/>
      <c r="Y200" s="7"/>
      <c r="Z200" s="1" t="b">
        <f t="shared" si="7"/>
        <v>0</v>
      </c>
      <c r="AA200" s="1" t="b">
        <f t="shared" si="12"/>
        <v>0</v>
      </c>
    </row>
    <row r="201" spans="1:28" ht="15.75" customHeight="1" x14ac:dyDescent="0.2">
      <c r="A201" s="7" t="s">
        <v>1067</v>
      </c>
      <c r="B201" s="7" t="s">
        <v>1068</v>
      </c>
      <c r="C201" s="7" t="s">
        <v>1069</v>
      </c>
      <c r="D201" s="7" t="s">
        <v>35</v>
      </c>
      <c r="E201" s="7">
        <v>2003</v>
      </c>
      <c r="F201" s="7" t="s">
        <v>36</v>
      </c>
      <c r="G201" s="8" t="s">
        <v>1070</v>
      </c>
      <c r="H201" s="7" t="s">
        <v>31</v>
      </c>
      <c r="I201" s="7">
        <v>196</v>
      </c>
      <c r="J201" s="7" t="b">
        <v>0</v>
      </c>
      <c r="K201" s="9" t="b">
        <v>0</v>
      </c>
      <c r="L201" s="9"/>
      <c r="M201" s="9"/>
      <c r="N201" s="9"/>
      <c r="O201" s="9"/>
      <c r="P201" s="9"/>
      <c r="Q201" s="10" t="b">
        <v>0</v>
      </c>
      <c r="R201" s="9"/>
      <c r="S201" s="1" t="str">
        <f t="shared" si="11"/>
        <v/>
      </c>
      <c r="T201" s="9"/>
      <c r="U201" s="10" t="b">
        <v>0</v>
      </c>
      <c r="V201" s="7"/>
      <c r="W201" s="7" t="b">
        <v>0</v>
      </c>
      <c r="X201" s="7"/>
      <c r="Y201" s="7"/>
      <c r="Z201" s="1" t="b">
        <f t="shared" si="7"/>
        <v>0</v>
      </c>
      <c r="AA201" s="1" t="b">
        <f t="shared" si="12"/>
        <v>0</v>
      </c>
    </row>
    <row r="202" spans="1:28" ht="15.75" customHeight="1" x14ac:dyDescent="0.2">
      <c r="A202" s="1" t="s">
        <v>1071</v>
      </c>
      <c r="B202" s="1" t="s">
        <v>1072</v>
      </c>
      <c r="C202" s="1" t="s">
        <v>1073</v>
      </c>
      <c r="D202" s="1" t="s">
        <v>72</v>
      </c>
      <c r="E202" s="1">
        <v>1997</v>
      </c>
      <c r="F202" s="1" t="s">
        <v>1074</v>
      </c>
      <c r="G202" s="2" t="s">
        <v>1075</v>
      </c>
      <c r="H202" s="1" t="s">
        <v>687</v>
      </c>
      <c r="I202" s="1">
        <v>118</v>
      </c>
      <c r="J202" s="1" t="b">
        <v>0</v>
      </c>
      <c r="K202" s="3" t="b">
        <v>0</v>
      </c>
      <c r="L202" s="3"/>
      <c r="M202" s="3"/>
      <c r="N202" s="3"/>
      <c r="O202" s="3"/>
      <c r="P202" s="3"/>
      <c r="Q202" s="3"/>
      <c r="R202" s="3"/>
      <c r="S202" s="1" t="str">
        <f t="shared" si="11"/>
        <v/>
      </c>
      <c r="T202" s="3"/>
      <c r="U202" s="5" t="b">
        <v>0</v>
      </c>
      <c r="W202" s="1" t="b">
        <v>0</v>
      </c>
      <c r="Z202" s="1" t="b">
        <f t="shared" si="7"/>
        <v>0</v>
      </c>
      <c r="AA202" s="1" t="b">
        <f t="shared" si="12"/>
        <v>0</v>
      </c>
    </row>
    <row r="203" spans="1:28" ht="15.75" customHeight="1" x14ac:dyDescent="0.2">
      <c r="A203" s="1" t="s">
        <v>1076</v>
      </c>
      <c r="B203" s="1" t="s">
        <v>1077</v>
      </c>
      <c r="C203" s="1" t="s">
        <v>1078</v>
      </c>
      <c r="D203" s="1" t="s">
        <v>35</v>
      </c>
      <c r="E203" s="1">
        <v>2002</v>
      </c>
      <c r="F203" s="1" t="s">
        <v>36</v>
      </c>
      <c r="G203" s="2" t="s">
        <v>1079</v>
      </c>
      <c r="H203" s="1" t="s">
        <v>31</v>
      </c>
      <c r="I203" s="1">
        <v>135</v>
      </c>
      <c r="J203" s="1" t="b">
        <v>0</v>
      </c>
      <c r="K203" s="3" t="b">
        <v>0</v>
      </c>
      <c r="L203" s="3"/>
      <c r="M203" s="3"/>
      <c r="N203" s="3"/>
      <c r="O203" s="3"/>
      <c r="P203" s="3"/>
      <c r="Q203" s="3"/>
      <c r="R203" s="3"/>
      <c r="S203" s="1" t="str">
        <f t="shared" si="11"/>
        <v/>
      </c>
      <c r="T203" s="3"/>
      <c r="U203" s="5" t="b">
        <v>0</v>
      </c>
      <c r="W203" s="1" t="b">
        <v>0</v>
      </c>
      <c r="Z203" s="1" t="b">
        <f t="shared" si="7"/>
        <v>0</v>
      </c>
      <c r="AA203" s="1" t="b">
        <f t="shared" si="12"/>
        <v>0</v>
      </c>
    </row>
    <row r="204" spans="1:28" ht="15.75" customHeight="1" x14ac:dyDescent="0.2">
      <c r="A204" s="1" t="s">
        <v>1080</v>
      </c>
      <c r="B204" s="1" t="s">
        <v>1081</v>
      </c>
      <c r="C204" s="1" t="s">
        <v>1082</v>
      </c>
      <c r="D204" s="1" t="s">
        <v>179</v>
      </c>
      <c r="E204" s="1">
        <v>2010</v>
      </c>
      <c r="F204" s="1" t="s">
        <v>36</v>
      </c>
      <c r="G204" s="2" t="s">
        <v>1083</v>
      </c>
      <c r="H204" s="1" t="s">
        <v>31</v>
      </c>
      <c r="I204" s="1">
        <v>3</v>
      </c>
      <c r="J204" s="1" t="b">
        <v>0</v>
      </c>
      <c r="K204" s="3" t="b">
        <v>0</v>
      </c>
      <c r="L204" s="3"/>
      <c r="M204" s="3"/>
      <c r="N204" s="3"/>
      <c r="O204" s="3"/>
      <c r="P204" s="3"/>
      <c r="Q204" s="3"/>
      <c r="R204" s="3"/>
      <c r="S204" s="1" t="str">
        <f t="shared" si="11"/>
        <v/>
      </c>
      <c r="T204" s="3"/>
      <c r="U204" s="5" t="b">
        <v>0</v>
      </c>
      <c r="W204" s="1" t="b">
        <v>0</v>
      </c>
      <c r="Z204" s="1" t="b">
        <f t="shared" si="7"/>
        <v>0</v>
      </c>
      <c r="AA204" s="1" t="b">
        <f t="shared" si="12"/>
        <v>0</v>
      </c>
    </row>
    <row r="205" spans="1:28" ht="15.75" customHeight="1" x14ac:dyDescent="0.2">
      <c r="A205" s="1" t="s">
        <v>1084</v>
      </c>
      <c r="B205" s="1" t="s">
        <v>1085</v>
      </c>
      <c r="C205" s="1" t="s">
        <v>1086</v>
      </c>
      <c r="D205" s="1" t="s">
        <v>106</v>
      </c>
      <c r="E205" s="1">
        <v>2001</v>
      </c>
      <c r="F205" s="1" t="s">
        <v>1087</v>
      </c>
      <c r="G205" s="2" t="s">
        <v>1088</v>
      </c>
      <c r="H205" s="1" t="s">
        <v>31</v>
      </c>
      <c r="I205" s="1">
        <v>666</v>
      </c>
      <c r="J205" s="1" t="b">
        <v>0</v>
      </c>
      <c r="K205" s="3" t="b">
        <v>0</v>
      </c>
      <c r="L205" s="3"/>
      <c r="M205" s="3"/>
      <c r="N205" s="3"/>
      <c r="O205" s="3"/>
      <c r="P205" s="3"/>
      <c r="Q205" s="3"/>
      <c r="R205" s="3"/>
      <c r="S205" s="1" t="str">
        <f t="shared" si="11"/>
        <v/>
      </c>
      <c r="T205" s="3"/>
      <c r="U205" s="5" t="b">
        <v>0</v>
      </c>
      <c r="W205" s="1" t="b">
        <v>0</v>
      </c>
      <c r="Z205" s="1" t="b">
        <f t="shared" si="7"/>
        <v>0</v>
      </c>
      <c r="AA205" s="1" t="b">
        <f t="shared" si="12"/>
        <v>0</v>
      </c>
    </row>
    <row r="206" spans="1:28" ht="15.75" customHeight="1" x14ac:dyDescent="0.2">
      <c r="A206" s="1"/>
      <c r="B206" s="1"/>
      <c r="C206" s="1"/>
      <c r="D206" s="1"/>
      <c r="E206" s="1"/>
      <c r="F206" s="1"/>
      <c r="G206" s="2"/>
      <c r="H206" s="1"/>
      <c r="I206" s="1"/>
      <c r="J206" s="1"/>
      <c r="K206" s="3"/>
      <c r="L206" s="3"/>
      <c r="M206" s="3"/>
      <c r="N206" s="3"/>
      <c r="O206" s="3"/>
      <c r="P206" s="3"/>
      <c r="Q206" s="3"/>
      <c r="R206" s="3"/>
      <c r="S206" s="3"/>
      <c r="T206" s="3"/>
      <c r="U206" s="3"/>
      <c r="AA206" s="1"/>
    </row>
    <row r="207" spans="1:28" ht="15.75" customHeight="1" x14ac:dyDescent="0.2">
      <c r="A207" s="1"/>
      <c r="B207" s="1"/>
      <c r="C207" s="1"/>
      <c r="D207" s="1"/>
      <c r="E207" s="1"/>
      <c r="F207" s="1"/>
      <c r="G207" s="2"/>
      <c r="H207" s="1"/>
      <c r="I207" s="1"/>
      <c r="J207" s="1"/>
      <c r="K207" s="3"/>
      <c r="L207" s="3"/>
      <c r="M207" s="3"/>
      <c r="N207" s="3"/>
      <c r="O207" s="3"/>
      <c r="P207" s="3"/>
      <c r="Q207" s="3"/>
      <c r="R207" s="3"/>
      <c r="S207" s="3"/>
      <c r="T207" s="3"/>
      <c r="U207" s="3"/>
      <c r="AA207" s="1"/>
    </row>
    <row r="208" spans="1:28" ht="15.75" customHeight="1" x14ac:dyDescent="0.2">
      <c r="A208" s="1"/>
      <c r="B208" s="1"/>
      <c r="C208" s="1"/>
      <c r="D208" s="1"/>
      <c r="E208" s="1"/>
      <c r="F208" s="1"/>
      <c r="G208" s="2"/>
      <c r="H208" s="1"/>
      <c r="I208" s="1"/>
      <c r="J208" s="1"/>
      <c r="K208" s="3"/>
      <c r="L208" s="3"/>
      <c r="M208" s="3"/>
      <c r="N208" s="3"/>
      <c r="O208" s="3"/>
      <c r="P208" s="3"/>
      <c r="Q208" s="3"/>
      <c r="R208" s="3"/>
      <c r="S208" s="3"/>
      <c r="T208" s="3"/>
      <c r="U208" s="3"/>
      <c r="AA208" s="1"/>
    </row>
    <row r="209" spans="1:27" ht="15.75" customHeight="1" x14ac:dyDescent="0.2">
      <c r="A209" s="1"/>
      <c r="B209" s="1"/>
      <c r="C209" s="1"/>
      <c r="D209" s="1"/>
      <c r="E209" s="1"/>
      <c r="F209" s="1"/>
      <c r="G209" s="2"/>
      <c r="H209" s="1"/>
      <c r="I209" s="1"/>
      <c r="J209" s="1"/>
      <c r="K209" s="3"/>
      <c r="L209" s="3"/>
      <c r="M209" s="3"/>
      <c r="N209" s="3"/>
      <c r="O209" s="3"/>
      <c r="P209" s="3"/>
      <c r="Q209" s="3"/>
      <c r="R209" s="3"/>
      <c r="S209" s="3"/>
      <c r="T209" s="3"/>
      <c r="U209" s="3"/>
      <c r="AA209" s="1"/>
    </row>
    <row r="210" spans="1:27" ht="15.75" customHeight="1" x14ac:dyDescent="0.2">
      <c r="A210" s="1"/>
      <c r="B210" s="1"/>
      <c r="C210" s="1"/>
      <c r="D210" s="1"/>
      <c r="E210" s="1"/>
      <c r="F210" s="1"/>
      <c r="G210" s="2"/>
      <c r="H210" s="1"/>
      <c r="I210" s="1"/>
      <c r="J210" s="1"/>
      <c r="K210" s="3"/>
      <c r="L210" s="3"/>
      <c r="M210" s="3"/>
      <c r="N210" s="3"/>
      <c r="O210" s="3"/>
      <c r="P210" s="3"/>
      <c r="Q210" s="3"/>
      <c r="R210" s="3"/>
      <c r="S210" s="3"/>
      <c r="T210" s="3"/>
      <c r="U210" s="3"/>
      <c r="AA210" s="1"/>
    </row>
    <row r="211" spans="1:27" ht="15.75" customHeight="1" x14ac:dyDescent="0.2">
      <c r="A211" s="1"/>
      <c r="B211" s="1"/>
      <c r="C211" s="1"/>
      <c r="D211" s="1"/>
      <c r="E211" s="1"/>
      <c r="F211" s="1"/>
      <c r="G211" s="2"/>
      <c r="H211" s="1"/>
      <c r="I211" s="1"/>
      <c r="J211" s="1"/>
      <c r="K211" s="3"/>
      <c r="L211" s="3"/>
      <c r="M211" s="3"/>
      <c r="N211" s="3"/>
      <c r="O211" s="3"/>
      <c r="P211" s="3"/>
      <c r="Q211" s="3"/>
      <c r="R211" s="3"/>
      <c r="S211" s="3"/>
      <c r="T211" s="3"/>
      <c r="U211" s="3"/>
      <c r="AA211" s="1"/>
    </row>
    <row r="212" spans="1:27" ht="15.75" customHeight="1" x14ac:dyDescent="0.2">
      <c r="A212" s="1"/>
      <c r="B212" s="1"/>
      <c r="C212" s="1"/>
      <c r="D212" s="1"/>
      <c r="E212" s="1"/>
      <c r="F212" s="1"/>
      <c r="G212" s="2"/>
      <c r="H212" s="1"/>
      <c r="I212" s="1"/>
      <c r="J212" s="1"/>
      <c r="K212" s="3"/>
      <c r="L212" s="3"/>
      <c r="M212" s="3"/>
      <c r="N212" s="3"/>
      <c r="O212" s="3"/>
      <c r="P212" s="3"/>
      <c r="Q212" s="3"/>
      <c r="R212" s="3"/>
      <c r="S212" s="3"/>
      <c r="T212" s="3"/>
      <c r="U212" s="3"/>
      <c r="AA212" s="1"/>
    </row>
    <row r="213" spans="1:27" ht="15.75" customHeight="1" x14ac:dyDescent="0.2">
      <c r="A213" s="1"/>
      <c r="B213" s="1"/>
      <c r="C213" s="1"/>
      <c r="D213" s="1"/>
      <c r="E213" s="1"/>
      <c r="F213" s="1"/>
      <c r="G213" s="2"/>
      <c r="H213" s="1"/>
      <c r="I213" s="1"/>
      <c r="J213" s="1"/>
      <c r="K213" s="3"/>
      <c r="L213" s="3"/>
      <c r="M213" s="3"/>
      <c r="N213" s="3"/>
      <c r="O213" s="3"/>
      <c r="P213" s="3"/>
      <c r="Q213" s="3"/>
      <c r="R213" s="3"/>
      <c r="S213" s="3"/>
      <c r="T213" s="3"/>
      <c r="U213" s="3"/>
      <c r="AA213" s="1"/>
    </row>
    <row r="214" spans="1:27" ht="15.75" customHeight="1" x14ac:dyDescent="0.2">
      <c r="A214" s="1"/>
      <c r="B214" s="1"/>
      <c r="C214" s="1"/>
      <c r="D214" s="1"/>
      <c r="E214" s="1"/>
      <c r="F214" s="1"/>
      <c r="G214" s="2"/>
      <c r="H214" s="1"/>
      <c r="I214" s="1"/>
      <c r="J214" s="1"/>
      <c r="K214" s="3"/>
      <c r="L214" s="3"/>
      <c r="M214" s="3"/>
      <c r="N214" s="3"/>
      <c r="O214" s="3"/>
      <c r="P214" s="3"/>
      <c r="Q214" s="3"/>
      <c r="R214" s="3"/>
      <c r="S214" s="3"/>
      <c r="T214" s="3"/>
      <c r="U214" s="3"/>
      <c r="AA214" s="1"/>
    </row>
    <row r="215" spans="1:27" ht="15.75" customHeight="1" x14ac:dyDescent="0.2">
      <c r="A215" s="1"/>
      <c r="B215" s="1"/>
      <c r="C215" s="1"/>
      <c r="D215" s="1"/>
      <c r="E215" s="1"/>
      <c r="F215" s="1"/>
      <c r="G215" s="2"/>
      <c r="H215" s="1"/>
      <c r="I215" s="1"/>
      <c r="J215" s="1"/>
      <c r="K215" s="3"/>
      <c r="L215" s="3"/>
      <c r="M215" s="3"/>
      <c r="N215" s="3"/>
      <c r="O215" s="3"/>
      <c r="P215" s="3"/>
      <c r="Q215" s="3"/>
      <c r="R215" s="3"/>
      <c r="S215" s="3"/>
      <c r="T215" s="3"/>
      <c r="U215" s="3"/>
      <c r="AA215" s="1"/>
    </row>
    <row r="216" spans="1:27" ht="15.75" customHeight="1" x14ac:dyDescent="0.2">
      <c r="A216" s="1"/>
      <c r="B216" s="1"/>
      <c r="C216" s="1"/>
      <c r="D216" s="1"/>
      <c r="E216" s="1"/>
      <c r="F216" s="1"/>
      <c r="G216" s="2"/>
      <c r="H216" s="1"/>
      <c r="I216" s="1"/>
      <c r="J216" s="1"/>
      <c r="K216" s="3"/>
      <c r="L216" s="3"/>
      <c r="M216" s="3"/>
      <c r="N216" s="3"/>
      <c r="O216" s="3"/>
      <c r="P216" s="3"/>
      <c r="Q216" s="3"/>
      <c r="R216" s="3"/>
      <c r="S216" s="3"/>
      <c r="T216" s="3"/>
      <c r="U216" s="3"/>
      <c r="AA216" s="1"/>
    </row>
    <row r="217" spans="1:27" ht="15.75" customHeight="1" x14ac:dyDescent="0.2">
      <c r="A217" s="1"/>
      <c r="B217" s="1"/>
      <c r="C217" s="1"/>
      <c r="D217" s="1"/>
      <c r="E217" s="1"/>
      <c r="F217" s="1"/>
      <c r="G217" s="2"/>
      <c r="H217" s="1"/>
      <c r="I217" s="1"/>
      <c r="J217" s="1"/>
      <c r="K217" s="3"/>
      <c r="L217" s="3"/>
      <c r="M217" s="3"/>
      <c r="N217" s="3"/>
      <c r="O217" s="3"/>
      <c r="P217" s="3"/>
      <c r="Q217" s="3"/>
      <c r="R217" s="3"/>
      <c r="S217" s="3"/>
      <c r="T217" s="3"/>
      <c r="U217" s="3"/>
      <c r="AA217" s="1"/>
    </row>
    <row r="218" spans="1:27" ht="15.75" customHeight="1" x14ac:dyDescent="0.2">
      <c r="A218" s="1"/>
      <c r="B218" s="1"/>
      <c r="C218" s="1"/>
      <c r="D218" s="1"/>
      <c r="E218" s="1"/>
      <c r="F218" s="1"/>
      <c r="G218" s="2"/>
      <c r="H218" s="1"/>
      <c r="I218" s="1"/>
      <c r="J218" s="1"/>
      <c r="K218" s="3"/>
      <c r="L218" s="3"/>
      <c r="M218" s="3"/>
      <c r="N218" s="3"/>
      <c r="O218" s="3"/>
      <c r="P218" s="3"/>
      <c r="Q218" s="3"/>
      <c r="R218" s="3"/>
      <c r="S218" s="3"/>
      <c r="T218" s="3"/>
      <c r="U218" s="3"/>
      <c r="AA218" s="1"/>
    </row>
    <row r="219" spans="1:27" ht="15.75" customHeight="1" x14ac:dyDescent="0.2">
      <c r="A219" s="1"/>
      <c r="B219" s="1"/>
      <c r="C219" s="1"/>
      <c r="D219" s="1"/>
      <c r="E219" s="1"/>
      <c r="F219" s="1"/>
      <c r="G219" s="2"/>
      <c r="H219" s="1"/>
      <c r="I219" s="1"/>
      <c r="J219" s="1"/>
      <c r="K219" s="3"/>
      <c r="L219" s="3"/>
      <c r="M219" s="3"/>
      <c r="N219" s="3"/>
      <c r="O219" s="3"/>
      <c r="P219" s="3"/>
      <c r="Q219" s="3"/>
      <c r="R219" s="3"/>
      <c r="S219" s="3"/>
      <c r="T219" s="3"/>
      <c r="U219" s="3"/>
      <c r="AA219" s="1"/>
    </row>
    <row r="220" spans="1:27" ht="15.75" customHeight="1" x14ac:dyDescent="0.2">
      <c r="A220" s="1"/>
      <c r="B220" s="1"/>
      <c r="C220" s="1"/>
      <c r="D220" s="1"/>
      <c r="E220" s="1"/>
      <c r="F220" s="1"/>
      <c r="G220" s="2"/>
      <c r="H220" s="1"/>
      <c r="I220" s="1"/>
      <c r="J220" s="1"/>
      <c r="K220" s="3"/>
      <c r="L220" s="3"/>
      <c r="M220" s="3"/>
      <c r="N220" s="3"/>
      <c r="O220" s="3"/>
      <c r="P220" s="3"/>
      <c r="Q220" s="3"/>
      <c r="R220" s="3"/>
      <c r="S220" s="3"/>
      <c r="T220" s="3"/>
      <c r="U220" s="3"/>
      <c r="AA220" s="1"/>
    </row>
    <row r="221" spans="1:27" ht="15.75" customHeight="1" x14ac:dyDescent="0.2">
      <c r="A221" s="1"/>
      <c r="B221" s="1"/>
      <c r="C221" s="1"/>
      <c r="D221" s="1"/>
      <c r="E221" s="1"/>
      <c r="F221" s="1"/>
      <c r="G221" s="2"/>
      <c r="H221" s="1"/>
      <c r="I221" s="1"/>
      <c r="J221" s="1"/>
      <c r="K221" s="3"/>
      <c r="L221" s="3"/>
      <c r="M221" s="3"/>
      <c r="N221" s="3"/>
      <c r="O221" s="3"/>
      <c r="P221" s="3"/>
      <c r="Q221" s="3"/>
      <c r="R221" s="3"/>
      <c r="S221" s="3"/>
      <c r="T221" s="3"/>
      <c r="U221" s="3"/>
      <c r="AA221" s="1"/>
    </row>
    <row r="222" spans="1:27" ht="15.75" customHeight="1" x14ac:dyDescent="0.2">
      <c r="A222" s="1"/>
      <c r="B222" s="1"/>
      <c r="C222" s="1"/>
      <c r="D222" s="1"/>
      <c r="E222" s="1"/>
      <c r="F222" s="1"/>
      <c r="G222" s="2"/>
      <c r="H222" s="1"/>
      <c r="I222" s="1"/>
      <c r="J222" s="1"/>
      <c r="K222" s="3"/>
      <c r="L222" s="3"/>
      <c r="M222" s="3"/>
      <c r="N222" s="3"/>
      <c r="O222" s="3"/>
      <c r="P222" s="3"/>
      <c r="Q222" s="3"/>
      <c r="R222" s="3"/>
      <c r="S222" s="3"/>
      <c r="T222" s="3"/>
      <c r="U222" s="3"/>
      <c r="AA222" s="1"/>
    </row>
    <row r="223" spans="1:27" ht="15.75" customHeight="1" x14ac:dyDescent="0.2">
      <c r="A223" s="1"/>
      <c r="B223" s="1"/>
      <c r="C223" s="1"/>
      <c r="D223" s="1"/>
      <c r="E223" s="1"/>
      <c r="F223" s="1"/>
      <c r="G223" s="2"/>
      <c r="H223" s="1"/>
      <c r="I223" s="1"/>
      <c r="J223" s="1"/>
      <c r="K223" s="3"/>
      <c r="L223" s="3"/>
      <c r="M223" s="3"/>
      <c r="N223" s="3"/>
      <c r="O223" s="3"/>
      <c r="P223" s="3"/>
      <c r="Q223" s="3"/>
      <c r="R223" s="3"/>
      <c r="S223" s="3"/>
      <c r="T223" s="3"/>
      <c r="U223" s="3"/>
      <c r="AA223" s="1"/>
    </row>
    <row r="224" spans="1:27" ht="15.75" customHeight="1" x14ac:dyDescent="0.2">
      <c r="A224" s="1"/>
      <c r="B224" s="1"/>
      <c r="C224" s="1"/>
      <c r="D224" s="1"/>
      <c r="E224" s="1"/>
      <c r="F224" s="1"/>
      <c r="G224" s="2"/>
      <c r="H224" s="1"/>
      <c r="I224" s="1"/>
      <c r="J224" s="1"/>
      <c r="K224" s="3"/>
      <c r="L224" s="3"/>
      <c r="M224" s="3"/>
      <c r="N224" s="3"/>
      <c r="O224" s="3"/>
      <c r="P224" s="3"/>
      <c r="Q224" s="3"/>
      <c r="R224" s="3"/>
      <c r="S224" s="3"/>
      <c r="T224" s="3"/>
      <c r="U224" s="3"/>
      <c r="AA224" s="1"/>
    </row>
    <row r="225" spans="1:27" ht="15.75" customHeight="1" x14ac:dyDescent="0.2">
      <c r="A225" s="1"/>
      <c r="B225" s="1"/>
      <c r="C225" s="1"/>
      <c r="D225" s="1"/>
      <c r="E225" s="1"/>
      <c r="F225" s="1"/>
      <c r="G225" s="2"/>
      <c r="H225" s="1"/>
      <c r="I225" s="1"/>
      <c r="J225" s="1"/>
      <c r="K225" s="3"/>
      <c r="L225" s="3"/>
      <c r="M225" s="3"/>
      <c r="N225" s="3"/>
      <c r="O225" s="3"/>
      <c r="P225" s="3"/>
      <c r="Q225" s="3"/>
      <c r="R225" s="3"/>
      <c r="S225" s="3"/>
      <c r="T225" s="3"/>
      <c r="U225" s="3"/>
      <c r="AA225" s="1"/>
    </row>
    <row r="226" spans="1:27" ht="15.75" customHeight="1" x14ac:dyDescent="0.2">
      <c r="A226" s="1"/>
      <c r="B226" s="1"/>
      <c r="C226" s="1"/>
      <c r="D226" s="1"/>
      <c r="E226" s="1"/>
      <c r="F226" s="1"/>
      <c r="G226" s="2"/>
      <c r="H226" s="1"/>
      <c r="I226" s="1"/>
      <c r="J226" s="1"/>
      <c r="K226" s="3"/>
      <c r="L226" s="3"/>
      <c r="M226" s="3"/>
      <c r="N226" s="3"/>
      <c r="O226" s="3"/>
      <c r="P226" s="3"/>
      <c r="Q226" s="3"/>
      <c r="R226" s="3"/>
      <c r="S226" s="3"/>
      <c r="T226" s="3"/>
      <c r="U226" s="3"/>
      <c r="AA226" s="1"/>
    </row>
    <row r="227" spans="1:27" ht="15.75" customHeight="1" x14ac:dyDescent="0.2">
      <c r="A227" s="1"/>
      <c r="B227" s="1"/>
      <c r="C227" s="1"/>
      <c r="D227" s="1"/>
      <c r="E227" s="1"/>
      <c r="F227" s="1"/>
      <c r="G227" s="2"/>
      <c r="H227" s="1"/>
      <c r="I227" s="1"/>
      <c r="J227" s="1"/>
      <c r="K227" s="3"/>
      <c r="L227" s="3"/>
      <c r="M227" s="3"/>
      <c r="N227" s="3"/>
      <c r="O227" s="3"/>
      <c r="P227" s="3"/>
      <c r="Q227" s="3"/>
      <c r="R227" s="3"/>
      <c r="S227" s="3"/>
      <c r="T227" s="3"/>
      <c r="U227" s="3"/>
      <c r="AA227" s="1"/>
    </row>
    <row r="228" spans="1:27" ht="15.75" customHeight="1" x14ac:dyDescent="0.2">
      <c r="A228" s="1"/>
      <c r="B228" s="1"/>
      <c r="C228" s="1"/>
      <c r="D228" s="1"/>
      <c r="E228" s="1"/>
      <c r="F228" s="1"/>
      <c r="G228" s="2"/>
      <c r="H228" s="1"/>
      <c r="I228" s="1"/>
      <c r="J228" s="1"/>
      <c r="K228" s="3"/>
      <c r="L228" s="3"/>
      <c r="M228" s="3"/>
      <c r="N228" s="3"/>
      <c r="O228" s="3"/>
      <c r="P228" s="3"/>
      <c r="Q228" s="3"/>
      <c r="R228" s="3"/>
      <c r="S228" s="3"/>
      <c r="T228" s="3"/>
      <c r="U228" s="3"/>
      <c r="AA228" s="1"/>
    </row>
    <row r="229" spans="1:27" ht="15.75" customHeight="1" x14ac:dyDescent="0.2">
      <c r="A229" s="1"/>
      <c r="B229" s="1"/>
      <c r="C229" s="1"/>
      <c r="D229" s="1"/>
      <c r="E229" s="1"/>
      <c r="F229" s="1"/>
      <c r="G229" s="2"/>
      <c r="H229" s="1"/>
      <c r="I229" s="1"/>
      <c r="J229" s="1"/>
      <c r="K229" s="3"/>
      <c r="L229" s="3"/>
      <c r="M229" s="3"/>
      <c r="N229" s="3"/>
      <c r="O229" s="3"/>
      <c r="P229" s="3"/>
      <c r="Q229" s="3"/>
      <c r="R229" s="3"/>
      <c r="S229" s="3"/>
      <c r="T229" s="3"/>
      <c r="U229" s="3"/>
      <c r="AA229" s="1"/>
    </row>
    <row r="230" spans="1:27" ht="15.75" customHeight="1" x14ac:dyDescent="0.2">
      <c r="A230" s="1"/>
      <c r="B230" s="1"/>
      <c r="C230" s="1"/>
      <c r="D230" s="1"/>
      <c r="E230" s="1"/>
      <c r="F230" s="1"/>
      <c r="G230" s="2"/>
      <c r="H230" s="1"/>
      <c r="I230" s="1"/>
      <c r="J230" s="1"/>
      <c r="K230" s="3"/>
      <c r="L230" s="3"/>
      <c r="M230" s="3"/>
      <c r="N230" s="3"/>
      <c r="O230" s="3"/>
      <c r="P230" s="3"/>
      <c r="Q230" s="3"/>
      <c r="R230" s="3"/>
      <c r="S230" s="3"/>
      <c r="T230" s="3"/>
      <c r="U230" s="3"/>
      <c r="AA230" s="1"/>
    </row>
    <row r="231" spans="1:27" ht="15.75" customHeight="1" x14ac:dyDescent="0.2">
      <c r="A231" s="1"/>
      <c r="B231" s="1"/>
      <c r="C231" s="1"/>
      <c r="D231" s="1"/>
      <c r="E231" s="1"/>
      <c r="F231" s="1"/>
      <c r="G231" s="2"/>
      <c r="H231" s="1"/>
      <c r="I231" s="1"/>
      <c r="J231" s="1"/>
      <c r="K231" s="3"/>
      <c r="L231" s="3"/>
      <c r="M231" s="3"/>
      <c r="N231" s="3"/>
      <c r="O231" s="3"/>
      <c r="P231" s="3"/>
      <c r="Q231" s="3"/>
      <c r="R231" s="3"/>
      <c r="S231" s="3"/>
      <c r="T231" s="3"/>
      <c r="U231" s="3"/>
      <c r="AA231" s="1"/>
    </row>
    <row r="232" spans="1:27" ht="15.75" customHeight="1" x14ac:dyDescent="0.2">
      <c r="A232" s="1"/>
      <c r="B232" s="1"/>
      <c r="C232" s="1"/>
      <c r="D232" s="1"/>
      <c r="E232" s="1"/>
      <c r="F232" s="1"/>
      <c r="G232" s="2"/>
      <c r="H232" s="1"/>
      <c r="I232" s="1"/>
      <c r="J232" s="1"/>
      <c r="K232" s="3"/>
      <c r="L232" s="3"/>
      <c r="M232" s="3"/>
      <c r="N232" s="3"/>
      <c r="O232" s="3"/>
      <c r="P232" s="3"/>
      <c r="Q232" s="3"/>
      <c r="R232" s="3"/>
      <c r="S232" s="3"/>
      <c r="T232" s="3"/>
      <c r="U232" s="3"/>
      <c r="AA232" s="1"/>
    </row>
    <row r="233" spans="1:27" ht="15.75" customHeight="1" x14ac:dyDescent="0.2">
      <c r="A233" s="1"/>
      <c r="B233" s="1"/>
      <c r="C233" s="1"/>
      <c r="D233" s="1"/>
      <c r="E233" s="1"/>
      <c r="F233" s="1"/>
      <c r="G233" s="2"/>
      <c r="H233" s="1"/>
      <c r="I233" s="1"/>
      <c r="J233" s="1"/>
      <c r="K233" s="3"/>
      <c r="L233" s="3"/>
      <c r="M233" s="3"/>
      <c r="N233" s="3"/>
      <c r="O233" s="3"/>
      <c r="P233" s="3"/>
      <c r="Q233" s="3"/>
      <c r="R233" s="3"/>
      <c r="S233" s="3"/>
      <c r="T233" s="3"/>
      <c r="U233" s="3"/>
      <c r="AA233" s="1"/>
    </row>
    <row r="234" spans="1:27" ht="15.75" customHeight="1" x14ac:dyDescent="0.2">
      <c r="A234" s="1"/>
      <c r="B234" s="1"/>
      <c r="C234" s="1"/>
      <c r="D234" s="1"/>
      <c r="E234" s="1"/>
      <c r="F234" s="1"/>
      <c r="G234" s="2"/>
      <c r="H234" s="1"/>
      <c r="I234" s="1"/>
      <c r="J234" s="1"/>
      <c r="K234" s="3"/>
      <c r="L234" s="3"/>
      <c r="M234" s="3"/>
      <c r="N234" s="3"/>
      <c r="O234" s="3"/>
      <c r="P234" s="3"/>
      <c r="Q234" s="3"/>
      <c r="R234" s="3"/>
      <c r="S234" s="3"/>
      <c r="T234" s="3"/>
      <c r="U234" s="3"/>
      <c r="AA234" s="1"/>
    </row>
    <row r="235" spans="1:27" ht="15.75" customHeight="1" x14ac:dyDescent="0.2">
      <c r="A235" s="1"/>
      <c r="B235" s="1"/>
      <c r="C235" s="1"/>
      <c r="D235" s="1"/>
      <c r="E235" s="1"/>
      <c r="F235" s="1"/>
      <c r="G235" s="2"/>
      <c r="H235" s="1"/>
      <c r="I235" s="1"/>
      <c r="J235" s="1"/>
      <c r="K235" s="3"/>
      <c r="L235" s="3"/>
      <c r="M235" s="3"/>
      <c r="N235" s="3"/>
      <c r="O235" s="3"/>
      <c r="P235" s="3"/>
      <c r="Q235" s="3"/>
      <c r="R235" s="3"/>
      <c r="S235" s="3"/>
      <c r="T235" s="3"/>
      <c r="U235" s="3"/>
      <c r="AA235" s="1"/>
    </row>
    <row r="236" spans="1:27" ht="15.75" customHeight="1" x14ac:dyDescent="0.2">
      <c r="A236" s="1"/>
      <c r="B236" s="1"/>
      <c r="C236" s="1"/>
      <c r="D236" s="1"/>
      <c r="E236" s="1"/>
      <c r="F236" s="1"/>
      <c r="G236" s="2"/>
      <c r="H236" s="1"/>
      <c r="I236" s="1"/>
      <c r="J236" s="1"/>
      <c r="K236" s="3"/>
      <c r="L236" s="3"/>
      <c r="M236" s="3"/>
      <c r="N236" s="3"/>
      <c r="O236" s="3"/>
      <c r="P236" s="3"/>
      <c r="Q236" s="3"/>
      <c r="R236" s="3"/>
      <c r="S236" s="3"/>
      <c r="T236" s="3"/>
      <c r="U236" s="3"/>
      <c r="AA236" s="1"/>
    </row>
    <row r="237" spans="1:27" ht="15.75" customHeight="1" x14ac:dyDescent="0.2">
      <c r="A237" s="1"/>
      <c r="B237" s="1"/>
      <c r="C237" s="1"/>
      <c r="D237" s="1"/>
      <c r="E237" s="1"/>
      <c r="F237" s="1"/>
      <c r="G237" s="2"/>
      <c r="H237" s="1"/>
      <c r="I237" s="1"/>
      <c r="J237" s="1"/>
      <c r="K237" s="3"/>
      <c r="L237" s="3"/>
      <c r="M237" s="3"/>
      <c r="N237" s="3"/>
      <c r="O237" s="3"/>
      <c r="P237" s="3"/>
      <c r="Q237" s="3"/>
      <c r="R237" s="3"/>
      <c r="S237" s="3"/>
      <c r="T237" s="3"/>
      <c r="U237" s="3"/>
      <c r="AA237" s="1"/>
    </row>
    <row r="238" spans="1:27" ht="15.75" customHeight="1" x14ac:dyDescent="0.2">
      <c r="A238" s="1"/>
      <c r="B238" s="1"/>
      <c r="C238" s="1"/>
      <c r="D238" s="1"/>
      <c r="E238" s="1"/>
      <c r="F238" s="1"/>
      <c r="G238" s="2"/>
      <c r="H238" s="1"/>
      <c r="I238" s="1"/>
      <c r="J238" s="1"/>
      <c r="K238" s="3"/>
      <c r="L238" s="3"/>
      <c r="M238" s="3"/>
      <c r="N238" s="3"/>
      <c r="O238" s="3"/>
      <c r="P238" s="3"/>
      <c r="Q238" s="3"/>
      <c r="R238" s="3"/>
      <c r="S238" s="3"/>
      <c r="T238" s="3"/>
      <c r="U238" s="3"/>
      <c r="AA238" s="1"/>
    </row>
    <row r="239" spans="1:27" ht="15.75" customHeight="1" x14ac:dyDescent="0.2">
      <c r="A239" s="1"/>
      <c r="B239" s="1"/>
      <c r="C239" s="1"/>
      <c r="D239" s="1"/>
      <c r="E239" s="1"/>
      <c r="F239" s="1"/>
      <c r="G239" s="2"/>
      <c r="H239" s="1"/>
      <c r="I239" s="1"/>
      <c r="J239" s="1"/>
      <c r="K239" s="3"/>
      <c r="L239" s="3"/>
      <c r="M239" s="3"/>
      <c r="N239" s="3"/>
      <c r="O239" s="3"/>
      <c r="P239" s="3"/>
      <c r="Q239" s="3"/>
      <c r="R239" s="3"/>
      <c r="S239" s="3"/>
      <c r="T239" s="3"/>
      <c r="U239" s="3"/>
      <c r="AA239" s="1"/>
    </row>
    <row r="240" spans="1:27" ht="15.75" customHeight="1" x14ac:dyDescent="0.2">
      <c r="A240" s="1"/>
      <c r="B240" s="1"/>
      <c r="C240" s="1"/>
      <c r="D240" s="1"/>
      <c r="E240" s="1"/>
      <c r="F240" s="1"/>
      <c r="G240" s="2"/>
      <c r="H240" s="1"/>
      <c r="I240" s="1"/>
      <c r="J240" s="1"/>
      <c r="K240" s="3"/>
      <c r="L240" s="3"/>
      <c r="M240" s="3"/>
      <c r="N240" s="3"/>
      <c r="O240" s="3"/>
      <c r="P240" s="3"/>
      <c r="Q240" s="3"/>
      <c r="R240" s="3"/>
      <c r="S240" s="3"/>
      <c r="T240" s="3"/>
      <c r="U240" s="3"/>
      <c r="AA240" s="1"/>
    </row>
    <row r="241" spans="1:27" ht="15.75" customHeight="1" x14ac:dyDescent="0.2">
      <c r="A241" s="1"/>
      <c r="B241" s="1"/>
      <c r="C241" s="1"/>
      <c r="D241" s="1"/>
      <c r="E241" s="1"/>
      <c r="F241" s="1"/>
      <c r="G241" s="2"/>
      <c r="H241" s="1"/>
      <c r="I241" s="1"/>
      <c r="J241" s="1"/>
      <c r="K241" s="3"/>
      <c r="L241" s="3"/>
      <c r="M241" s="3"/>
      <c r="N241" s="3"/>
      <c r="O241" s="3"/>
      <c r="P241" s="3"/>
      <c r="Q241" s="3"/>
      <c r="R241" s="3"/>
      <c r="S241" s="3"/>
      <c r="T241" s="3"/>
      <c r="U241" s="3"/>
      <c r="AA241" s="1"/>
    </row>
    <row r="242" spans="1:27" ht="15.75" customHeight="1" x14ac:dyDescent="0.2">
      <c r="A242" s="1"/>
      <c r="B242" s="1"/>
      <c r="C242" s="1"/>
      <c r="D242" s="1"/>
      <c r="E242" s="1"/>
      <c r="F242" s="1"/>
      <c r="G242" s="2"/>
      <c r="H242" s="1"/>
      <c r="I242" s="1"/>
      <c r="J242" s="1"/>
      <c r="K242" s="3"/>
      <c r="L242" s="3"/>
      <c r="M242" s="3"/>
      <c r="N242" s="3"/>
      <c r="O242" s="3"/>
      <c r="P242" s="3"/>
      <c r="Q242" s="3"/>
      <c r="R242" s="3"/>
      <c r="S242" s="3"/>
      <c r="T242" s="3"/>
      <c r="U242" s="3"/>
      <c r="AA242" s="1"/>
    </row>
    <row r="243" spans="1:27" ht="15.75" customHeight="1" x14ac:dyDescent="0.2">
      <c r="A243" s="1"/>
      <c r="B243" s="1"/>
      <c r="C243" s="1"/>
      <c r="D243" s="1"/>
      <c r="E243" s="1"/>
      <c r="F243" s="1"/>
      <c r="G243" s="2"/>
      <c r="H243" s="1"/>
      <c r="I243" s="1"/>
      <c r="J243" s="1"/>
      <c r="K243" s="3"/>
      <c r="L243" s="3"/>
      <c r="M243" s="3"/>
      <c r="N243" s="3"/>
      <c r="O243" s="3"/>
      <c r="P243" s="3"/>
      <c r="Q243" s="3"/>
      <c r="R243" s="3"/>
      <c r="S243" s="3"/>
      <c r="T243" s="3"/>
      <c r="U243" s="3"/>
      <c r="AA243" s="1"/>
    </row>
    <row r="244" spans="1:27" ht="15.75" customHeight="1" x14ac:dyDescent="0.2">
      <c r="A244" s="1"/>
      <c r="B244" s="1"/>
      <c r="C244" s="1"/>
      <c r="D244" s="1"/>
      <c r="E244" s="1"/>
      <c r="F244" s="1"/>
      <c r="G244" s="2"/>
      <c r="H244" s="1"/>
      <c r="I244" s="1"/>
      <c r="J244" s="1"/>
      <c r="K244" s="3"/>
      <c r="L244" s="3"/>
      <c r="M244" s="3"/>
      <c r="N244" s="3"/>
      <c r="O244" s="3"/>
      <c r="P244" s="3"/>
      <c r="Q244" s="3"/>
      <c r="R244" s="3"/>
      <c r="S244" s="3"/>
      <c r="T244" s="3"/>
      <c r="U244" s="3"/>
      <c r="AA244" s="1"/>
    </row>
    <row r="245" spans="1:27" ht="15.75" customHeight="1" x14ac:dyDescent="0.2">
      <c r="A245" s="1"/>
      <c r="B245" s="1"/>
      <c r="C245" s="1"/>
      <c r="D245" s="1"/>
      <c r="E245" s="1"/>
      <c r="F245" s="1"/>
      <c r="G245" s="2"/>
      <c r="H245" s="1"/>
      <c r="I245" s="1"/>
      <c r="J245" s="1"/>
      <c r="K245" s="3"/>
      <c r="L245" s="3"/>
      <c r="M245" s="3"/>
      <c r="N245" s="3"/>
      <c r="O245" s="3"/>
      <c r="P245" s="3"/>
      <c r="Q245" s="3"/>
      <c r="R245" s="3"/>
      <c r="S245" s="3"/>
      <c r="T245" s="3"/>
      <c r="U245" s="3"/>
      <c r="AA245" s="1"/>
    </row>
    <row r="246" spans="1:27" ht="15.75" customHeight="1" x14ac:dyDescent="0.2">
      <c r="A246" s="1"/>
      <c r="B246" s="1"/>
      <c r="C246" s="1"/>
      <c r="D246" s="1"/>
      <c r="E246" s="1"/>
      <c r="F246" s="1"/>
      <c r="G246" s="2"/>
      <c r="H246" s="1"/>
      <c r="I246" s="1"/>
      <c r="J246" s="1"/>
      <c r="K246" s="3"/>
      <c r="L246" s="3"/>
      <c r="M246" s="3"/>
      <c r="N246" s="3"/>
      <c r="O246" s="3"/>
      <c r="P246" s="3"/>
      <c r="Q246" s="3"/>
      <c r="R246" s="3"/>
      <c r="S246" s="3"/>
      <c r="T246" s="3"/>
      <c r="U246" s="3"/>
      <c r="AA246" s="1"/>
    </row>
    <row r="247" spans="1:27" ht="15.75" customHeight="1" x14ac:dyDescent="0.2">
      <c r="A247" s="1"/>
      <c r="B247" s="1"/>
      <c r="C247" s="1"/>
      <c r="D247" s="1"/>
      <c r="E247" s="1"/>
      <c r="F247" s="1"/>
      <c r="G247" s="2"/>
      <c r="H247" s="1"/>
      <c r="I247" s="1"/>
      <c r="J247" s="1"/>
      <c r="K247" s="3"/>
      <c r="L247" s="3"/>
      <c r="M247" s="3"/>
      <c r="N247" s="3"/>
      <c r="O247" s="3"/>
      <c r="P247" s="3"/>
      <c r="Q247" s="3"/>
      <c r="R247" s="3"/>
      <c r="S247" s="3"/>
      <c r="T247" s="3"/>
      <c r="U247" s="3"/>
      <c r="AA247" s="1"/>
    </row>
    <row r="248" spans="1:27" ht="15.75" customHeight="1" x14ac:dyDescent="0.2">
      <c r="A248" s="1"/>
      <c r="B248" s="1"/>
      <c r="C248" s="1"/>
      <c r="D248" s="1"/>
      <c r="E248" s="1"/>
      <c r="F248" s="1"/>
      <c r="G248" s="2"/>
      <c r="H248" s="1"/>
      <c r="I248" s="1"/>
      <c r="J248" s="1"/>
      <c r="K248" s="3"/>
      <c r="L248" s="3"/>
      <c r="M248" s="3"/>
      <c r="N248" s="3"/>
      <c r="O248" s="3"/>
      <c r="P248" s="3"/>
      <c r="Q248" s="3"/>
      <c r="R248" s="3"/>
      <c r="S248" s="3"/>
      <c r="T248" s="3"/>
      <c r="U248" s="3"/>
      <c r="AA248" s="1"/>
    </row>
    <row r="249" spans="1:27" ht="15.75" customHeight="1" x14ac:dyDescent="0.2">
      <c r="A249" s="1"/>
      <c r="B249" s="1"/>
      <c r="C249" s="1"/>
      <c r="D249" s="1"/>
      <c r="E249" s="1"/>
      <c r="F249" s="1"/>
      <c r="G249" s="2"/>
      <c r="H249" s="1"/>
      <c r="I249" s="1"/>
      <c r="J249" s="1"/>
      <c r="K249" s="3"/>
      <c r="L249" s="3"/>
      <c r="M249" s="3"/>
      <c r="N249" s="3"/>
      <c r="O249" s="3"/>
      <c r="P249" s="3"/>
      <c r="Q249" s="3"/>
      <c r="R249" s="3"/>
      <c r="S249" s="3"/>
      <c r="T249" s="3"/>
      <c r="U249" s="3"/>
      <c r="AA249" s="1"/>
    </row>
    <row r="250" spans="1:27" ht="15.75" customHeight="1" x14ac:dyDescent="0.2">
      <c r="A250" s="1"/>
      <c r="B250" s="1"/>
      <c r="C250" s="1"/>
      <c r="D250" s="1"/>
      <c r="E250" s="1"/>
      <c r="F250" s="1"/>
      <c r="G250" s="2"/>
      <c r="H250" s="1"/>
      <c r="I250" s="1"/>
      <c r="J250" s="1"/>
      <c r="K250" s="3"/>
      <c r="L250" s="3"/>
      <c r="M250" s="3"/>
      <c r="N250" s="3"/>
      <c r="O250" s="3"/>
      <c r="P250" s="3"/>
      <c r="Q250" s="3"/>
      <c r="R250" s="3"/>
      <c r="S250" s="3"/>
      <c r="T250" s="3"/>
      <c r="U250" s="3"/>
      <c r="AA250" s="1"/>
    </row>
    <row r="251" spans="1:27" ht="15.75" customHeight="1" x14ac:dyDescent="0.2">
      <c r="A251" s="1"/>
      <c r="B251" s="1"/>
      <c r="C251" s="1"/>
      <c r="D251" s="1"/>
      <c r="E251" s="1"/>
      <c r="F251" s="1"/>
      <c r="G251" s="2"/>
      <c r="H251" s="1"/>
      <c r="I251" s="1"/>
      <c r="J251" s="1"/>
      <c r="K251" s="3"/>
      <c r="L251" s="3"/>
      <c r="M251" s="3"/>
      <c r="N251" s="3"/>
      <c r="O251" s="3"/>
      <c r="P251" s="3"/>
      <c r="Q251" s="3"/>
      <c r="R251" s="3"/>
      <c r="S251" s="3"/>
      <c r="T251" s="3"/>
      <c r="U251" s="3"/>
      <c r="AA251" s="1"/>
    </row>
    <row r="252" spans="1:27" ht="15.75" customHeight="1" x14ac:dyDescent="0.2">
      <c r="A252" s="1"/>
      <c r="B252" s="1"/>
      <c r="C252" s="1"/>
      <c r="D252" s="1"/>
      <c r="E252" s="1"/>
      <c r="F252" s="1"/>
      <c r="G252" s="2"/>
      <c r="H252" s="1"/>
      <c r="I252" s="1"/>
      <c r="J252" s="1"/>
      <c r="K252" s="3"/>
      <c r="L252" s="3"/>
      <c r="M252" s="3"/>
      <c r="N252" s="3"/>
      <c r="O252" s="3"/>
      <c r="P252" s="3"/>
      <c r="Q252" s="3"/>
      <c r="R252" s="3"/>
      <c r="S252" s="3"/>
      <c r="T252" s="3"/>
      <c r="U252" s="3"/>
      <c r="AA252" s="1"/>
    </row>
    <row r="253" spans="1:27" ht="15.75" customHeight="1" x14ac:dyDescent="0.2">
      <c r="A253" s="1"/>
      <c r="B253" s="1"/>
      <c r="C253" s="1"/>
      <c r="D253" s="1"/>
      <c r="E253" s="1"/>
      <c r="F253" s="1"/>
      <c r="G253" s="2"/>
      <c r="H253" s="1"/>
      <c r="I253" s="1"/>
      <c r="J253" s="1"/>
      <c r="K253" s="3"/>
      <c r="L253" s="3"/>
      <c r="M253" s="3"/>
      <c r="N253" s="3"/>
      <c r="O253" s="3"/>
      <c r="P253" s="3"/>
      <c r="Q253" s="3"/>
      <c r="R253" s="3"/>
      <c r="S253" s="3"/>
      <c r="T253" s="3"/>
      <c r="U253" s="3"/>
      <c r="AA253" s="1"/>
    </row>
    <row r="254" spans="1:27" ht="15.75" customHeight="1" x14ac:dyDescent="0.2">
      <c r="A254" s="1"/>
      <c r="B254" s="1"/>
      <c r="C254" s="1"/>
      <c r="D254" s="1"/>
      <c r="E254" s="1"/>
      <c r="F254" s="1"/>
      <c r="G254" s="2"/>
      <c r="H254" s="1"/>
      <c r="I254" s="1"/>
      <c r="J254" s="1"/>
      <c r="K254" s="3"/>
      <c r="L254" s="3"/>
      <c r="M254" s="3"/>
      <c r="N254" s="3"/>
      <c r="O254" s="3"/>
      <c r="P254" s="3"/>
      <c r="Q254" s="3"/>
      <c r="R254" s="3"/>
      <c r="S254" s="3"/>
      <c r="T254" s="3"/>
      <c r="U254" s="3"/>
      <c r="AA254" s="1"/>
    </row>
    <row r="255" spans="1:27" ht="15.75" customHeight="1" x14ac:dyDescent="0.2">
      <c r="A255" s="1"/>
      <c r="B255" s="1"/>
      <c r="C255" s="1"/>
      <c r="D255" s="1"/>
      <c r="E255" s="1"/>
      <c r="F255" s="1"/>
      <c r="G255" s="2"/>
      <c r="H255" s="1"/>
      <c r="I255" s="1"/>
      <c r="J255" s="1"/>
      <c r="K255" s="3"/>
      <c r="L255" s="3"/>
      <c r="M255" s="3"/>
      <c r="N255" s="3"/>
      <c r="O255" s="3"/>
      <c r="P255" s="3"/>
      <c r="Q255" s="3"/>
      <c r="R255" s="3"/>
      <c r="S255" s="3"/>
      <c r="T255" s="3"/>
      <c r="U255" s="3"/>
      <c r="AA255" s="1"/>
    </row>
    <row r="256" spans="1:27" ht="15.75" customHeight="1" x14ac:dyDescent="0.2">
      <c r="A256" s="1"/>
      <c r="B256" s="1"/>
      <c r="C256" s="1"/>
      <c r="D256" s="1"/>
      <c r="E256" s="1"/>
      <c r="F256" s="1"/>
      <c r="G256" s="2"/>
      <c r="H256" s="1"/>
      <c r="I256" s="1"/>
      <c r="J256" s="1"/>
      <c r="K256" s="3"/>
      <c r="L256" s="3"/>
      <c r="M256" s="3"/>
      <c r="N256" s="3"/>
      <c r="O256" s="3"/>
      <c r="P256" s="3"/>
      <c r="Q256" s="3"/>
      <c r="R256" s="3"/>
      <c r="S256" s="3"/>
      <c r="T256" s="3"/>
      <c r="U256" s="3"/>
      <c r="AA256" s="1"/>
    </row>
    <row r="257" spans="1:27" ht="15.75" customHeight="1" x14ac:dyDescent="0.2">
      <c r="A257" s="1"/>
      <c r="B257" s="1"/>
      <c r="C257" s="1"/>
      <c r="D257" s="1"/>
      <c r="E257" s="1"/>
      <c r="F257" s="1"/>
      <c r="G257" s="2"/>
      <c r="H257" s="1"/>
      <c r="I257" s="1"/>
      <c r="J257" s="1"/>
      <c r="K257" s="3"/>
      <c r="L257" s="3"/>
      <c r="M257" s="3"/>
      <c r="N257" s="3"/>
      <c r="O257" s="3"/>
      <c r="P257" s="3"/>
      <c r="Q257" s="3"/>
      <c r="R257" s="3"/>
      <c r="S257" s="3"/>
      <c r="T257" s="3"/>
      <c r="U257" s="3"/>
      <c r="AA257" s="1"/>
    </row>
    <row r="258" spans="1:27" ht="15.75" customHeight="1" x14ac:dyDescent="0.2">
      <c r="A258" s="1"/>
      <c r="B258" s="1"/>
      <c r="C258" s="1"/>
      <c r="D258" s="1"/>
      <c r="E258" s="1"/>
      <c r="F258" s="1"/>
      <c r="G258" s="2"/>
      <c r="H258" s="1"/>
      <c r="I258" s="1"/>
      <c r="J258" s="1"/>
      <c r="K258" s="3"/>
      <c r="L258" s="3"/>
      <c r="M258" s="3"/>
      <c r="N258" s="3"/>
      <c r="O258" s="3"/>
      <c r="P258" s="3"/>
      <c r="Q258" s="3"/>
      <c r="R258" s="3"/>
      <c r="S258" s="3"/>
      <c r="T258" s="3"/>
      <c r="U258" s="3"/>
      <c r="AA258" s="1"/>
    </row>
    <row r="259" spans="1:27" ht="15.75" customHeight="1" x14ac:dyDescent="0.2">
      <c r="A259" s="1"/>
      <c r="B259" s="1"/>
      <c r="C259" s="1"/>
      <c r="D259" s="1"/>
      <c r="E259" s="1"/>
      <c r="F259" s="1"/>
      <c r="G259" s="2"/>
      <c r="H259" s="1"/>
      <c r="I259" s="1"/>
      <c r="J259" s="1"/>
      <c r="K259" s="3"/>
      <c r="L259" s="3"/>
      <c r="M259" s="3"/>
      <c r="N259" s="3"/>
      <c r="O259" s="3"/>
      <c r="P259" s="3"/>
      <c r="Q259" s="3"/>
      <c r="R259" s="3"/>
      <c r="S259" s="3"/>
      <c r="T259" s="3"/>
      <c r="U259" s="3"/>
      <c r="AA259" s="1"/>
    </row>
    <row r="260" spans="1:27" ht="15.75" customHeight="1" x14ac:dyDescent="0.2">
      <c r="A260" s="1"/>
      <c r="B260" s="1"/>
      <c r="C260" s="1"/>
      <c r="D260" s="1"/>
      <c r="E260" s="1"/>
      <c r="F260" s="1"/>
      <c r="G260" s="2"/>
      <c r="H260" s="1"/>
      <c r="I260" s="1"/>
      <c r="J260" s="1"/>
      <c r="K260" s="3"/>
      <c r="L260" s="3"/>
      <c r="M260" s="3"/>
      <c r="N260" s="3"/>
      <c r="O260" s="3"/>
      <c r="P260" s="3"/>
      <c r="Q260" s="3"/>
      <c r="R260" s="3"/>
      <c r="S260" s="3"/>
      <c r="T260" s="3"/>
      <c r="U260" s="3"/>
      <c r="AA260" s="1"/>
    </row>
    <row r="261" spans="1:27" ht="15.75" customHeight="1" x14ac:dyDescent="0.2">
      <c r="A261" s="1"/>
      <c r="B261" s="1"/>
      <c r="C261" s="1"/>
      <c r="D261" s="1"/>
      <c r="E261" s="1"/>
      <c r="F261" s="1"/>
      <c r="G261" s="2"/>
      <c r="H261" s="1"/>
      <c r="I261" s="1"/>
      <c r="J261" s="1"/>
      <c r="K261" s="3"/>
      <c r="L261" s="3"/>
      <c r="M261" s="3"/>
      <c r="N261" s="3"/>
      <c r="O261" s="3"/>
      <c r="P261" s="3"/>
      <c r="Q261" s="3"/>
      <c r="R261" s="3"/>
      <c r="S261" s="3"/>
      <c r="T261" s="3"/>
      <c r="U261" s="3"/>
      <c r="AA261" s="1"/>
    </row>
    <row r="262" spans="1:27" ht="15.75" customHeight="1" x14ac:dyDescent="0.2">
      <c r="A262" s="1"/>
      <c r="B262" s="1"/>
      <c r="C262" s="1"/>
      <c r="D262" s="1"/>
      <c r="E262" s="1"/>
      <c r="F262" s="1"/>
      <c r="G262" s="2"/>
      <c r="H262" s="1"/>
      <c r="I262" s="1"/>
      <c r="J262" s="1"/>
      <c r="K262" s="3"/>
      <c r="L262" s="3"/>
      <c r="M262" s="3"/>
      <c r="N262" s="3"/>
      <c r="O262" s="3"/>
      <c r="P262" s="3"/>
      <c r="Q262" s="3"/>
      <c r="R262" s="3"/>
      <c r="S262" s="3"/>
      <c r="T262" s="3"/>
      <c r="U262" s="3"/>
      <c r="AA262" s="1"/>
    </row>
    <row r="263" spans="1:27" ht="15.75" customHeight="1" x14ac:dyDescent="0.2">
      <c r="A263" s="1"/>
      <c r="B263" s="1"/>
      <c r="C263" s="1"/>
      <c r="D263" s="1"/>
      <c r="E263" s="1"/>
      <c r="F263" s="1"/>
      <c r="G263" s="2"/>
      <c r="H263" s="1"/>
      <c r="I263" s="1"/>
      <c r="J263" s="1"/>
      <c r="K263" s="3"/>
      <c r="L263" s="3"/>
      <c r="M263" s="3"/>
      <c r="N263" s="3"/>
      <c r="O263" s="3"/>
      <c r="P263" s="3"/>
      <c r="Q263" s="3"/>
      <c r="R263" s="3"/>
      <c r="S263" s="3"/>
      <c r="T263" s="3"/>
      <c r="U263" s="3"/>
      <c r="AA263" s="1"/>
    </row>
    <row r="264" spans="1:27" ht="15.75" customHeight="1" x14ac:dyDescent="0.2">
      <c r="A264" s="1"/>
      <c r="B264" s="1"/>
      <c r="C264" s="1"/>
      <c r="D264" s="1"/>
      <c r="E264" s="1"/>
      <c r="F264" s="1"/>
      <c r="G264" s="2"/>
      <c r="H264" s="1"/>
      <c r="I264" s="1"/>
      <c r="J264" s="1"/>
      <c r="K264" s="3"/>
      <c r="L264" s="3"/>
      <c r="M264" s="3"/>
      <c r="N264" s="3"/>
      <c r="O264" s="3"/>
      <c r="P264" s="3"/>
      <c r="Q264" s="3"/>
      <c r="R264" s="3"/>
      <c r="S264" s="3"/>
      <c r="T264" s="3"/>
      <c r="U264" s="3"/>
      <c r="AA264" s="1"/>
    </row>
    <row r="265" spans="1:27" ht="15.75" customHeight="1" x14ac:dyDescent="0.2">
      <c r="A265" s="1"/>
      <c r="B265" s="1"/>
      <c r="C265" s="1"/>
      <c r="D265" s="1"/>
      <c r="E265" s="1"/>
      <c r="F265" s="1"/>
      <c r="G265" s="2"/>
      <c r="H265" s="1"/>
      <c r="I265" s="1"/>
      <c r="J265" s="1"/>
      <c r="K265" s="3"/>
      <c r="L265" s="3"/>
      <c r="M265" s="3"/>
      <c r="N265" s="3"/>
      <c r="O265" s="3"/>
      <c r="P265" s="3"/>
      <c r="Q265" s="3"/>
      <c r="R265" s="3"/>
      <c r="S265" s="3"/>
      <c r="T265" s="3"/>
      <c r="U265" s="3"/>
      <c r="AA265" s="1"/>
    </row>
    <row r="266" spans="1:27" ht="15.75" customHeight="1" x14ac:dyDescent="0.2">
      <c r="A266" s="1"/>
      <c r="B266" s="1"/>
      <c r="C266" s="1"/>
      <c r="D266" s="1"/>
      <c r="E266" s="1"/>
      <c r="F266" s="1"/>
      <c r="G266" s="2"/>
      <c r="H266" s="1"/>
      <c r="I266" s="1"/>
      <c r="J266" s="1"/>
      <c r="K266" s="3"/>
      <c r="L266" s="3"/>
      <c r="M266" s="3"/>
      <c r="N266" s="3"/>
      <c r="O266" s="3"/>
      <c r="P266" s="3"/>
      <c r="Q266" s="3"/>
      <c r="R266" s="3"/>
      <c r="S266" s="3"/>
      <c r="T266" s="3"/>
      <c r="U266" s="3"/>
      <c r="AA266" s="1"/>
    </row>
    <row r="267" spans="1:27" ht="15.75" customHeight="1" x14ac:dyDescent="0.2">
      <c r="A267" s="1"/>
      <c r="B267" s="1"/>
      <c r="C267" s="1"/>
      <c r="D267" s="1"/>
      <c r="E267" s="1"/>
      <c r="F267" s="1"/>
      <c r="G267" s="2"/>
      <c r="H267" s="1"/>
      <c r="I267" s="1"/>
      <c r="J267" s="1"/>
      <c r="K267" s="3"/>
      <c r="L267" s="3"/>
      <c r="M267" s="3"/>
      <c r="N267" s="3"/>
      <c r="O267" s="3"/>
      <c r="P267" s="3"/>
      <c r="Q267" s="3"/>
      <c r="R267" s="3"/>
      <c r="S267" s="3"/>
      <c r="T267" s="3"/>
      <c r="U267" s="3"/>
      <c r="AA267" s="1"/>
    </row>
    <row r="268" spans="1:27" ht="15.75" customHeight="1" x14ac:dyDescent="0.2">
      <c r="A268" s="1"/>
      <c r="B268" s="1"/>
      <c r="C268" s="1"/>
      <c r="D268" s="1"/>
      <c r="E268" s="1"/>
      <c r="F268" s="1"/>
      <c r="G268" s="2"/>
      <c r="H268" s="1"/>
      <c r="I268" s="1"/>
      <c r="J268" s="1"/>
      <c r="K268" s="3"/>
      <c r="L268" s="3"/>
      <c r="M268" s="3"/>
      <c r="N268" s="3"/>
      <c r="O268" s="3"/>
      <c r="P268" s="3"/>
      <c r="Q268" s="3"/>
      <c r="R268" s="3"/>
      <c r="S268" s="3"/>
      <c r="T268" s="3"/>
      <c r="U268" s="3"/>
      <c r="AA268" s="1"/>
    </row>
    <row r="269" spans="1:27" ht="15.75" customHeight="1" x14ac:dyDescent="0.2">
      <c r="A269" s="1"/>
      <c r="B269" s="1"/>
      <c r="C269" s="1"/>
      <c r="D269" s="1"/>
      <c r="E269" s="1"/>
      <c r="F269" s="1"/>
      <c r="G269" s="2"/>
      <c r="H269" s="1"/>
      <c r="I269" s="1"/>
      <c r="J269" s="1"/>
      <c r="K269" s="3"/>
      <c r="L269" s="3"/>
      <c r="M269" s="3"/>
      <c r="N269" s="3"/>
      <c r="O269" s="3"/>
      <c r="P269" s="3"/>
      <c r="Q269" s="3"/>
      <c r="R269" s="3"/>
      <c r="S269" s="3"/>
      <c r="T269" s="3"/>
      <c r="U269" s="3"/>
      <c r="AA269" s="1"/>
    </row>
    <row r="270" spans="1:27" ht="15.75" customHeight="1" x14ac:dyDescent="0.2">
      <c r="A270" s="1"/>
      <c r="B270" s="1"/>
      <c r="C270" s="1"/>
      <c r="D270" s="1"/>
      <c r="E270" s="1"/>
      <c r="F270" s="1"/>
      <c r="G270" s="2"/>
      <c r="H270" s="1"/>
      <c r="I270" s="1"/>
      <c r="J270" s="1"/>
      <c r="K270" s="3"/>
      <c r="L270" s="3"/>
      <c r="M270" s="3"/>
      <c r="N270" s="3"/>
      <c r="O270" s="3"/>
      <c r="P270" s="3"/>
      <c r="Q270" s="3"/>
      <c r="R270" s="3"/>
      <c r="S270" s="3"/>
      <c r="T270" s="3"/>
      <c r="U270" s="3"/>
      <c r="AA270" s="1"/>
    </row>
    <row r="271" spans="1:27" ht="15.75" customHeight="1" x14ac:dyDescent="0.2">
      <c r="A271" s="1"/>
      <c r="B271" s="1"/>
      <c r="C271" s="1"/>
      <c r="D271" s="1"/>
      <c r="E271" s="1"/>
      <c r="F271" s="1"/>
      <c r="G271" s="2"/>
      <c r="H271" s="1"/>
      <c r="I271" s="1"/>
      <c r="J271" s="1"/>
      <c r="K271" s="3"/>
      <c r="L271" s="3"/>
      <c r="M271" s="3"/>
      <c r="N271" s="3"/>
      <c r="O271" s="3"/>
      <c r="P271" s="3"/>
      <c r="Q271" s="3"/>
      <c r="R271" s="3"/>
      <c r="S271" s="3"/>
      <c r="T271" s="3"/>
      <c r="U271" s="3"/>
      <c r="AA271" s="1"/>
    </row>
    <row r="272" spans="1:27" ht="15.75" customHeight="1" x14ac:dyDescent="0.2">
      <c r="A272" s="1"/>
      <c r="B272" s="1"/>
      <c r="C272" s="1"/>
      <c r="D272" s="1"/>
      <c r="E272" s="1"/>
      <c r="F272" s="1"/>
      <c r="G272" s="2"/>
      <c r="H272" s="1"/>
      <c r="I272" s="1"/>
      <c r="J272" s="1"/>
      <c r="K272" s="3"/>
      <c r="L272" s="3"/>
      <c r="M272" s="3"/>
      <c r="N272" s="3"/>
      <c r="O272" s="3"/>
      <c r="P272" s="3"/>
      <c r="Q272" s="3"/>
      <c r="R272" s="3"/>
      <c r="S272" s="3"/>
      <c r="T272" s="3"/>
      <c r="U272" s="3"/>
      <c r="AA272" s="1"/>
    </row>
    <row r="273" spans="1:27" ht="15.75" customHeight="1" x14ac:dyDescent="0.2">
      <c r="A273" s="1"/>
      <c r="B273" s="1"/>
      <c r="C273" s="1"/>
      <c r="D273" s="1"/>
      <c r="E273" s="1"/>
      <c r="F273" s="1"/>
      <c r="G273" s="2"/>
      <c r="H273" s="1"/>
      <c r="I273" s="1"/>
      <c r="J273" s="1"/>
      <c r="K273" s="3"/>
      <c r="L273" s="3"/>
      <c r="M273" s="3"/>
      <c r="N273" s="3"/>
      <c r="O273" s="3"/>
      <c r="P273" s="3"/>
      <c r="Q273" s="3"/>
      <c r="R273" s="3"/>
      <c r="S273" s="3"/>
      <c r="T273" s="3"/>
      <c r="U273" s="3"/>
      <c r="AA273" s="1"/>
    </row>
    <row r="274" spans="1:27" ht="15.75" customHeight="1" x14ac:dyDescent="0.2">
      <c r="A274" s="1"/>
      <c r="B274" s="1"/>
      <c r="C274" s="1"/>
      <c r="D274" s="1"/>
      <c r="E274" s="1"/>
      <c r="F274" s="1"/>
      <c r="G274" s="2"/>
      <c r="H274" s="1"/>
      <c r="I274" s="1"/>
      <c r="J274" s="1"/>
      <c r="K274" s="3"/>
      <c r="L274" s="3"/>
      <c r="M274" s="3"/>
      <c r="N274" s="3"/>
      <c r="O274" s="3"/>
      <c r="P274" s="3"/>
      <c r="Q274" s="3"/>
      <c r="R274" s="3"/>
      <c r="S274" s="3"/>
      <c r="T274" s="3"/>
      <c r="U274" s="3"/>
      <c r="AA274" s="1"/>
    </row>
    <row r="275" spans="1:27" ht="15.75" customHeight="1" x14ac:dyDescent="0.2">
      <c r="A275" s="1" t="s">
        <v>1089</v>
      </c>
      <c r="B275" s="1"/>
      <c r="C275" s="1"/>
      <c r="D275" s="1"/>
      <c r="E275" s="1"/>
      <c r="F275" s="1"/>
      <c r="G275" s="2"/>
      <c r="H275" s="1" t="s">
        <v>31</v>
      </c>
      <c r="I275" s="1">
        <v>11</v>
      </c>
      <c r="J275" s="1" t="b">
        <v>0</v>
      </c>
      <c r="K275" s="3"/>
      <c r="L275" s="3"/>
      <c r="M275" s="3"/>
      <c r="N275" s="3"/>
      <c r="O275" s="3"/>
      <c r="P275" s="3"/>
      <c r="Q275" s="3"/>
      <c r="R275" s="3"/>
      <c r="S275" s="3"/>
      <c r="T275" s="3"/>
      <c r="U275" s="3"/>
      <c r="AA275" s="1"/>
    </row>
    <row r="276" spans="1:27" ht="15.75" customHeight="1" x14ac:dyDescent="0.2">
      <c r="A276" s="1" t="s">
        <v>1090</v>
      </c>
      <c r="B276" s="1"/>
      <c r="C276" s="1"/>
      <c r="D276" s="1"/>
      <c r="E276" s="1"/>
      <c r="F276" s="1"/>
      <c r="G276" s="2"/>
      <c r="H276" s="1" t="s">
        <v>31</v>
      </c>
      <c r="I276" s="1">
        <v>33</v>
      </c>
      <c r="J276" s="1" t="b">
        <v>0</v>
      </c>
      <c r="K276" s="3"/>
      <c r="L276" s="3"/>
      <c r="M276" s="3"/>
      <c r="N276" s="3"/>
      <c r="O276" s="3"/>
      <c r="P276" s="3"/>
      <c r="Q276" s="3"/>
      <c r="R276" s="3"/>
      <c r="S276" s="3"/>
      <c r="T276" s="3"/>
      <c r="U276" s="3"/>
      <c r="AA276" s="1"/>
    </row>
    <row r="277" spans="1:27" ht="15.75" customHeight="1" x14ac:dyDescent="0.2">
      <c r="A277" s="1" t="s">
        <v>1091</v>
      </c>
      <c r="B277" s="1"/>
      <c r="C277" s="1"/>
      <c r="D277" s="1"/>
      <c r="E277" s="1"/>
      <c r="F277" s="1"/>
      <c r="G277" s="2"/>
      <c r="H277" s="1" t="s">
        <v>31</v>
      </c>
      <c r="I277" s="1">
        <v>1140</v>
      </c>
      <c r="J277" s="1" t="b">
        <v>0</v>
      </c>
      <c r="K277" s="3"/>
      <c r="L277" s="3"/>
      <c r="M277" s="3"/>
      <c r="N277" s="3"/>
      <c r="O277" s="3"/>
      <c r="P277" s="3"/>
      <c r="Q277" s="3"/>
      <c r="R277" s="3"/>
      <c r="S277" s="3"/>
      <c r="T277" s="3"/>
      <c r="U277" s="3"/>
      <c r="AA277" s="1"/>
    </row>
    <row r="278" spans="1:27" ht="15.75" customHeight="1" x14ac:dyDescent="0.2">
      <c r="A278" s="1" t="s">
        <v>1092</v>
      </c>
      <c r="B278" s="1"/>
      <c r="C278" s="1"/>
      <c r="D278" s="1"/>
      <c r="E278" s="1"/>
      <c r="F278" s="1"/>
      <c r="G278" s="2"/>
      <c r="H278" s="1" t="s">
        <v>31</v>
      </c>
      <c r="I278" s="1">
        <v>30</v>
      </c>
      <c r="J278" s="1" t="b">
        <v>0</v>
      </c>
      <c r="K278" s="3"/>
      <c r="L278" s="3"/>
      <c r="M278" s="3"/>
      <c r="N278" s="3"/>
      <c r="O278" s="3"/>
      <c r="P278" s="3"/>
      <c r="Q278" s="3"/>
      <c r="R278" s="3"/>
      <c r="S278" s="3"/>
      <c r="T278" s="3"/>
      <c r="U278" s="3"/>
      <c r="AA278" s="1"/>
    </row>
    <row r="279" spans="1:27" ht="15.75" customHeight="1" x14ac:dyDescent="0.2">
      <c r="A279" s="1" t="s">
        <v>1093</v>
      </c>
      <c r="B279" s="1"/>
      <c r="C279" s="1"/>
      <c r="D279" s="1"/>
      <c r="E279" s="1"/>
      <c r="F279" s="1"/>
      <c r="G279" s="2"/>
      <c r="H279" s="1" t="s">
        <v>181</v>
      </c>
      <c r="I279" s="1">
        <v>44</v>
      </c>
      <c r="J279" s="1" t="b">
        <v>0</v>
      </c>
      <c r="K279" s="3"/>
      <c r="L279" s="3"/>
      <c r="M279" s="3"/>
      <c r="N279" s="3"/>
      <c r="O279" s="3"/>
      <c r="P279" s="3"/>
      <c r="Q279" s="3"/>
      <c r="R279" s="3"/>
      <c r="S279" s="3"/>
      <c r="T279" s="3"/>
      <c r="U279" s="3"/>
      <c r="AA279" s="1"/>
    </row>
    <row r="280" spans="1:27" ht="15.75" customHeight="1" x14ac:dyDescent="0.2">
      <c r="A280" s="1" t="s">
        <v>1094</v>
      </c>
      <c r="B280" s="1"/>
      <c r="C280" s="1"/>
      <c r="D280" s="1"/>
      <c r="E280" s="1"/>
      <c r="F280" s="1"/>
      <c r="G280" s="2"/>
      <c r="H280" s="1" t="s">
        <v>80</v>
      </c>
      <c r="I280" s="1">
        <v>12</v>
      </c>
      <c r="J280" s="1" t="b">
        <v>0</v>
      </c>
      <c r="K280" s="3"/>
      <c r="L280" s="3"/>
      <c r="M280" s="3"/>
      <c r="N280" s="3"/>
      <c r="O280" s="3"/>
      <c r="P280" s="3"/>
      <c r="Q280" s="3"/>
      <c r="R280" s="3"/>
      <c r="S280" s="3"/>
      <c r="T280" s="3"/>
      <c r="U280" s="3"/>
      <c r="AA280" s="1"/>
    </row>
    <row r="281" spans="1:27" ht="15.75" customHeight="1" x14ac:dyDescent="0.2">
      <c r="A281" s="1" t="s">
        <v>1095</v>
      </c>
      <c r="B281" s="1"/>
      <c r="C281" s="1"/>
      <c r="D281" s="1"/>
      <c r="E281" s="1"/>
      <c r="F281" s="1"/>
      <c r="G281" s="2"/>
      <c r="H281" s="1" t="s">
        <v>336</v>
      </c>
      <c r="I281" s="1">
        <v>18</v>
      </c>
      <c r="J281" s="1" t="b">
        <v>0</v>
      </c>
      <c r="K281" s="3"/>
      <c r="L281" s="3"/>
      <c r="M281" s="3"/>
      <c r="N281" s="3"/>
      <c r="O281" s="3"/>
      <c r="P281" s="3"/>
      <c r="Q281" s="3"/>
      <c r="R281" s="3"/>
      <c r="S281" s="3"/>
      <c r="T281" s="3"/>
      <c r="U281" s="3"/>
      <c r="AA281" s="1"/>
    </row>
    <row r="282" spans="1:27" ht="15.75" customHeight="1" x14ac:dyDescent="0.2">
      <c r="A282" s="1" t="s">
        <v>1096</v>
      </c>
      <c r="B282" s="1"/>
      <c r="C282" s="1"/>
      <c r="D282" s="1"/>
      <c r="E282" s="1"/>
      <c r="F282" s="1"/>
      <c r="G282" s="2"/>
      <c r="H282" s="1" t="s">
        <v>31</v>
      </c>
      <c r="I282" s="1">
        <v>28</v>
      </c>
      <c r="J282" s="1" t="b">
        <v>0</v>
      </c>
      <c r="K282" s="3"/>
      <c r="L282" s="3"/>
      <c r="M282" s="3"/>
      <c r="N282" s="3"/>
      <c r="O282" s="3"/>
      <c r="P282" s="3"/>
      <c r="Q282" s="3"/>
      <c r="R282" s="3"/>
      <c r="S282" s="3"/>
      <c r="T282" s="3"/>
      <c r="U282" s="3"/>
      <c r="AA282" s="1"/>
    </row>
    <row r="283" spans="1:27" ht="15.75" customHeight="1" x14ac:dyDescent="0.2">
      <c r="A283" s="1" t="s">
        <v>1097</v>
      </c>
      <c r="B283" s="1"/>
      <c r="C283" s="1"/>
      <c r="D283" s="1"/>
      <c r="E283" s="1"/>
      <c r="F283" s="1"/>
      <c r="G283" s="2"/>
      <c r="H283" s="1" t="s">
        <v>31</v>
      </c>
      <c r="I283" s="1">
        <v>11</v>
      </c>
      <c r="J283" s="1" t="b">
        <v>0</v>
      </c>
      <c r="K283" s="3"/>
      <c r="L283" s="3"/>
      <c r="M283" s="3"/>
      <c r="N283" s="3"/>
      <c r="O283" s="3"/>
      <c r="P283" s="3"/>
      <c r="Q283" s="3"/>
      <c r="R283" s="3"/>
      <c r="S283" s="3"/>
      <c r="T283" s="3"/>
      <c r="U283" s="3"/>
      <c r="AA283" s="1"/>
    </row>
    <row r="284" spans="1:27" ht="15.75" customHeight="1" x14ac:dyDescent="0.2">
      <c r="A284" s="1" t="s">
        <v>1098</v>
      </c>
      <c r="B284" s="1"/>
      <c r="C284" s="1"/>
      <c r="D284" s="1"/>
      <c r="E284" s="1"/>
      <c r="F284" s="1"/>
      <c r="G284" s="2"/>
      <c r="H284" s="1" t="s">
        <v>31</v>
      </c>
      <c r="I284" s="1">
        <v>53</v>
      </c>
      <c r="J284" s="1" t="b">
        <v>0</v>
      </c>
      <c r="K284" s="3"/>
      <c r="L284" s="3"/>
      <c r="M284" s="3"/>
      <c r="N284" s="3"/>
      <c r="O284" s="3"/>
      <c r="P284" s="3"/>
      <c r="Q284" s="3"/>
      <c r="R284" s="3"/>
      <c r="S284" s="3"/>
      <c r="T284" s="3"/>
      <c r="U284" s="3"/>
      <c r="AA284" s="1"/>
    </row>
    <row r="285" spans="1:27" ht="15.75" customHeight="1" x14ac:dyDescent="0.2">
      <c r="A285" s="1" t="s">
        <v>1099</v>
      </c>
      <c r="B285" s="1"/>
      <c r="C285" s="1"/>
      <c r="D285" s="1"/>
      <c r="E285" s="1"/>
      <c r="F285" s="1"/>
      <c r="G285" s="2"/>
      <c r="H285" s="1" t="s">
        <v>181</v>
      </c>
      <c r="I285" s="1">
        <v>66</v>
      </c>
      <c r="J285" s="1" t="b">
        <v>0</v>
      </c>
      <c r="K285" s="3"/>
      <c r="L285" s="3"/>
      <c r="M285" s="3"/>
      <c r="N285" s="3"/>
      <c r="O285" s="3"/>
      <c r="P285" s="3"/>
      <c r="Q285" s="3"/>
      <c r="R285" s="3"/>
      <c r="S285" s="3"/>
      <c r="T285" s="3"/>
      <c r="U285" s="3"/>
      <c r="AA285" s="1"/>
    </row>
    <row r="286" spans="1:27" ht="15.75" customHeight="1" x14ac:dyDescent="0.2">
      <c r="A286" s="1" t="s">
        <v>1100</v>
      </c>
      <c r="B286" s="1"/>
      <c r="C286" s="1"/>
      <c r="D286" s="1"/>
      <c r="E286" s="1"/>
      <c r="F286" s="1"/>
      <c r="G286" s="2"/>
      <c r="H286" s="1" t="s">
        <v>128</v>
      </c>
      <c r="I286" s="1">
        <v>36</v>
      </c>
      <c r="J286" s="1" t="b">
        <v>0</v>
      </c>
      <c r="K286" s="3"/>
      <c r="L286" s="3"/>
      <c r="M286" s="3"/>
      <c r="N286" s="3"/>
      <c r="O286" s="3"/>
      <c r="P286" s="3"/>
      <c r="Q286" s="3"/>
      <c r="R286" s="3"/>
      <c r="S286" s="3"/>
      <c r="T286" s="3"/>
      <c r="U286" s="3"/>
      <c r="AA286" s="1"/>
    </row>
    <row r="287" spans="1:27" ht="15.75" customHeight="1" x14ac:dyDescent="0.2">
      <c r="A287" s="1" t="s">
        <v>1101</v>
      </c>
      <c r="B287" s="1"/>
      <c r="C287" s="1"/>
      <c r="D287" s="1"/>
      <c r="E287" s="1"/>
      <c r="F287" s="1"/>
      <c r="G287" s="2"/>
      <c r="H287" s="1" t="s">
        <v>336</v>
      </c>
      <c r="I287" s="1">
        <v>130</v>
      </c>
      <c r="J287" s="1" t="b">
        <v>0</v>
      </c>
      <c r="K287" s="3"/>
      <c r="L287" s="3"/>
      <c r="M287" s="3"/>
      <c r="N287" s="3"/>
      <c r="O287" s="3"/>
      <c r="P287" s="3"/>
      <c r="Q287" s="3"/>
      <c r="R287" s="3"/>
      <c r="S287" s="3"/>
      <c r="T287" s="3"/>
      <c r="U287" s="3"/>
      <c r="AA287" s="1"/>
    </row>
    <row r="288" spans="1:27" ht="15.75" customHeight="1" x14ac:dyDescent="0.2">
      <c r="A288" s="1" t="s">
        <v>1102</v>
      </c>
      <c r="B288" s="1"/>
      <c r="C288" s="1"/>
      <c r="D288" s="1"/>
      <c r="E288" s="1"/>
      <c r="F288" s="1"/>
      <c r="G288" s="2"/>
      <c r="H288" s="1" t="s">
        <v>725</v>
      </c>
      <c r="I288" s="1">
        <v>3</v>
      </c>
      <c r="J288" s="1" t="b">
        <v>0</v>
      </c>
      <c r="K288" s="3"/>
      <c r="L288" s="3"/>
      <c r="M288" s="3"/>
      <c r="N288" s="3"/>
      <c r="O288" s="3"/>
      <c r="P288" s="3"/>
      <c r="Q288" s="3"/>
      <c r="R288" s="3"/>
      <c r="S288" s="3"/>
      <c r="T288" s="3"/>
      <c r="U288" s="3"/>
      <c r="AA288" s="1"/>
    </row>
    <row r="289" spans="1:27" ht="15.75" customHeight="1" x14ac:dyDescent="0.2">
      <c r="A289" s="1" t="s">
        <v>1103</v>
      </c>
      <c r="B289" s="1"/>
      <c r="C289" s="1"/>
      <c r="D289" s="1"/>
      <c r="E289" s="1"/>
      <c r="F289" s="1"/>
      <c r="G289" s="2"/>
      <c r="H289" s="1" t="s">
        <v>31</v>
      </c>
      <c r="I289" s="1">
        <v>18</v>
      </c>
      <c r="J289" s="1" t="b">
        <v>0</v>
      </c>
      <c r="K289" s="3"/>
      <c r="L289" s="3"/>
      <c r="M289" s="3"/>
      <c r="N289" s="3"/>
      <c r="O289" s="3"/>
      <c r="P289" s="3"/>
      <c r="Q289" s="3"/>
      <c r="R289" s="3"/>
      <c r="S289" s="3"/>
      <c r="T289" s="3"/>
      <c r="U289" s="3"/>
      <c r="AA289" s="1"/>
    </row>
    <row r="290" spans="1:27" ht="15.75" customHeight="1" x14ac:dyDescent="0.2">
      <c r="A290" s="1" t="s">
        <v>1104</v>
      </c>
      <c r="B290" s="1"/>
      <c r="C290" s="1"/>
      <c r="D290" s="1"/>
      <c r="E290" s="1"/>
      <c r="F290" s="1"/>
      <c r="G290" s="2"/>
      <c r="H290" s="1" t="s">
        <v>134</v>
      </c>
      <c r="I290" s="1">
        <v>18</v>
      </c>
      <c r="J290" s="1" t="b">
        <v>0</v>
      </c>
      <c r="K290" s="3"/>
      <c r="L290" s="3"/>
      <c r="M290" s="3"/>
      <c r="N290" s="3"/>
      <c r="O290" s="3"/>
      <c r="P290" s="3"/>
      <c r="Q290" s="3"/>
      <c r="R290" s="3"/>
      <c r="S290" s="3"/>
      <c r="T290" s="3"/>
      <c r="U290" s="3"/>
      <c r="AA290" s="1"/>
    </row>
    <row r="291" spans="1:27" ht="15.75" customHeight="1" x14ac:dyDescent="0.2">
      <c r="A291" s="1" t="s">
        <v>1105</v>
      </c>
      <c r="B291" s="1"/>
      <c r="C291" s="1"/>
      <c r="D291" s="1"/>
      <c r="E291" s="1"/>
      <c r="F291" s="1"/>
      <c r="G291" s="2"/>
      <c r="H291" s="1" t="s">
        <v>31</v>
      </c>
      <c r="I291" s="1">
        <v>49</v>
      </c>
      <c r="J291" s="1" t="b">
        <v>0</v>
      </c>
      <c r="K291" s="3"/>
      <c r="L291" s="3"/>
      <c r="M291" s="3"/>
      <c r="N291" s="3"/>
      <c r="O291" s="3"/>
      <c r="P291" s="3"/>
      <c r="Q291" s="3"/>
      <c r="R291" s="3"/>
      <c r="S291" s="3"/>
      <c r="T291" s="3"/>
      <c r="U291" s="3"/>
      <c r="AA291" s="1"/>
    </row>
    <row r="292" spans="1:27" ht="15.75" customHeight="1" x14ac:dyDescent="0.2">
      <c r="A292" s="1" t="s">
        <v>1106</v>
      </c>
      <c r="B292" s="1"/>
      <c r="C292" s="1"/>
      <c r="D292" s="1"/>
      <c r="E292" s="1"/>
      <c r="F292" s="1"/>
      <c r="G292" s="2"/>
      <c r="H292" s="1" t="s">
        <v>181</v>
      </c>
      <c r="I292" s="1">
        <v>1</v>
      </c>
      <c r="J292" s="1" t="b">
        <v>0</v>
      </c>
      <c r="K292" s="3"/>
      <c r="L292" s="3"/>
      <c r="M292" s="3"/>
      <c r="N292" s="3"/>
      <c r="O292" s="3"/>
      <c r="P292" s="3"/>
      <c r="Q292" s="3"/>
      <c r="R292" s="3"/>
      <c r="S292" s="3"/>
      <c r="T292" s="3"/>
      <c r="U292" s="3"/>
      <c r="AA292" s="1"/>
    </row>
    <row r="293" spans="1:27" ht="15.75" customHeight="1" x14ac:dyDescent="0.2">
      <c r="A293" s="1" t="s">
        <v>1107</v>
      </c>
      <c r="B293" s="1"/>
      <c r="C293" s="1"/>
      <c r="D293" s="1"/>
      <c r="E293" s="1"/>
      <c r="F293" s="1"/>
      <c r="G293" s="2"/>
      <c r="H293" s="1" t="s">
        <v>31</v>
      </c>
      <c r="I293" s="1">
        <v>95</v>
      </c>
      <c r="J293" s="1" t="b">
        <v>0</v>
      </c>
      <c r="K293" s="3"/>
      <c r="L293" s="3"/>
      <c r="M293" s="3"/>
      <c r="N293" s="3"/>
      <c r="O293" s="3"/>
      <c r="P293" s="3"/>
      <c r="Q293" s="3"/>
      <c r="R293" s="3"/>
      <c r="S293" s="3"/>
      <c r="T293" s="3"/>
      <c r="U293" s="3"/>
      <c r="AA293" s="1"/>
    </row>
    <row r="294" spans="1:27" ht="170" customHeight="1" x14ac:dyDescent="0.2">
      <c r="A294" s="1" t="s">
        <v>1108</v>
      </c>
      <c r="B294" s="1"/>
      <c r="C294" s="1"/>
      <c r="D294" s="1"/>
      <c r="E294" s="1"/>
      <c r="F294" s="1"/>
      <c r="G294" s="2"/>
      <c r="H294" s="1" t="s">
        <v>591</v>
      </c>
      <c r="I294" s="1">
        <v>22</v>
      </c>
      <c r="J294" s="1" t="b">
        <v>0</v>
      </c>
      <c r="K294" s="3"/>
      <c r="L294" s="3"/>
      <c r="M294" s="3"/>
      <c r="N294" s="3"/>
      <c r="O294" s="3"/>
      <c r="P294" s="3"/>
      <c r="Q294" s="3"/>
      <c r="R294" s="3"/>
      <c r="S294" s="3"/>
      <c r="T294" s="3"/>
      <c r="U294" s="3"/>
      <c r="AA294" s="1"/>
    </row>
    <row r="295" spans="1:27" ht="15.75" customHeight="1" x14ac:dyDescent="0.2">
      <c r="A295" s="1" t="s">
        <v>1109</v>
      </c>
      <c r="B295" s="1"/>
      <c r="C295" s="1"/>
      <c r="D295" s="1"/>
      <c r="E295" s="1"/>
      <c r="F295" s="1"/>
      <c r="G295" s="2"/>
      <c r="H295" s="1" t="s">
        <v>80</v>
      </c>
      <c r="I295" s="1">
        <v>15</v>
      </c>
      <c r="J295" s="1" t="b">
        <v>0</v>
      </c>
      <c r="K295" s="3"/>
      <c r="L295" s="3"/>
      <c r="M295" s="3"/>
      <c r="N295" s="3"/>
      <c r="O295" s="3"/>
      <c r="P295" s="3"/>
      <c r="Q295" s="3"/>
      <c r="R295" s="3"/>
      <c r="S295" s="3"/>
      <c r="T295" s="3"/>
      <c r="U295" s="3"/>
      <c r="AA295" s="1"/>
    </row>
    <row r="296" spans="1:27" ht="15.75" customHeight="1" x14ac:dyDescent="0.2">
      <c r="A296" s="1" t="s">
        <v>1110</v>
      </c>
      <c r="B296" s="1"/>
      <c r="C296" s="1"/>
      <c r="D296" s="1"/>
      <c r="E296" s="1"/>
      <c r="F296" s="1"/>
      <c r="G296" s="2"/>
      <c r="H296" s="1" t="s">
        <v>98</v>
      </c>
      <c r="I296" s="1">
        <v>4</v>
      </c>
      <c r="J296" s="1" t="b">
        <v>0</v>
      </c>
      <c r="K296" s="3"/>
      <c r="L296" s="3"/>
      <c r="M296" s="3"/>
      <c r="N296" s="3"/>
      <c r="O296" s="3"/>
      <c r="P296" s="3"/>
      <c r="Q296" s="3"/>
      <c r="R296" s="3"/>
      <c r="S296" s="3"/>
      <c r="T296" s="3"/>
      <c r="U296" s="3"/>
      <c r="AA296" s="1"/>
    </row>
    <row r="297" spans="1:27" ht="15.75" customHeight="1" x14ac:dyDescent="0.2">
      <c r="A297" s="1" t="s">
        <v>1111</v>
      </c>
      <c r="B297" s="1"/>
      <c r="C297" s="1"/>
      <c r="D297" s="1"/>
      <c r="E297" s="1"/>
      <c r="F297" s="1"/>
      <c r="G297" s="2"/>
      <c r="H297" s="1" t="s">
        <v>280</v>
      </c>
      <c r="I297" s="1">
        <v>93</v>
      </c>
      <c r="J297" s="1" t="b">
        <v>0</v>
      </c>
      <c r="K297" s="3"/>
      <c r="L297" s="3"/>
      <c r="M297" s="3"/>
      <c r="N297" s="3"/>
      <c r="O297" s="3"/>
      <c r="P297" s="3"/>
      <c r="Q297" s="3"/>
      <c r="R297" s="3"/>
      <c r="S297" s="3"/>
      <c r="T297" s="3"/>
      <c r="U297" s="3"/>
      <c r="AA297" s="1"/>
    </row>
    <row r="298" spans="1:27" ht="15.75" customHeight="1" x14ac:dyDescent="0.2">
      <c r="A298" s="1" t="s">
        <v>1112</v>
      </c>
      <c r="B298" s="1"/>
      <c r="C298" s="1"/>
      <c r="D298" s="1"/>
      <c r="E298" s="1"/>
      <c r="F298" s="1"/>
      <c r="G298" s="2"/>
      <c r="H298" s="1" t="s">
        <v>128</v>
      </c>
      <c r="I298" s="1">
        <v>8</v>
      </c>
      <c r="J298" s="1" t="b">
        <v>0</v>
      </c>
      <c r="K298" s="3"/>
      <c r="L298" s="3"/>
      <c r="M298" s="3"/>
      <c r="N298" s="3"/>
      <c r="O298" s="3"/>
      <c r="P298" s="3"/>
      <c r="Q298" s="3"/>
      <c r="R298" s="3"/>
      <c r="S298" s="3"/>
      <c r="T298" s="3"/>
      <c r="U298" s="3"/>
      <c r="AA298" s="1"/>
    </row>
    <row r="299" spans="1:27" ht="15.75" customHeight="1" x14ac:dyDescent="0.2">
      <c r="A299" s="1" t="s">
        <v>1113</v>
      </c>
      <c r="B299" s="1"/>
      <c r="C299" s="1"/>
      <c r="D299" s="1"/>
      <c r="E299" s="1"/>
      <c r="F299" s="1"/>
      <c r="G299" s="2"/>
      <c r="H299" s="1" t="s">
        <v>31</v>
      </c>
      <c r="I299" s="1">
        <v>35</v>
      </c>
      <c r="J299" s="1" t="b">
        <v>0</v>
      </c>
      <c r="K299" s="3"/>
      <c r="L299" s="3"/>
      <c r="M299" s="3"/>
      <c r="N299" s="3"/>
      <c r="O299" s="3"/>
      <c r="P299" s="3"/>
      <c r="Q299" s="3"/>
      <c r="R299" s="3"/>
      <c r="S299" s="3"/>
      <c r="T299" s="3"/>
      <c r="U299" s="3"/>
      <c r="AA299" s="1"/>
    </row>
    <row r="300" spans="1:27" ht="15.75" customHeight="1" x14ac:dyDescent="0.2">
      <c r="A300" s="1" t="s">
        <v>1114</v>
      </c>
      <c r="B300" s="1"/>
      <c r="C300" s="1"/>
      <c r="D300" s="1"/>
      <c r="E300" s="1"/>
      <c r="F300" s="1"/>
      <c r="G300" s="2"/>
      <c r="H300" s="1" t="s">
        <v>790</v>
      </c>
      <c r="I300" s="1">
        <v>51</v>
      </c>
      <c r="J300" s="1" t="b">
        <v>0</v>
      </c>
      <c r="K300" s="3"/>
      <c r="L300" s="3"/>
      <c r="M300" s="3"/>
      <c r="N300" s="3"/>
      <c r="O300" s="3"/>
      <c r="P300" s="3"/>
      <c r="Q300" s="3"/>
      <c r="R300" s="3"/>
      <c r="S300" s="3"/>
      <c r="T300" s="3"/>
      <c r="U300" s="3"/>
      <c r="AA300" s="1"/>
    </row>
    <row r="301" spans="1:27" ht="15.75" customHeight="1" x14ac:dyDescent="0.2">
      <c r="A301" s="1" t="s">
        <v>1115</v>
      </c>
      <c r="B301" s="1"/>
      <c r="C301" s="1"/>
      <c r="D301" s="1"/>
      <c r="E301" s="1"/>
      <c r="F301" s="1"/>
      <c r="G301" s="2"/>
      <c r="H301" s="1" t="s">
        <v>336</v>
      </c>
      <c r="I301" s="1">
        <v>278</v>
      </c>
      <c r="J301" s="1" t="b">
        <v>0</v>
      </c>
      <c r="K301" s="3"/>
      <c r="L301" s="3"/>
      <c r="M301" s="3"/>
      <c r="N301" s="3"/>
      <c r="O301" s="3"/>
      <c r="P301" s="3"/>
      <c r="Q301" s="3"/>
      <c r="R301" s="3"/>
      <c r="S301" s="3"/>
      <c r="T301" s="3"/>
      <c r="U301" s="3"/>
      <c r="AA301" s="1"/>
    </row>
    <row r="302" spans="1:27" ht="15.75" customHeight="1" x14ac:dyDescent="0.2">
      <c r="A302" s="1" t="s">
        <v>1116</v>
      </c>
      <c r="B302" s="1"/>
      <c r="C302" s="1"/>
      <c r="D302" s="1"/>
      <c r="E302" s="1"/>
      <c r="F302" s="1"/>
      <c r="G302" s="2"/>
      <c r="H302" s="1" t="s">
        <v>966</v>
      </c>
      <c r="I302" s="1">
        <v>44</v>
      </c>
      <c r="J302" s="1" t="b">
        <v>0</v>
      </c>
      <c r="K302" s="3"/>
      <c r="L302" s="3"/>
      <c r="M302" s="3"/>
      <c r="N302" s="3"/>
      <c r="O302" s="3"/>
      <c r="P302" s="3"/>
      <c r="Q302" s="3"/>
      <c r="R302" s="3"/>
      <c r="S302" s="3"/>
      <c r="T302" s="3"/>
      <c r="U302" s="3"/>
      <c r="AA302" s="1"/>
    </row>
    <row r="303" spans="1:27" ht="15.75" customHeight="1" x14ac:dyDescent="0.2">
      <c r="A303" s="1" t="s">
        <v>1117</v>
      </c>
      <c r="B303" s="1"/>
      <c r="C303" s="1"/>
      <c r="D303" s="1"/>
      <c r="E303" s="1"/>
      <c r="F303" s="1"/>
      <c r="G303" s="2"/>
      <c r="H303" s="1" t="s">
        <v>31</v>
      </c>
      <c r="I303" s="1">
        <v>107</v>
      </c>
      <c r="J303" s="1" t="b">
        <v>0</v>
      </c>
      <c r="K303" s="3"/>
      <c r="L303" s="3"/>
      <c r="M303" s="3"/>
      <c r="N303" s="3"/>
      <c r="O303" s="3"/>
      <c r="P303" s="3"/>
      <c r="Q303" s="3"/>
      <c r="R303" s="3"/>
      <c r="S303" s="3"/>
      <c r="T303" s="3"/>
      <c r="U303" s="3"/>
      <c r="AA303" s="1"/>
    </row>
    <row r="304" spans="1:27" ht="15.75" customHeight="1" x14ac:dyDescent="0.2">
      <c r="A304" s="1" t="s">
        <v>1118</v>
      </c>
      <c r="B304" s="1"/>
      <c r="C304" s="1"/>
      <c r="D304" s="1"/>
      <c r="E304" s="1"/>
      <c r="F304" s="1"/>
      <c r="G304" s="2"/>
      <c r="H304" s="1" t="s">
        <v>31</v>
      </c>
      <c r="I304" s="1">
        <v>101</v>
      </c>
      <c r="J304" s="1" t="b">
        <v>0</v>
      </c>
      <c r="K304" s="3"/>
      <c r="L304" s="3"/>
      <c r="M304" s="3"/>
      <c r="N304" s="3"/>
      <c r="O304" s="3"/>
      <c r="P304" s="3"/>
      <c r="Q304" s="3"/>
      <c r="R304" s="3"/>
      <c r="S304" s="3"/>
      <c r="T304" s="3"/>
      <c r="U304" s="3"/>
      <c r="AA304" s="1"/>
    </row>
    <row r="305" spans="1:27" ht="15.75" customHeight="1" x14ac:dyDescent="0.2">
      <c r="A305" s="1" t="s">
        <v>1119</v>
      </c>
      <c r="B305" s="1"/>
      <c r="C305" s="1"/>
      <c r="D305" s="1"/>
      <c r="E305" s="1"/>
      <c r="F305" s="1"/>
      <c r="G305" s="2"/>
      <c r="H305" s="1" t="s">
        <v>181</v>
      </c>
      <c r="I305" s="1">
        <v>89</v>
      </c>
      <c r="J305" s="1" t="b">
        <v>1</v>
      </c>
      <c r="K305" s="3"/>
      <c r="L305" s="3"/>
      <c r="M305" s="3"/>
      <c r="N305" s="3"/>
      <c r="O305" s="3"/>
      <c r="P305" s="3"/>
      <c r="Q305" s="3"/>
      <c r="R305" s="3"/>
      <c r="S305" s="3"/>
      <c r="T305" s="3"/>
      <c r="U305" s="3"/>
      <c r="AA305" s="1"/>
    </row>
    <row r="306" spans="1:27" ht="15.75" customHeight="1" x14ac:dyDescent="0.2">
      <c r="A306" s="1" t="s">
        <v>1120</v>
      </c>
      <c r="B306" s="1"/>
      <c r="C306" s="1"/>
      <c r="D306" s="1"/>
      <c r="E306" s="1"/>
      <c r="F306" s="1"/>
      <c r="G306" s="2"/>
      <c r="H306" s="1" t="s">
        <v>181</v>
      </c>
      <c r="I306" s="1">
        <v>185</v>
      </c>
      <c r="J306" s="1" t="b">
        <v>0</v>
      </c>
      <c r="K306" s="3"/>
      <c r="L306" s="3"/>
      <c r="M306" s="3"/>
      <c r="N306" s="3"/>
      <c r="O306" s="3"/>
      <c r="P306" s="3"/>
      <c r="Q306" s="3"/>
      <c r="R306" s="3"/>
      <c r="S306" s="3"/>
      <c r="T306" s="3"/>
      <c r="U306" s="3"/>
      <c r="AA306" s="1"/>
    </row>
    <row r="307" spans="1:27" ht="15.75" customHeight="1" x14ac:dyDescent="0.2">
      <c r="A307" s="1" t="s">
        <v>1121</v>
      </c>
      <c r="B307" s="1"/>
      <c r="C307" s="1"/>
      <c r="D307" s="1"/>
      <c r="E307" s="1"/>
      <c r="F307" s="1"/>
      <c r="G307" s="2"/>
      <c r="H307" s="1" t="s">
        <v>31</v>
      </c>
      <c r="I307" s="1">
        <v>40</v>
      </c>
      <c r="J307" s="1" t="b">
        <v>0</v>
      </c>
      <c r="K307" s="3"/>
      <c r="L307" s="3"/>
      <c r="M307" s="3"/>
      <c r="N307" s="3"/>
      <c r="O307" s="3"/>
      <c r="P307" s="3"/>
      <c r="Q307" s="3"/>
      <c r="R307" s="3"/>
      <c r="S307" s="3"/>
      <c r="T307" s="3"/>
      <c r="U307" s="3"/>
      <c r="AA307" s="1"/>
    </row>
    <row r="308" spans="1:27" ht="15.75" customHeight="1" x14ac:dyDescent="0.2">
      <c r="A308" s="1" t="s">
        <v>1122</v>
      </c>
      <c r="B308" s="1"/>
      <c r="C308" s="1"/>
      <c r="D308" s="1"/>
      <c r="E308" s="1"/>
      <c r="F308" s="1"/>
      <c r="G308" s="2"/>
      <c r="H308" s="1" t="s">
        <v>31</v>
      </c>
      <c r="I308" s="1">
        <v>108</v>
      </c>
      <c r="J308" s="1" t="b">
        <v>0</v>
      </c>
      <c r="K308" s="3"/>
      <c r="L308" s="3"/>
      <c r="M308" s="3"/>
      <c r="N308" s="3"/>
      <c r="O308" s="3"/>
      <c r="P308" s="3"/>
      <c r="Q308" s="3"/>
      <c r="R308" s="3"/>
      <c r="S308" s="3"/>
      <c r="T308" s="3"/>
      <c r="U308" s="3"/>
      <c r="AA308" s="1"/>
    </row>
    <row r="309" spans="1:27" ht="15.75" customHeight="1" x14ac:dyDescent="0.2">
      <c r="A309" s="1" t="s">
        <v>1123</v>
      </c>
      <c r="B309" s="1"/>
      <c r="C309" s="1"/>
      <c r="D309" s="1"/>
      <c r="E309" s="1"/>
      <c r="F309" s="1"/>
      <c r="G309" s="2"/>
      <c r="H309" s="1" t="s">
        <v>154</v>
      </c>
      <c r="I309" s="1">
        <v>60</v>
      </c>
      <c r="J309" s="1" t="b">
        <v>0</v>
      </c>
      <c r="K309" s="3"/>
      <c r="L309" s="3"/>
      <c r="M309" s="3"/>
      <c r="N309" s="3"/>
      <c r="O309" s="3"/>
      <c r="P309" s="3"/>
      <c r="Q309" s="3"/>
      <c r="R309" s="3"/>
      <c r="S309" s="3"/>
      <c r="T309" s="3"/>
      <c r="U309" s="3"/>
      <c r="AA309" s="1"/>
    </row>
    <row r="310" spans="1:27" ht="15.75" customHeight="1" x14ac:dyDescent="0.2">
      <c r="A310" s="1" t="s">
        <v>1124</v>
      </c>
      <c r="B310" s="1"/>
      <c r="C310" s="1"/>
      <c r="D310" s="1"/>
      <c r="E310" s="1"/>
      <c r="F310" s="1"/>
      <c r="G310" s="2"/>
      <c r="H310" s="1" t="s">
        <v>518</v>
      </c>
      <c r="I310" s="1">
        <v>64</v>
      </c>
      <c r="J310" s="1" t="b">
        <v>0</v>
      </c>
      <c r="K310" s="3"/>
      <c r="L310" s="3"/>
      <c r="M310" s="3"/>
      <c r="N310" s="3"/>
      <c r="O310" s="3"/>
      <c r="P310" s="3"/>
      <c r="Q310" s="3"/>
      <c r="R310" s="3"/>
      <c r="S310" s="3"/>
      <c r="T310" s="3"/>
      <c r="U310" s="3"/>
      <c r="AA310" s="1"/>
    </row>
    <row r="311" spans="1:27" ht="15.75" customHeight="1" x14ac:dyDescent="0.2">
      <c r="A311" s="1" t="s">
        <v>1125</v>
      </c>
      <c r="B311" s="1"/>
      <c r="C311" s="1"/>
      <c r="D311" s="1"/>
      <c r="E311" s="1"/>
      <c r="F311" s="1"/>
      <c r="G311" s="2"/>
      <c r="H311" s="1" t="s">
        <v>31</v>
      </c>
      <c r="I311" s="1">
        <v>85</v>
      </c>
      <c r="J311" s="1" t="b">
        <v>0</v>
      </c>
      <c r="K311" s="3"/>
      <c r="L311" s="3"/>
      <c r="M311" s="3"/>
      <c r="N311" s="3"/>
      <c r="O311" s="3"/>
      <c r="P311" s="3"/>
      <c r="Q311" s="3"/>
      <c r="R311" s="3"/>
      <c r="S311" s="3"/>
      <c r="T311" s="3"/>
      <c r="U311" s="3"/>
      <c r="AA311" s="1"/>
    </row>
    <row r="312" spans="1:27" ht="15.75" customHeight="1" x14ac:dyDescent="0.2">
      <c r="A312" s="1" t="s">
        <v>1126</v>
      </c>
      <c r="B312" s="1"/>
      <c r="C312" s="1"/>
      <c r="D312" s="1"/>
      <c r="E312" s="1"/>
      <c r="F312" s="1"/>
      <c r="G312" s="2"/>
      <c r="H312" s="1" t="s">
        <v>280</v>
      </c>
      <c r="I312" s="1">
        <v>21</v>
      </c>
      <c r="J312" s="1" t="b">
        <v>0</v>
      </c>
      <c r="K312" s="3"/>
      <c r="L312" s="3"/>
      <c r="M312" s="3"/>
      <c r="N312" s="3"/>
      <c r="O312" s="3"/>
      <c r="P312" s="3"/>
      <c r="Q312" s="3"/>
      <c r="R312" s="3"/>
      <c r="S312" s="3"/>
      <c r="T312" s="3"/>
      <c r="U312" s="3"/>
      <c r="AA312" s="1"/>
    </row>
    <row r="313" spans="1:27" ht="15.75" customHeight="1" x14ac:dyDescent="0.2">
      <c r="A313" s="1" t="s">
        <v>1127</v>
      </c>
      <c r="B313" s="1"/>
      <c r="C313" s="1"/>
      <c r="D313" s="1"/>
      <c r="E313" s="1"/>
      <c r="F313" s="1"/>
      <c r="G313" s="2"/>
      <c r="H313" s="1" t="s">
        <v>31</v>
      </c>
      <c r="I313" s="1">
        <v>5</v>
      </c>
      <c r="J313" s="1" t="b">
        <v>0</v>
      </c>
      <c r="K313" s="3"/>
      <c r="L313" s="3"/>
      <c r="M313" s="3"/>
      <c r="N313" s="3"/>
      <c r="O313" s="3"/>
      <c r="P313" s="3"/>
      <c r="Q313" s="3"/>
      <c r="R313" s="3"/>
      <c r="S313" s="3"/>
      <c r="T313" s="3"/>
      <c r="U313" s="3"/>
      <c r="AA313" s="1"/>
    </row>
    <row r="314" spans="1:27" ht="15.75" customHeight="1" x14ac:dyDescent="0.2">
      <c r="A314" s="1" t="s">
        <v>1128</v>
      </c>
      <c r="B314" s="1"/>
      <c r="C314" s="1"/>
      <c r="D314" s="1"/>
      <c r="E314" s="1"/>
      <c r="F314" s="1"/>
      <c r="G314" s="2"/>
      <c r="H314" s="1" t="s">
        <v>31</v>
      </c>
      <c r="I314" s="1">
        <v>46</v>
      </c>
      <c r="J314" s="1" t="b">
        <v>0</v>
      </c>
      <c r="K314" s="3"/>
      <c r="L314" s="3"/>
      <c r="M314" s="3"/>
      <c r="N314" s="3"/>
      <c r="O314" s="3"/>
      <c r="P314" s="3"/>
      <c r="Q314" s="3"/>
      <c r="R314" s="3"/>
      <c r="S314" s="3"/>
      <c r="T314" s="3"/>
      <c r="U314" s="3"/>
      <c r="AA314" s="1"/>
    </row>
    <row r="315" spans="1:27" ht="15.75" customHeight="1" x14ac:dyDescent="0.2">
      <c r="A315" s="1" t="s">
        <v>1129</v>
      </c>
      <c r="B315" s="1"/>
      <c r="C315" s="1"/>
      <c r="D315" s="1"/>
      <c r="E315" s="1"/>
      <c r="F315" s="1"/>
      <c r="G315" s="2"/>
      <c r="H315" s="1" t="s">
        <v>1130</v>
      </c>
      <c r="I315" s="1">
        <v>44</v>
      </c>
      <c r="J315" s="1" t="b">
        <v>0</v>
      </c>
      <c r="K315" s="3"/>
      <c r="L315" s="3"/>
      <c r="M315" s="3"/>
      <c r="N315" s="3"/>
      <c r="O315" s="3"/>
      <c r="P315" s="3"/>
      <c r="Q315" s="3"/>
      <c r="R315" s="3"/>
      <c r="S315" s="3"/>
      <c r="T315" s="3"/>
      <c r="U315" s="3"/>
      <c r="AA315" s="1"/>
    </row>
    <row r="316" spans="1:27" ht="15.75" customHeight="1" x14ac:dyDescent="0.2">
      <c r="A316" s="1" t="s">
        <v>1131</v>
      </c>
      <c r="B316" s="1"/>
      <c r="C316" s="1"/>
      <c r="D316" s="1"/>
      <c r="E316" s="1"/>
      <c r="F316" s="1"/>
      <c r="G316" s="2"/>
      <c r="H316" s="1" t="s">
        <v>31</v>
      </c>
      <c r="I316" s="1">
        <v>10</v>
      </c>
      <c r="J316" s="1" t="b">
        <v>0</v>
      </c>
      <c r="K316" s="3"/>
      <c r="L316" s="3"/>
      <c r="M316" s="3"/>
      <c r="N316" s="3"/>
      <c r="O316" s="3"/>
      <c r="P316" s="3"/>
      <c r="Q316" s="3"/>
      <c r="R316" s="3"/>
      <c r="S316" s="3"/>
      <c r="T316" s="3"/>
      <c r="U316" s="3"/>
      <c r="AA316" s="1"/>
    </row>
    <row r="317" spans="1:27" ht="15.75" customHeight="1" x14ac:dyDescent="0.2">
      <c r="A317" s="1" t="s">
        <v>1132</v>
      </c>
      <c r="B317" s="1"/>
      <c r="C317" s="1"/>
      <c r="D317" s="1"/>
      <c r="E317" s="1"/>
      <c r="F317" s="1"/>
      <c r="G317" s="2"/>
      <c r="H317" s="1" t="s">
        <v>280</v>
      </c>
      <c r="I317" s="1">
        <v>2</v>
      </c>
      <c r="J317" s="1" t="b">
        <v>0</v>
      </c>
      <c r="K317" s="3"/>
      <c r="L317" s="3"/>
      <c r="M317" s="3"/>
      <c r="N317" s="3"/>
      <c r="O317" s="3"/>
      <c r="P317" s="3"/>
      <c r="Q317" s="3"/>
      <c r="R317" s="3"/>
      <c r="S317" s="3"/>
      <c r="T317" s="3"/>
      <c r="U317" s="3"/>
      <c r="AA317" s="1"/>
    </row>
    <row r="318" spans="1:27" ht="15.75" customHeight="1" x14ac:dyDescent="0.2">
      <c r="A318" s="1" t="s">
        <v>1133</v>
      </c>
      <c r="B318" s="1"/>
      <c r="C318" s="1"/>
      <c r="D318" s="1"/>
      <c r="E318" s="1"/>
      <c r="F318" s="1"/>
      <c r="G318" s="2"/>
      <c r="H318" s="1" t="s">
        <v>280</v>
      </c>
      <c r="I318" s="1">
        <v>35</v>
      </c>
      <c r="J318" s="1" t="b">
        <v>0</v>
      </c>
      <c r="K318" s="3"/>
      <c r="L318" s="3"/>
      <c r="M318" s="3"/>
      <c r="N318" s="3"/>
      <c r="O318" s="3"/>
      <c r="P318" s="3"/>
      <c r="Q318" s="3"/>
      <c r="R318" s="3"/>
      <c r="S318" s="3"/>
      <c r="T318" s="3"/>
      <c r="U318" s="3"/>
      <c r="AA318" s="1"/>
    </row>
    <row r="319" spans="1:27" ht="15.75" customHeight="1" x14ac:dyDescent="0.2">
      <c r="A319" s="1" t="s">
        <v>1134</v>
      </c>
      <c r="B319" s="1"/>
      <c r="C319" s="1"/>
      <c r="D319" s="1"/>
      <c r="E319" s="1"/>
      <c r="F319" s="1"/>
      <c r="G319" s="2"/>
      <c r="H319" s="1" t="s">
        <v>31</v>
      </c>
      <c r="I319" s="1">
        <v>97</v>
      </c>
      <c r="J319" s="1" t="b">
        <v>0</v>
      </c>
      <c r="K319" s="3"/>
      <c r="L319" s="3"/>
      <c r="M319" s="3"/>
      <c r="N319" s="3"/>
      <c r="O319" s="3"/>
      <c r="P319" s="3"/>
      <c r="Q319" s="3"/>
      <c r="R319" s="3"/>
      <c r="S319" s="3"/>
      <c r="T319" s="3"/>
      <c r="U319" s="3"/>
      <c r="AA319" s="1"/>
    </row>
    <row r="320" spans="1:27" ht="15.75" customHeight="1" x14ac:dyDescent="0.2">
      <c r="A320" s="1" t="s">
        <v>1135</v>
      </c>
      <c r="B320" s="1"/>
      <c r="C320" s="1"/>
      <c r="D320" s="1"/>
      <c r="E320" s="1"/>
      <c r="F320" s="1"/>
      <c r="G320" s="2"/>
      <c r="H320" s="1" t="s">
        <v>31</v>
      </c>
      <c r="I320" s="1">
        <v>209</v>
      </c>
      <c r="J320" s="1" t="b">
        <v>0</v>
      </c>
      <c r="K320" s="3"/>
      <c r="L320" s="3"/>
      <c r="M320" s="3"/>
      <c r="N320" s="3"/>
      <c r="O320" s="3"/>
      <c r="P320" s="3"/>
      <c r="Q320" s="3"/>
      <c r="R320" s="3"/>
      <c r="S320" s="3"/>
      <c r="T320" s="3"/>
      <c r="U320" s="3"/>
      <c r="AA320" s="1"/>
    </row>
    <row r="321" spans="1:27" ht="15.75" customHeight="1" x14ac:dyDescent="0.2">
      <c r="A321" s="1" t="s">
        <v>1136</v>
      </c>
      <c r="B321" s="1"/>
      <c r="C321" s="1"/>
      <c r="D321" s="1"/>
      <c r="E321" s="1"/>
      <c r="F321" s="1"/>
      <c r="G321" s="2"/>
      <c r="H321" s="1" t="s">
        <v>31</v>
      </c>
      <c r="I321" s="1">
        <v>103</v>
      </c>
      <c r="J321" s="1" t="b">
        <v>0</v>
      </c>
      <c r="K321" s="3"/>
      <c r="L321" s="3"/>
      <c r="M321" s="3"/>
      <c r="N321" s="3"/>
      <c r="O321" s="3"/>
      <c r="P321" s="3"/>
      <c r="Q321" s="3"/>
      <c r="R321" s="3"/>
      <c r="S321" s="3"/>
      <c r="T321" s="3"/>
      <c r="U321" s="3"/>
      <c r="AA321" s="1"/>
    </row>
    <row r="322" spans="1:27" ht="15.75" customHeight="1" x14ac:dyDescent="0.2">
      <c r="A322" s="1" t="s">
        <v>1137</v>
      </c>
      <c r="B322" s="1"/>
      <c r="C322" s="1"/>
      <c r="D322" s="1"/>
      <c r="E322" s="1"/>
      <c r="F322" s="1"/>
      <c r="G322" s="2"/>
      <c r="H322" s="1" t="s">
        <v>280</v>
      </c>
      <c r="I322" s="1">
        <v>23</v>
      </c>
      <c r="J322" s="1" t="b">
        <v>0</v>
      </c>
      <c r="K322" s="3"/>
      <c r="L322" s="3"/>
      <c r="M322" s="3"/>
      <c r="N322" s="3"/>
      <c r="O322" s="3"/>
      <c r="P322" s="3"/>
      <c r="Q322" s="3"/>
      <c r="R322" s="3"/>
      <c r="S322" s="3"/>
      <c r="T322" s="3"/>
      <c r="U322" s="3"/>
      <c r="AA322" s="1"/>
    </row>
    <row r="323" spans="1:27" ht="15.75" customHeight="1" x14ac:dyDescent="0.2">
      <c r="A323" s="1" t="s">
        <v>1138</v>
      </c>
      <c r="B323" s="1"/>
      <c r="C323" s="1"/>
      <c r="D323" s="1"/>
      <c r="E323" s="1"/>
      <c r="F323" s="1"/>
      <c r="G323" s="2"/>
      <c r="H323" s="1" t="s">
        <v>410</v>
      </c>
      <c r="I323" s="1">
        <v>26</v>
      </c>
      <c r="J323" s="1" t="b">
        <v>0</v>
      </c>
      <c r="K323" s="3"/>
      <c r="L323" s="3"/>
      <c r="M323" s="3"/>
      <c r="N323" s="3"/>
      <c r="O323" s="3"/>
      <c r="P323" s="3"/>
      <c r="Q323" s="3"/>
      <c r="R323" s="3"/>
      <c r="S323" s="3"/>
      <c r="T323" s="3"/>
      <c r="U323" s="3"/>
      <c r="AA323" s="1"/>
    </row>
    <row r="324" spans="1:27" ht="15.75" customHeight="1" x14ac:dyDescent="0.2">
      <c r="A324" s="1" t="s">
        <v>1139</v>
      </c>
      <c r="B324" s="1"/>
      <c r="C324" s="1"/>
      <c r="D324" s="1"/>
      <c r="E324" s="1"/>
      <c r="F324" s="1"/>
      <c r="G324" s="2"/>
      <c r="H324" s="1" t="s">
        <v>98</v>
      </c>
      <c r="I324" s="1">
        <v>114</v>
      </c>
      <c r="J324" s="1" t="b">
        <v>0</v>
      </c>
      <c r="K324" s="3"/>
      <c r="L324" s="3"/>
      <c r="M324" s="3"/>
      <c r="N324" s="3"/>
      <c r="O324" s="3"/>
      <c r="P324" s="3"/>
      <c r="Q324" s="3"/>
      <c r="R324" s="3"/>
      <c r="S324" s="3"/>
      <c r="T324" s="3"/>
      <c r="U324" s="3"/>
      <c r="AA324" s="1"/>
    </row>
    <row r="325" spans="1:27" ht="15.75" customHeight="1" x14ac:dyDescent="0.2">
      <c r="A325" s="1" t="s">
        <v>1140</v>
      </c>
      <c r="B325" s="1"/>
      <c r="C325" s="1"/>
      <c r="D325" s="1"/>
      <c r="E325" s="1"/>
      <c r="F325" s="1"/>
      <c r="G325" s="2"/>
      <c r="H325" s="1" t="s">
        <v>80</v>
      </c>
      <c r="I325" s="1">
        <v>33</v>
      </c>
      <c r="J325" s="1" t="b">
        <v>0</v>
      </c>
      <c r="K325" s="3"/>
      <c r="L325" s="3"/>
      <c r="M325" s="3"/>
      <c r="N325" s="3"/>
      <c r="O325" s="3"/>
      <c r="P325" s="3"/>
      <c r="Q325" s="3"/>
      <c r="R325" s="3"/>
      <c r="S325" s="3"/>
      <c r="T325" s="3"/>
      <c r="U325" s="3"/>
      <c r="AA325" s="1"/>
    </row>
    <row r="326" spans="1:27" ht="15.75" customHeight="1" x14ac:dyDescent="0.2">
      <c r="A326" s="1" t="s">
        <v>1141</v>
      </c>
      <c r="B326" s="1"/>
      <c r="C326" s="1"/>
      <c r="D326" s="1"/>
      <c r="E326" s="1"/>
      <c r="F326" s="1"/>
      <c r="G326" s="2"/>
      <c r="H326" s="1" t="s">
        <v>1142</v>
      </c>
      <c r="I326" s="1">
        <v>25</v>
      </c>
      <c r="J326" s="1" t="b">
        <v>0</v>
      </c>
      <c r="K326" s="3"/>
      <c r="L326" s="3"/>
      <c r="M326" s="3"/>
      <c r="N326" s="3"/>
      <c r="O326" s="3"/>
      <c r="P326" s="3"/>
      <c r="Q326" s="3"/>
      <c r="R326" s="3"/>
      <c r="S326" s="3"/>
      <c r="T326" s="3"/>
      <c r="U326" s="3"/>
      <c r="AA326" s="1"/>
    </row>
    <row r="327" spans="1:27" ht="15.75" customHeight="1" x14ac:dyDescent="0.2">
      <c r="A327" s="1" t="s">
        <v>1143</v>
      </c>
      <c r="B327" s="1"/>
      <c r="C327" s="1"/>
      <c r="D327" s="1"/>
      <c r="E327" s="1"/>
      <c r="F327" s="1"/>
      <c r="G327" s="2"/>
      <c r="H327" s="1" t="s">
        <v>128</v>
      </c>
      <c r="I327" s="1">
        <v>88</v>
      </c>
      <c r="J327" s="1" t="b">
        <v>0</v>
      </c>
      <c r="K327" s="3"/>
      <c r="L327" s="3"/>
      <c r="M327" s="3"/>
      <c r="N327" s="3"/>
      <c r="O327" s="3"/>
      <c r="P327" s="3"/>
      <c r="Q327" s="3"/>
      <c r="R327" s="3"/>
      <c r="S327" s="3"/>
      <c r="T327" s="3"/>
      <c r="U327" s="3"/>
      <c r="AA327" s="1"/>
    </row>
    <row r="328" spans="1:27" ht="15.75" customHeight="1" x14ac:dyDescent="0.2">
      <c r="A328" s="1" t="s">
        <v>1144</v>
      </c>
      <c r="B328" s="1"/>
      <c r="C328" s="1"/>
      <c r="D328" s="1"/>
      <c r="E328" s="1"/>
      <c r="F328" s="1"/>
      <c r="G328" s="2"/>
      <c r="H328" s="1" t="s">
        <v>181</v>
      </c>
      <c r="I328" s="1">
        <v>20</v>
      </c>
      <c r="J328" s="1" t="b">
        <v>0</v>
      </c>
      <c r="K328" s="3"/>
      <c r="L328" s="3"/>
      <c r="M328" s="3"/>
      <c r="N328" s="3"/>
      <c r="O328" s="3"/>
      <c r="P328" s="3"/>
      <c r="Q328" s="3"/>
      <c r="R328" s="3"/>
      <c r="S328" s="3"/>
      <c r="T328" s="3"/>
      <c r="U328" s="3"/>
      <c r="AA328" s="1"/>
    </row>
    <row r="329" spans="1:27" ht="15.75" customHeight="1" x14ac:dyDescent="0.2">
      <c r="A329" s="1" t="s">
        <v>1145</v>
      </c>
      <c r="B329" s="1"/>
      <c r="C329" s="1"/>
      <c r="D329" s="1"/>
      <c r="E329" s="1"/>
      <c r="F329" s="1"/>
      <c r="G329" s="2"/>
      <c r="H329" s="1" t="s">
        <v>31</v>
      </c>
      <c r="I329" s="1">
        <v>46</v>
      </c>
      <c r="J329" s="1" t="b">
        <v>0</v>
      </c>
      <c r="K329" s="3"/>
      <c r="L329" s="3"/>
      <c r="M329" s="3"/>
      <c r="N329" s="3"/>
      <c r="O329" s="3"/>
      <c r="P329" s="3"/>
      <c r="Q329" s="3"/>
      <c r="R329" s="3"/>
      <c r="S329" s="3"/>
      <c r="T329" s="3"/>
      <c r="U329" s="3"/>
      <c r="AA329" s="1"/>
    </row>
    <row r="330" spans="1:27" ht="15.75" customHeight="1" x14ac:dyDescent="0.2">
      <c r="A330" s="1" t="s">
        <v>1146</v>
      </c>
      <c r="B330" s="1"/>
      <c r="C330" s="1"/>
      <c r="D330" s="1"/>
      <c r="E330" s="1"/>
      <c r="F330" s="1"/>
      <c r="G330" s="2"/>
      <c r="H330" s="1" t="s">
        <v>128</v>
      </c>
      <c r="I330" s="1">
        <v>82</v>
      </c>
      <c r="J330" s="1" t="b">
        <v>0</v>
      </c>
      <c r="K330" s="3"/>
      <c r="L330" s="3"/>
      <c r="M330" s="3"/>
      <c r="N330" s="3"/>
      <c r="O330" s="3"/>
      <c r="P330" s="3"/>
      <c r="Q330" s="3"/>
      <c r="R330" s="3"/>
      <c r="S330" s="3"/>
      <c r="T330" s="3"/>
      <c r="U330" s="3"/>
      <c r="AA330" s="1"/>
    </row>
    <row r="331" spans="1:27" ht="15.75" customHeight="1" x14ac:dyDescent="0.2">
      <c r="A331" s="1" t="s">
        <v>1147</v>
      </c>
      <c r="B331" s="1"/>
      <c r="C331" s="1"/>
      <c r="D331" s="1"/>
      <c r="E331" s="1"/>
      <c r="F331" s="1"/>
      <c r="G331" s="2"/>
      <c r="H331" s="1" t="s">
        <v>31</v>
      </c>
      <c r="I331" s="1">
        <v>39</v>
      </c>
      <c r="J331" s="1" t="b">
        <v>0</v>
      </c>
      <c r="K331" s="3"/>
      <c r="L331" s="3"/>
      <c r="M331" s="3"/>
      <c r="N331" s="3"/>
      <c r="O331" s="3"/>
      <c r="P331" s="3"/>
      <c r="Q331" s="3"/>
      <c r="R331" s="3"/>
      <c r="S331" s="3"/>
      <c r="T331" s="3"/>
      <c r="U331" s="3"/>
      <c r="AA331" s="1"/>
    </row>
    <row r="332" spans="1:27" ht="15.75" customHeight="1" x14ac:dyDescent="0.2">
      <c r="A332" s="1" t="s">
        <v>1148</v>
      </c>
      <c r="B332" s="1"/>
      <c r="C332" s="1"/>
      <c r="D332" s="1"/>
      <c r="E332" s="1"/>
      <c r="F332" s="1"/>
      <c r="G332" s="2"/>
      <c r="H332" s="1" t="s">
        <v>790</v>
      </c>
      <c r="I332" s="1">
        <v>90</v>
      </c>
      <c r="J332" s="1" t="b">
        <v>0</v>
      </c>
      <c r="K332" s="3"/>
      <c r="L332" s="3"/>
      <c r="M332" s="3"/>
      <c r="N332" s="3"/>
      <c r="O332" s="3"/>
      <c r="P332" s="3"/>
      <c r="Q332" s="3"/>
      <c r="R332" s="3"/>
      <c r="S332" s="3"/>
      <c r="T332" s="3"/>
      <c r="U332" s="3"/>
      <c r="AA332" s="1"/>
    </row>
    <row r="333" spans="1:27" ht="15.75" customHeight="1" x14ac:dyDescent="0.2">
      <c r="A333" s="1" t="s">
        <v>1149</v>
      </c>
      <c r="B333" s="1"/>
      <c r="C333" s="1"/>
      <c r="D333" s="1"/>
      <c r="E333" s="1"/>
      <c r="F333" s="1"/>
      <c r="G333" s="2"/>
      <c r="H333" s="1" t="s">
        <v>698</v>
      </c>
      <c r="I333" s="1">
        <v>14</v>
      </c>
      <c r="J333" s="1" t="b">
        <v>0</v>
      </c>
      <c r="K333" s="3"/>
      <c r="L333" s="3"/>
      <c r="M333" s="3"/>
      <c r="N333" s="3"/>
      <c r="O333" s="3"/>
      <c r="P333" s="3"/>
      <c r="Q333" s="3"/>
      <c r="R333" s="3"/>
      <c r="S333" s="3"/>
      <c r="T333" s="3"/>
      <c r="U333" s="3"/>
      <c r="AA333" s="1"/>
    </row>
    <row r="334" spans="1:27" ht="15.75" customHeight="1" x14ac:dyDescent="0.2">
      <c r="A334" s="1" t="s">
        <v>1150</v>
      </c>
      <c r="B334" s="1"/>
      <c r="C334" s="1"/>
      <c r="D334" s="1"/>
      <c r="E334" s="1"/>
      <c r="F334" s="1"/>
      <c r="G334" s="2"/>
      <c r="H334" s="1" t="s">
        <v>98</v>
      </c>
      <c r="I334" s="1">
        <v>12</v>
      </c>
      <c r="J334" s="1" t="b">
        <v>0</v>
      </c>
      <c r="K334" s="3"/>
      <c r="L334" s="3"/>
      <c r="M334" s="3"/>
      <c r="N334" s="3"/>
      <c r="O334" s="3"/>
      <c r="P334" s="3"/>
      <c r="Q334" s="3"/>
      <c r="R334" s="3"/>
      <c r="S334" s="3"/>
      <c r="T334" s="3"/>
      <c r="U334" s="3"/>
      <c r="AA334" s="1"/>
    </row>
    <row r="335" spans="1:27" ht="15.75" customHeight="1" x14ac:dyDescent="0.2">
      <c r="A335" s="1" t="s">
        <v>1151</v>
      </c>
      <c r="B335" s="1"/>
      <c r="C335" s="1"/>
      <c r="D335" s="1"/>
      <c r="E335" s="1"/>
      <c r="F335" s="1"/>
      <c r="G335" s="2"/>
      <c r="H335" s="1" t="s">
        <v>31</v>
      </c>
      <c r="I335" s="1">
        <v>31</v>
      </c>
      <c r="J335" s="1" t="b">
        <v>0</v>
      </c>
      <c r="K335" s="3"/>
      <c r="L335" s="3"/>
      <c r="M335" s="3"/>
      <c r="N335" s="3"/>
      <c r="O335" s="3"/>
      <c r="P335" s="3"/>
      <c r="Q335" s="3"/>
      <c r="R335" s="3"/>
      <c r="S335" s="3"/>
      <c r="T335" s="3"/>
      <c r="U335" s="3"/>
      <c r="AA335" s="1"/>
    </row>
    <row r="336" spans="1:27" ht="15.75" customHeight="1" x14ac:dyDescent="0.2">
      <c r="A336" s="1" t="s">
        <v>1152</v>
      </c>
      <c r="B336" s="1"/>
      <c r="C336" s="1"/>
      <c r="D336" s="1"/>
      <c r="E336" s="1"/>
      <c r="F336" s="1"/>
      <c r="G336" s="2"/>
      <c r="H336" s="1" t="s">
        <v>31</v>
      </c>
      <c r="I336" s="1">
        <v>32</v>
      </c>
      <c r="J336" s="1" t="b">
        <v>0</v>
      </c>
      <c r="K336" s="3"/>
      <c r="L336" s="3"/>
      <c r="M336" s="3"/>
      <c r="N336" s="3"/>
      <c r="O336" s="3"/>
      <c r="P336" s="3"/>
      <c r="Q336" s="3"/>
      <c r="R336" s="3"/>
      <c r="S336" s="3"/>
      <c r="T336" s="3"/>
      <c r="U336" s="3"/>
      <c r="AA336" s="1"/>
    </row>
    <row r="337" spans="1:27" ht="15.75" customHeight="1" x14ac:dyDescent="0.2">
      <c r="A337" s="1" t="s">
        <v>1153</v>
      </c>
      <c r="B337" s="1"/>
      <c r="C337" s="1"/>
      <c r="D337" s="1"/>
      <c r="E337" s="1"/>
      <c r="F337" s="1"/>
      <c r="G337" s="2"/>
      <c r="H337" s="1" t="s">
        <v>1154</v>
      </c>
      <c r="I337" s="1">
        <v>461</v>
      </c>
      <c r="J337" s="1" t="b">
        <v>0</v>
      </c>
      <c r="K337" s="3"/>
      <c r="L337" s="3"/>
      <c r="M337" s="3"/>
      <c r="N337" s="3"/>
      <c r="O337" s="3"/>
      <c r="P337" s="3"/>
      <c r="Q337" s="3"/>
      <c r="R337" s="3"/>
      <c r="S337" s="3"/>
      <c r="T337" s="3"/>
      <c r="U337" s="3"/>
      <c r="AA337" s="1"/>
    </row>
    <row r="338" spans="1:27" ht="15.75" customHeight="1" x14ac:dyDescent="0.2">
      <c r="A338" s="1" t="s">
        <v>1155</v>
      </c>
      <c r="B338" s="1"/>
      <c r="C338" s="1"/>
      <c r="D338" s="1"/>
      <c r="E338" s="1"/>
      <c r="F338" s="1"/>
      <c r="G338" s="2"/>
      <c r="H338" s="1" t="s">
        <v>31</v>
      </c>
      <c r="I338" s="1">
        <v>75</v>
      </c>
      <c r="J338" s="1" t="b">
        <v>0</v>
      </c>
      <c r="K338" s="3"/>
      <c r="L338" s="3"/>
      <c r="M338" s="3"/>
      <c r="N338" s="3"/>
      <c r="O338" s="3"/>
      <c r="P338" s="3"/>
      <c r="Q338" s="3"/>
      <c r="R338" s="3"/>
      <c r="S338" s="3"/>
      <c r="T338" s="3"/>
      <c r="U338" s="3"/>
      <c r="AA338" s="1"/>
    </row>
    <row r="339" spans="1:27" ht="15.75" customHeight="1" x14ac:dyDescent="0.2">
      <c r="A339" s="1" t="s">
        <v>1156</v>
      </c>
      <c r="B339" s="1"/>
      <c r="C339" s="1"/>
      <c r="D339" s="1"/>
      <c r="E339" s="1"/>
      <c r="F339" s="1"/>
      <c r="G339" s="2"/>
      <c r="H339" s="1" t="s">
        <v>336</v>
      </c>
      <c r="I339" s="1">
        <v>0</v>
      </c>
      <c r="J339" s="1" t="b">
        <v>0</v>
      </c>
      <c r="K339" s="3"/>
      <c r="L339" s="3"/>
      <c r="M339" s="3"/>
      <c r="N339" s="3"/>
      <c r="O339" s="3"/>
      <c r="P339" s="3"/>
      <c r="Q339" s="3"/>
      <c r="R339" s="3"/>
      <c r="S339" s="3"/>
      <c r="T339" s="3"/>
      <c r="U339" s="3"/>
      <c r="AA339" s="1"/>
    </row>
    <row r="340" spans="1:27" ht="15.75" customHeight="1" x14ac:dyDescent="0.2">
      <c r="A340" s="1" t="s">
        <v>1157</v>
      </c>
      <c r="B340" s="1"/>
      <c r="C340" s="1"/>
      <c r="D340" s="1"/>
      <c r="E340" s="1"/>
      <c r="F340" s="1"/>
      <c r="G340" s="2"/>
      <c r="H340" s="1" t="s">
        <v>181</v>
      </c>
      <c r="I340" s="1">
        <v>126</v>
      </c>
      <c r="J340" s="1" t="b">
        <v>0</v>
      </c>
      <c r="K340" s="3"/>
      <c r="L340" s="3"/>
      <c r="M340" s="3"/>
      <c r="N340" s="3"/>
      <c r="O340" s="3"/>
      <c r="P340" s="3"/>
      <c r="Q340" s="3"/>
      <c r="R340" s="3"/>
      <c r="S340" s="3"/>
      <c r="T340" s="3"/>
      <c r="U340" s="3"/>
      <c r="AA340" s="1"/>
    </row>
    <row r="341" spans="1:27" ht="15.75" customHeight="1" x14ac:dyDescent="0.2">
      <c r="A341" s="1" t="s">
        <v>1158</v>
      </c>
      <c r="B341" s="1"/>
      <c r="C341" s="1"/>
      <c r="D341" s="1"/>
      <c r="E341" s="1"/>
      <c r="F341" s="1"/>
      <c r="G341" s="2"/>
      <c r="H341" s="1" t="s">
        <v>134</v>
      </c>
      <c r="I341" s="1">
        <v>221</v>
      </c>
      <c r="J341" s="1" t="b">
        <v>0</v>
      </c>
      <c r="K341" s="3"/>
      <c r="L341" s="3"/>
      <c r="M341" s="3"/>
      <c r="N341" s="3"/>
      <c r="O341" s="3"/>
      <c r="P341" s="3"/>
      <c r="Q341" s="3"/>
      <c r="R341" s="3"/>
      <c r="S341" s="3"/>
      <c r="T341" s="3"/>
      <c r="U341" s="3"/>
      <c r="AA341" s="1"/>
    </row>
    <row r="342" spans="1:27" ht="15.75" customHeight="1" x14ac:dyDescent="0.2">
      <c r="A342" s="1" t="s">
        <v>1159</v>
      </c>
      <c r="B342" s="1"/>
      <c r="C342" s="1"/>
      <c r="D342" s="1"/>
      <c r="E342" s="1"/>
      <c r="F342" s="1"/>
      <c r="G342" s="2"/>
      <c r="H342" s="1" t="s">
        <v>31</v>
      </c>
      <c r="I342" s="1">
        <v>54</v>
      </c>
      <c r="J342" s="1" t="b">
        <v>0</v>
      </c>
      <c r="K342" s="3"/>
      <c r="L342" s="3"/>
      <c r="M342" s="3"/>
      <c r="N342" s="3"/>
      <c r="O342" s="3"/>
      <c r="P342" s="3"/>
      <c r="Q342" s="3"/>
      <c r="R342" s="3"/>
      <c r="S342" s="3"/>
      <c r="T342" s="3"/>
      <c r="U342" s="3"/>
      <c r="AA342" s="1"/>
    </row>
    <row r="343" spans="1:27" ht="15.75" customHeight="1" x14ac:dyDescent="0.2">
      <c r="A343" s="1" t="s">
        <v>1160</v>
      </c>
      <c r="B343" s="1"/>
      <c r="C343" s="1"/>
      <c r="D343" s="1"/>
      <c r="E343" s="1"/>
      <c r="F343" s="1"/>
      <c r="G343" s="2"/>
      <c r="H343" s="1" t="s">
        <v>31</v>
      </c>
      <c r="I343" s="1">
        <v>26</v>
      </c>
      <c r="J343" s="1" t="b">
        <v>0</v>
      </c>
      <c r="K343" s="3"/>
      <c r="L343" s="3"/>
      <c r="M343" s="3"/>
      <c r="N343" s="3"/>
      <c r="O343" s="3"/>
      <c r="P343" s="3"/>
      <c r="Q343" s="3"/>
      <c r="R343" s="3"/>
      <c r="S343" s="3"/>
      <c r="T343" s="3"/>
      <c r="U343" s="3"/>
      <c r="AA343" s="1"/>
    </row>
    <row r="344" spans="1:27" ht="15.75" customHeight="1" x14ac:dyDescent="0.2">
      <c r="A344" s="1" t="s">
        <v>1161</v>
      </c>
      <c r="B344" s="1"/>
      <c r="C344" s="1"/>
      <c r="D344" s="1"/>
      <c r="E344" s="1"/>
      <c r="F344" s="1"/>
      <c r="G344" s="2"/>
      <c r="H344" s="1" t="s">
        <v>518</v>
      </c>
      <c r="I344" s="1">
        <v>38</v>
      </c>
      <c r="J344" s="1" t="b">
        <v>0</v>
      </c>
      <c r="K344" s="3"/>
      <c r="L344" s="3"/>
      <c r="M344" s="3"/>
      <c r="N344" s="3"/>
      <c r="O344" s="3"/>
      <c r="P344" s="3"/>
      <c r="Q344" s="3"/>
      <c r="R344" s="3"/>
      <c r="S344" s="3"/>
      <c r="T344" s="3"/>
      <c r="U344" s="3"/>
      <c r="AA344" s="1"/>
    </row>
    <row r="345" spans="1:27" ht="15.75" customHeight="1" x14ac:dyDescent="0.2">
      <c r="A345" s="1" t="s">
        <v>1162</v>
      </c>
      <c r="B345" s="1"/>
      <c r="C345" s="1"/>
      <c r="D345" s="1"/>
      <c r="E345" s="1"/>
      <c r="F345" s="1"/>
      <c r="G345" s="2"/>
      <c r="H345" s="1" t="s">
        <v>31</v>
      </c>
      <c r="I345" s="1">
        <v>152</v>
      </c>
      <c r="J345" s="1" t="b">
        <v>0</v>
      </c>
      <c r="K345" s="3"/>
      <c r="L345" s="3"/>
      <c r="M345" s="3"/>
      <c r="N345" s="3"/>
      <c r="O345" s="3"/>
      <c r="P345" s="3"/>
      <c r="Q345" s="3"/>
      <c r="R345" s="3"/>
      <c r="S345" s="3"/>
      <c r="T345" s="3"/>
      <c r="U345" s="3"/>
      <c r="AA345" s="1"/>
    </row>
    <row r="346" spans="1:27" ht="15.75" customHeight="1" x14ac:dyDescent="0.2">
      <c r="A346" s="1" t="s">
        <v>1163</v>
      </c>
      <c r="B346" s="1"/>
      <c r="C346" s="1"/>
      <c r="D346" s="1"/>
      <c r="E346" s="1"/>
      <c r="F346" s="1"/>
      <c r="G346" s="2"/>
      <c r="H346" s="1" t="s">
        <v>31</v>
      </c>
      <c r="I346" s="1">
        <v>2</v>
      </c>
      <c r="J346" s="1" t="b">
        <v>0</v>
      </c>
      <c r="K346" s="3"/>
      <c r="L346" s="3"/>
      <c r="M346" s="3"/>
      <c r="N346" s="3"/>
      <c r="O346" s="3"/>
      <c r="P346" s="3"/>
      <c r="Q346" s="3"/>
      <c r="R346" s="3"/>
      <c r="S346" s="3"/>
      <c r="T346" s="3"/>
      <c r="U346" s="3"/>
      <c r="AA346" s="1"/>
    </row>
    <row r="347" spans="1:27" ht="15.75" customHeight="1" x14ac:dyDescent="0.2">
      <c r="A347" s="1" t="s">
        <v>1164</v>
      </c>
      <c r="B347" s="1"/>
      <c r="C347" s="1"/>
      <c r="D347" s="1"/>
      <c r="E347" s="1"/>
      <c r="F347" s="1"/>
      <c r="G347" s="2"/>
      <c r="H347" s="1" t="s">
        <v>181</v>
      </c>
      <c r="I347" s="1">
        <v>18</v>
      </c>
      <c r="J347" s="1" t="b">
        <v>0</v>
      </c>
      <c r="K347" s="3"/>
      <c r="L347" s="3"/>
      <c r="M347" s="3"/>
      <c r="N347" s="3"/>
      <c r="O347" s="3"/>
      <c r="P347" s="3"/>
      <c r="Q347" s="3"/>
      <c r="R347" s="3"/>
      <c r="S347" s="3"/>
      <c r="T347" s="3"/>
      <c r="U347" s="3"/>
      <c r="AA347" s="1"/>
    </row>
    <row r="348" spans="1:27" ht="15.75" customHeight="1" x14ac:dyDescent="0.2">
      <c r="A348" s="1" t="s">
        <v>1165</v>
      </c>
      <c r="B348" s="1"/>
      <c r="C348" s="1"/>
      <c r="D348" s="1"/>
      <c r="E348" s="1"/>
      <c r="F348" s="1"/>
      <c r="G348" s="2"/>
      <c r="H348" s="1" t="s">
        <v>31</v>
      </c>
      <c r="I348" s="1">
        <v>152</v>
      </c>
      <c r="J348" s="1" t="b">
        <v>0</v>
      </c>
      <c r="K348" s="3"/>
      <c r="L348" s="3"/>
      <c r="M348" s="3"/>
      <c r="N348" s="3"/>
      <c r="O348" s="3"/>
      <c r="P348" s="3"/>
      <c r="Q348" s="3"/>
      <c r="R348" s="3"/>
      <c r="S348" s="3"/>
      <c r="T348" s="3"/>
      <c r="U348" s="3"/>
      <c r="AA348" s="1"/>
    </row>
    <row r="349" spans="1:27" ht="15.75" customHeight="1" x14ac:dyDescent="0.2">
      <c r="A349" s="1" t="s">
        <v>1166</v>
      </c>
      <c r="B349" s="1"/>
      <c r="C349" s="1"/>
      <c r="D349" s="1"/>
      <c r="E349" s="1"/>
      <c r="F349" s="1"/>
      <c r="G349" s="2"/>
      <c r="H349" s="1" t="s">
        <v>31</v>
      </c>
      <c r="I349" s="1">
        <v>76</v>
      </c>
      <c r="J349" s="1" t="b">
        <v>0</v>
      </c>
      <c r="K349" s="3"/>
      <c r="L349" s="3"/>
      <c r="M349" s="3"/>
      <c r="N349" s="3"/>
      <c r="O349" s="3"/>
      <c r="P349" s="3"/>
      <c r="Q349" s="3"/>
      <c r="R349" s="3"/>
      <c r="S349" s="3"/>
      <c r="T349" s="3"/>
      <c r="U349" s="3"/>
      <c r="AA349" s="1"/>
    </row>
    <row r="350" spans="1:27" ht="15.75" customHeight="1" x14ac:dyDescent="0.2">
      <c r="A350" s="1" t="s">
        <v>1167</v>
      </c>
      <c r="B350" s="1"/>
      <c r="C350" s="1"/>
      <c r="D350" s="1"/>
      <c r="E350" s="1"/>
      <c r="F350" s="1"/>
      <c r="G350" s="2"/>
      <c r="H350" s="1" t="s">
        <v>31</v>
      </c>
      <c r="I350" s="1">
        <v>75</v>
      </c>
      <c r="J350" s="1" t="b">
        <v>0</v>
      </c>
      <c r="K350" s="3"/>
      <c r="L350" s="3"/>
      <c r="M350" s="3"/>
      <c r="N350" s="3"/>
      <c r="O350" s="3"/>
      <c r="P350" s="3"/>
      <c r="Q350" s="3"/>
      <c r="R350" s="3"/>
      <c r="S350" s="3"/>
      <c r="T350" s="3"/>
      <c r="U350" s="3"/>
      <c r="AA350" s="1"/>
    </row>
    <row r="351" spans="1:27" ht="15.75" customHeight="1" x14ac:dyDescent="0.2">
      <c r="A351" s="1" t="s">
        <v>1168</v>
      </c>
      <c r="B351" s="1"/>
      <c r="C351" s="1"/>
      <c r="D351" s="1"/>
      <c r="E351" s="1"/>
      <c r="F351" s="1"/>
      <c r="G351" s="2"/>
      <c r="H351" s="1" t="s">
        <v>86</v>
      </c>
      <c r="I351" s="1">
        <v>28</v>
      </c>
      <c r="J351" s="1" t="b">
        <v>0</v>
      </c>
      <c r="K351" s="3"/>
      <c r="L351" s="3"/>
      <c r="M351" s="3"/>
      <c r="N351" s="3"/>
      <c r="O351" s="3"/>
      <c r="P351" s="3"/>
      <c r="Q351" s="3"/>
      <c r="R351" s="3"/>
      <c r="S351" s="3"/>
      <c r="T351" s="3"/>
      <c r="U351" s="3"/>
      <c r="AA351" s="1"/>
    </row>
    <row r="352" spans="1:27" ht="15.75" customHeight="1" x14ac:dyDescent="0.2">
      <c r="A352" s="1" t="s">
        <v>1169</v>
      </c>
      <c r="B352" s="1"/>
      <c r="C352" s="1"/>
      <c r="D352" s="1"/>
      <c r="E352" s="1"/>
      <c r="F352" s="1"/>
      <c r="G352" s="2"/>
      <c r="H352" s="1" t="s">
        <v>181</v>
      </c>
      <c r="I352" s="1">
        <v>122</v>
      </c>
      <c r="J352" s="1" t="b">
        <v>0</v>
      </c>
      <c r="K352" s="3"/>
      <c r="L352" s="3"/>
      <c r="M352" s="3"/>
      <c r="N352" s="3"/>
      <c r="O352" s="3"/>
      <c r="P352" s="3"/>
      <c r="Q352" s="3"/>
      <c r="R352" s="3"/>
      <c r="S352" s="3"/>
      <c r="T352" s="3"/>
      <c r="U352" s="3"/>
      <c r="AA352" s="1"/>
    </row>
    <row r="353" spans="1:27" ht="15.75" customHeight="1" x14ac:dyDescent="0.2">
      <c r="A353" s="1" t="s">
        <v>1170</v>
      </c>
      <c r="B353" s="1"/>
      <c r="C353" s="1"/>
      <c r="D353" s="1"/>
      <c r="E353" s="1"/>
      <c r="F353" s="1"/>
      <c r="G353" s="2"/>
      <c r="H353" s="1" t="s">
        <v>31</v>
      </c>
      <c r="I353" s="1">
        <v>47</v>
      </c>
      <c r="J353" s="1" t="b">
        <v>0</v>
      </c>
      <c r="K353" s="3"/>
      <c r="L353" s="3"/>
      <c r="M353" s="3"/>
      <c r="N353" s="3"/>
      <c r="O353" s="3"/>
      <c r="P353" s="3"/>
      <c r="Q353" s="3"/>
      <c r="R353" s="3"/>
      <c r="S353" s="3"/>
      <c r="T353" s="3"/>
      <c r="U353" s="3"/>
      <c r="AA353" s="1"/>
    </row>
    <row r="354" spans="1:27" ht="15.75" customHeight="1" x14ac:dyDescent="0.2">
      <c r="A354" s="1" t="s">
        <v>1171</v>
      </c>
      <c r="B354" s="1"/>
      <c r="C354" s="1"/>
      <c r="D354" s="1"/>
      <c r="E354" s="1"/>
      <c r="F354" s="1"/>
      <c r="G354" s="2"/>
      <c r="H354" s="1" t="s">
        <v>1172</v>
      </c>
      <c r="I354" s="1">
        <v>55</v>
      </c>
      <c r="J354" s="1" t="b">
        <v>0</v>
      </c>
      <c r="K354" s="3"/>
      <c r="L354" s="3"/>
      <c r="M354" s="3"/>
      <c r="N354" s="3"/>
      <c r="O354" s="3"/>
      <c r="P354" s="3"/>
      <c r="Q354" s="3"/>
      <c r="R354" s="3"/>
      <c r="S354" s="3"/>
      <c r="T354" s="3"/>
      <c r="U354" s="3"/>
      <c r="AA354" s="1"/>
    </row>
    <row r="355" spans="1:27" ht="15.75" customHeight="1" x14ac:dyDescent="0.2">
      <c r="A355" s="1" t="s">
        <v>1173</v>
      </c>
      <c r="B355" s="1"/>
      <c r="C355" s="1"/>
      <c r="D355" s="1"/>
      <c r="E355" s="1"/>
      <c r="F355" s="1"/>
      <c r="G355" s="2"/>
      <c r="H355" s="1" t="s">
        <v>31</v>
      </c>
      <c r="I355" s="1">
        <v>4</v>
      </c>
      <c r="J355" s="1" t="b">
        <v>0</v>
      </c>
      <c r="K355" s="3"/>
      <c r="L355" s="3"/>
      <c r="M355" s="3"/>
      <c r="N355" s="3"/>
      <c r="O355" s="3"/>
      <c r="P355" s="3"/>
      <c r="Q355" s="3"/>
      <c r="R355" s="3"/>
      <c r="S355" s="3"/>
      <c r="T355" s="3"/>
      <c r="U355" s="3"/>
      <c r="AA355" s="1"/>
    </row>
    <row r="356" spans="1:27" ht="15.75" customHeight="1" x14ac:dyDescent="0.2">
      <c r="A356" s="1" t="s">
        <v>1174</v>
      </c>
      <c r="B356" s="1"/>
      <c r="C356" s="1"/>
      <c r="D356" s="1"/>
      <c r="E356" s="1"/>
      <c r="F356" s="1"/>
      <c r="G356" s="2"/>
      <c r="H356" s="1" t="s">
        <v>154</v>
      </c>
      <c r="I356" s="1">
        <v>13</v>
      </c>
      <c r="J356" s="1" t="b">
        <v>0</v>
      </c>
      <c r="K356" s="3"/>
      <c r="L356" s="3"/>
      <c r="M356" s="3"/>
      <c r="N356" s="3"/>
      <c r="O356" s="3"/>
      <c r="P356" s="3"/>
      <c r="Q356" s="3"/>
      <c r="R356" s="3"/>
      <c r="S356" s="3"/>
      <c r="T356" s="3"/>
      <c r="U356" s="3"/>
      <c r="AA356" s="1"/>
    </row>
    <row r="357" spans="1:27" ht="15.75" customHeight="1" x14ac:dyDescent="0.2">
      <c r="A357" s="1" t="s">
        <v>1175</v>
      </c>
      <c r="B357" s="1"/>
      <c r="C357" s="1"/>
      <c r="D357" s="1"/>
      <c r="E357" s="1"/>
      <c r="F357" s="1"/>
      <c r="G357" s="2"/>
      <c r="H357" s="1" t="s">
        <v>31</v>
      </c>
      <c r="I357" s="1">
        <v>51</v>
      </c>
      <c r="J357" s="1" t="b">
        <v>0</v>
      </c>
      <c r="K357" s="3"/>
      <c r="L357" s="3"/>
      <c r="M357" s="3"/>
      <c r="N357" s="3"/>
      <c r="O357" s="3"/>
      <c r="P357" s="3"/>
      <c r="Q357" s="3"/>
      <c r="R357" s="3"/>
      <c r="S357" s="3"/>
      <c r="T357" s="3"/>
      <c r="U357" s="3"/>
      <c r="AA357" s="1"/>
    </row>
    <row r="358" spans="1:27" ht="15.75" customHeight="1" x14ac:dyDescent="0.2">
      <c r="A358" s="1" t="s">
        <v>1176</v>
      </c>
      <c r="B358" s="1"/>
      <c r="C358" s="1"/>
      <c r="D358" s="1"/>
      <c r="E358" s="1"/>
      <c r="F358" s="1"/>
      <c r="G358" s="2"/>
      <c r="H358" s="1" t="s">
        <v>1177</v>
      </c>
      <c r="I358" s="1">
        <v>14</v>
      </c>
      <c r="J358" s="1" t="b">
        <v>0</v>
      </c>
      <c r="K358" s="3"/>
      <c r="L358" s="3"/>
      <c r="M358" s="3"/>
      <c r="N358" s="3"/>
      <c r="O358" s="3"/>
      <c r="P358" s="3"/>
      <c r="Q358" s="3"/>
      <c r="R358" s="3"/>
      <c r="S358" s="3"/>
      <c r="T358" s="3"/>
      <c r="U358" s="3"/>
      <c r="AA358" s="1"/>
    </row>
    <row r="359" spans="1:27" ht="15.75" customHeight="1" x14ac:dyDescent="0.2">
      <c r="A359" s="1" t="s">
        <v>1178</v>
      </c>
      <c r="B359" s="1"/>
      <c r="C359" s="1"/>
      <c r="D359" s="1"/>
      <c r="E359" s="1"/>
      <c r="F359" s="1"/>
      <c r="G359" s="2"/>
      <c r="H359" s="1" t="s">
        <v>31</v>
      </c>
      <c r="I359" s="1">
        <v>1</v>
      </c>
      <c r="J359" s="1" t="b">
        <v>0</v>
      </c>
      <c r="K359" s="3"/>
      <c r="L359" s="3"/>
      <c r="M359" s="3"/>
      <c r="N359" s="3"/>
      <c r="O359" s="3"/>
      <c r="P359" s="3"/>
      <c r="Q359" s="3"/>
      <c r="R359" s="3"/>
      <c r="S359" s="3"/>
      <c r="T359" s="3"/>
      <c r="U359" s="3"/>
      <c r="AA359" s="1"/>
    </row>
    <row r="360" spans="1:27" ht="15.75" customHeight="1" x14ac:dyDescent="0.2">
      <c r="A360" s="1" t="s">
        <v>1179</v>
      </c>
      <c r="B360" s="1"/>
      <c r="C360" s="1"/>
      <c r="D360" s="1"/>
      <c r="E360" s="1"/>
      <c r="F360" s="1"/>
      <c r="G360" s="2"/>
      <c r="H360" s="1" t="s">
        <v>31</v>
      </c>
      <c r="I360" s="1">
        <v>15</v>
      </c>
      <c r="J360" s="1" t="b">
        <v>0</v>
      </c>
      <c r="K360" s="3"/>
      <c r="L360" s="3"/>
      <c r="M360" s="3"/>
      <c r="N360" s="3"/>
      <c r="O360" s="3"/>
      <c r="P360" s="3"/>
      <c r="Q360" s="3"/>
      <c r="R360" s="3"/>
      <c r="S360" s="3"/>
      <c r="T360" s="3"/>
      <c r="U360" s="3"/>
      <c r="AA360" s="1"/>
    </row>
    <row r="361" spans="1:27" ht="15.75" customHeight="1" x14ac:dyDescent="0.2">
      <c r="A361" s="1" t="s">
        <v>1180</v>
      </c>
      <c r="B361" s="1"/>
      <c r="C361" s="1"/>
      <c r="D361" s="1"/>
      <c r="E361" s="1"/>
      <c r="F361" s="1"/>
      <c r="G361" s="2"/>
      <c r="H361" s="1" t="s">
        <v>31</v>
      </c>
      <c r="I361" s="1">
        <v>11</v>
      </c>
      <c r="J361" s="1" t="b">
        <v>0</v>
      </c>
      <c r="K361" s="3"/>
      <c r="L361" s="3"/>
      <c r="M361" s="3"/>
      <c r="N361" s="3"/>
      <c r="O361" s="3"/>
      <c r="P361" s="3"/>
      <c r="Q361" s="3"/>
      <c r="R361" s="3"/>
      <c r="S361" s="3"/>
      <c r="T361" s="3"/>
      <c r="U361" s="3"/>
      <c r="AA361" s="1"/>
    </row>
    <row r="362" spans="1:27" ht="15.75" customHeight="1" x14ac:dyDescent="0.2">
      <c r="A362" s="1" t="s">
        <v>1181</v>
      </c>
      <c r="B362" s="1"/>
      <c r="C362" s="1"/>
      <c r="D362" s="1"/>
      <c r="E362" s="1"/>
      <c r="F362" s="1"/>
      <c r="G362" s="2"/>
      <c r="H362" s="1" t="s">
        <v>31</v>
      </c>
      <c r="I362" s="1">
        <v>8</v>
      </c>
      <c r="J362" s="1" t="b">
        <v>0</v>
      </c>
      <c r="K362" s="3"/>
      <c r="L362" s="3"/>
      <c r="M362" s="3"/>
      <c r="N362" s="3"/>
      <c r="O362" s="3"/>
      <c r="P362" s="3"/>
      <c r="Q362" s="3"/>
      <c r="R362" s="3"/>
      <c r="S362" s="3"/>
      <c r="T362" s="3"/>
      <c r="U362" s="3"/>
      <c r="AA362" s="1"/>
    </row>
    <row r="363" spans="1:27" ht="15.75" customHeight="1" x14ac:dyDescent="0.2">
      <c r="A363" s="1" t="s">
        <v>1182</v>
      </c>
      <c r="B363" s="1"/>
      <c r="C363" s="1"/>
      <c r="D363" s="1"/>
      <c r="E363" s="1"/>
      <c r="F363" s="1"/>
      <c r="G363" s="2"/>
      <c r="H363" s="1" t="s">
        <v>725</v>
      </c>
      <c r="I363" s="1">
        <v>5</v>
      </c>
      <c r="J363" s="1" t="b">
        <v>0</v>
      </c>
      <c r="K363" s="3"/>
      <c r="L363" s="3"/>
      <c r="M363" s="3"/>
      <c r="N363" s="3"/>
      <c r="O363" s="3"/>
      <c r="P363" s="3"/>
      <c r="Q363" s="3"/>
      <c r="R363" s="3"/>
      <c r="S363" s="3"/>
      <c r="T363" s="3"/>
      <c r="U363" s="3"/>
      <c r="AA363" s="1"/>
    </row>
    <row r="364" spans="1:27" ht="15.75" customHeight="1" x14ac:dyDescent="0.2">
      <c r="A364" s="1" t="s">
        <v>1183</v>
      </c>
      <c r="B364" s="1"/>
      <c r="C364" s="1"/>
      <c r="D364" s="1"/>
      <c r="E364" s="1"/>
      <c r="F364" s="1"/>
      <c r="G364" s="2"/>
      <c r="H364" s="1" t="s">
        <v>336</v>
      </c>
      <c r="I364" s="1">
        <v>11</v>
      </c>
      <c r="J364" s="1" t="b">
        <v>0</v>
      </c>
      <c r="K364" s="3"/>
      <c r="L364" s="3"/>
      <c r="M364" s="3"/>
      <c r="N364" s="3"/>
      <c r="O364" s="3"/>
      <c r="P364" s="3"/>
      <c r="Q364" s="3"/>
      <c r="R364" s="3"/>
      <c r="S364" s="3"/>
      <c r="T364" s="3"/>
      <c r="U364" s="3"/>
      <c r="AA364" s="1"/>
    </row>
    <row r="365" spans="1:27" ht="15.75" customHeight="1" x14ac:dyDescent="0.2">
      <c r="A365" s="1" t="s">
        <v>1184</v>
      </c>
      <c r="B365" s="1"/>
      <c r="C365" s="1"/>
      <c r="D365" s="1"/>
      <c r="E365" s="1"/>
      <c r="F365" s="1"/>
      <c r="G365" s="2"/>
      <c r="H365" s="1" t="s">
        <v>31</v>
      </c>
      <c r="I365" s="1">
        <v>145</v>
      </c>
      <c r="J365" s="1" t="b">
        <v>0</v>
      </c>
      <c r="K365" s="3"/>
      <c r="L365" s="3"/>
      <c r="M365" s="3"/>
      <c r="N365" s="3"/>
      <c r="O365" s="3"/>
      <c r="P365" s="3"/>
      <c r="Q365" s="3"/>
      <c r="R365" s="3"/>
      <c r="S365" s="3"/>
      <c r="T365" s="3"/>
      <c r="U365" s="3"/>
      <c r="AA365" s="1"/>
    </row>
    <row r="366" spans="1:27" ht="15.75" customHeight="1" x14ac:dyDescent="0.2">
      <c r="A366" s="1" t="s">
        <v>1185</v>
      </c>
      <c r="B366" s="1"/>
      <c r="C366" s="1"/>
      <c r="D366" s="1"/>
      <c r="E366" s="1"/>
      <c r="F366" s="1"/>
      <c r="G366" s="2"/>
      <c r="H366" s="1" t="s">
        <v>31</v>
      </c>
      <c r="I366" s="1">
        <v>1</v>
      </c>
      <c r="J366" s="1" t="b">
        <v>0</v>
      </c>
      <c r="K366" s="3"/>
      <c r="L366" s="3"/>
      <c r="M366" s="3"/>
      <c r="N366" s="3"/>
      <c r="O366" s="3"/>
      <c r="P366" s="3"/>
      <c r="Q366" s="3"/>
      <c r="R366" s="3"/>
      <c r="S366" s="3"/>
      <c r="T366" s="3"/>
      <c r="U366" s="3"/>
      <c r="AA366" s="1"/>
    </row>
    <row r="367" spans="1:27" ht="15.75" customHeight="1" x14ac:dyDescent="0.2">
      <c r="A367" s="1" t="s">
        <v>1186</v>
      </c>
      <c r="B367" s="1"/>
      <c r="C367" s="1"/>
      <c r="D367" s="1"/>
      <c r="E367" s="1"/>
      <c r="F367" s="1"/>
      <c r="G367" s="2"/>
      <c r="H367" s="1" t="s">
        <v>518</v>
      </c>
      <c r="I367" s="1">
        <v>231</v>
      </c>
      <c r="J367" s="1" t="b">
        <v>0</v>
      </c>
      <c r="K367" s="3"/>
      <c r="L367" s="3"/>
      <c r="M367" s="3"/>
      <c r="N367" s="3"/>
      <c r="O367" s="3"/>
      <c r="P367" s="3"/>
      <c r="Q367" s="3"/>
      <c r="R367" s="3"/>
      <c r="S367" s="3"/>
      <c r="T367" s="3"/>
      <c r="U367" s="3"/>
      <c r="AA367" s="1"/>
    </row>
    <row r="368" spans="1:27" ht="15.75" customHeight="1" x14ac:dyDescent="0.2">
      <c r="A368" s="1" t="s">
        <v>1187</v>
      </c>
      <c r="B368" s="1"/>
      <c r="C368" s="1"/>
      <c r="D368" s="1"/>
      <c r="E368" s="1"/>
      <c r="F368" s="1"/>
      <c r="G368" s="2"/>
      <c r="H368" s="1" t="s">
        <v>128</v>
      </c>
      <c r="I368" s="1">
        <v>20</v>
      </c>
      <c r="J368" s="1" t="b">
        <v>0</v>
      </c>
      <c r="K368" s="3"/>
      <c r="L368" s="3"/>
      <c r="M368" s="3"/>
      <c r="N368" s="3"/>
      <c r="O368" s="3"/>
      <c r="P368" s="3"/>
      <c r="Q368" s="3"/>
      <c r="R368" s="3"/>
      <c r="S368" s="3"/>
      <c r="T368" s="3"/>
      <c r="U368" s="3"/>
      <c r="AA368" s="1"/>
    </row>
    <row r="369" spans="1:27" ht="15.75" customHeight="1" x14ac:dyDescent="0.2">
      <c r="A369" s="1" t="s">
        <v>1188</v>
      </c>
      <c r="B369" s="1"/>
      <c r="C369" s="1"/>
      <c r="D369" s="1"/>
      <c r="E369" s="1"/>
      <c r="F369" s="1"/>
      <c r="G369" s="2"/>
      <c r="H369" s="1" t="s">
        <v>698</v>
      </c>
      <c r="I369" s="1">
        <v>52</v>
      </c>
      <c r="J369" s="1" t="b">
        <v>0</v>
      </c>
      <c r="K369" s="3"/>
      <c r="L369" s="3"/>
      <c r="M369" s="3"/>
      <c r="N369" s="3"/>
      <c r="O369" s="3"/>
      <c r="P369" s="3"/>
      <c r="Q369" s="3"/>
      <c r="R369" s="3"/>
      <c r="S369" s="3"/>
      <c r="T369" s="3"/>
      <c r="U369" s="3"/>
      <c r="AA369" s="1"/>
    </row>
    <row r="370" spans="1:27" ht="15.75" customHeight="1" x14ac:dyDescent="0.2">
      <c r="A370" s="1" t="s">
        <v>1189</v>
      </c>
      <c r="B370" s="1"/>
      <c r="C370" s="1"/>
      <c r="D370" s="1"/>
      <c r="E370" s="1"/>
      <c r="F370" s="1"/>
      <c r="G370" s="2"/>
      <c r="H370" s="1" t="s">
        <v>134</v>
      </c>
      <c r="I370" s="1">
        <v>17</v>
      </c>
      <c r="J370" s="1" t="b">
        <v>0</v>
      </c>
      <c r="K370" s="3"/>
      <c r="L370" s="3"/>
      <c r="M370" s="3"/>
      <c r="N370" s="3"/>
      <c r="O370" s="3"/>
      <c r="P370" s="3"/>
      <c r="Q370" s="3"/>
      <c r="R370" s="3"/>
      <c r="S370" s="3"/>
      <c r="T370" s="3"/>
      <c r="U370" s="3"/>
      <c r="AA370" s="1"/>
    </row>
    <row r="371" spans="1:27" ht="15.75" customHeight="1" x14ac:dyDescent="0.2">
      <c r="A371" s="1" t="s">
        <v>1190</v>
      </c>
      <c r="B371" s="1"/>
      <c r="C371" s="1"/>
      <c r="D371" s="1"/>
      <c r="E371" s="1"/>
      <c r="F371" s="1"/>
      <c r="G371" s="2"/>
      <c r="H371" s="1" t="s">
        <v>31</v>
      </c>
      <c r="I371" s="1">
        <v>74</v>
      </c>
      <c r="J371" s="1" t="b">
        <v>0</v>
      </c>
      <c r="K371" s="3"/>
      <c r="L371" s="3"/>
      <c r="M371" s="3"/>
      <c r="N371" s="3"/>
      <c r="O371" s="3"/>
      <c r="P371" s="3"/>
      <c r="Q371" s="3"/>
      <c r="R371" s="3"/>
      <c r="S371" s="3"/>
      <c r="T371" s="3"/>
      <c r="U371" s="3"/>
      <c r="AA371" s="1"/>
    </row>
    <row r="372" spans="1:27" ht="15.75" customHeight="1" x14ac:dyDescent="0.2">
      <c r="A372" s="1" t="s">
        <v>1191</v>
      </c>
      <c r="B372" s="1"/>
      <c r="C372" s="1"/>
      <c r="D372" s="1"/>
      <c r="E372" s="1"/>
      <c r="F372" s="1"/>
      <c r="G372" s="2"/>
      <c r="H372" s="1" t="s">
        <v>31</v>
      </c>
      <c r="I372" s="1">
        <v>27</v>
      </c>
      <c r="J372" s="1" t="b">
        <v>0</v>
      </c>
      <c r="K372" s="3"/>
      <c r="L372" s="3"/>
      <c r="M372" s="3"/>
      <c r="N372" s="3"/>
      <c r="O372" s="3"/>
      <c r="P372" s="3"/>
      <c r="Q372" s="3"/>
      <c r="R372" s="3"/>
      <c r="S372" s="3"/>
      <c r="T372" s="3"/>
      <c r="U372" s="3"/>
      <c r="AA372" s="1"/>
    </row>
    <row r="373" spans="1:27" ht="15.75" customHeight="1" x14ac:dyDescent="0.2">
      <c r="A373" s="1" t="s">
        <v>1192</v>
      </c>
      <c r="B373" s="1"/>
      <c r="C373" s="1"/>
      <c r="D373" s="1"/>
      <c r="E373" s="1"/>
      <c r="F373" s="1"/>
      <c r="G373" s="2"/>
      <c r="H373" s="1" t="s">
        <v>31</v>
      </c>
      <c r="I373" s="1">
        <v>150</v>
      </c>
      <c r="J373" s="1" t="b">
        <v>0</v>
      </c>
      <c r="K373" s="3"/>
      <c r="L373" s="3"/>
      <c r="M373" s="3"/>
      <c r="N373" s="3"/>
      <c r="O373" s="3"/>
      <c r="P373" s="3"/>
      <c r="Q373" s="3"/>
      <c r="R373" s="3"/>
      <c r="S373" s="3"/>
      <c r="T373" s="3"/>
      <c r="U373" s="3"/>
      <c r="AA373" s="1"/>
    </row>
    <row r="374" spans="1:27" ht="15.75" customHeight="1" x14ac:dyDescent="0.2">
      <c r="A374" s="1" t="s">
        <v>1193</v>
      </c>
      <c r="B374" s="1"/>
      <c r="C374" s="1"/>
      <c r="D374" s="1"/>
      <c r="E374" s="1"/>
      <c r="F374" s="1"/>
      <c r="G374" s="2"/>
      <c r="H374" s="1" t="s">
        <v>31</v>
      </c>
      <c r="I374" s="1">
        <v>6</v>
      </c>
      <c r="J374" s="1" t="b">
        <v>0</v>
      </c>
      <c r="K374" s="3"/>
      <c r="L374" s="3"/>
      <c r="M374" s="3"/>
      <c r="N374" s="3"/>
      <c r="O374" s="3"/>
      <c r="P374" s="3"/>
      <c r="Q374" s="3"/>
      <c r="R374" s="3"/>
      <c r="S374" s="3"/>
      <c r="T374" s="3"/>
      <c r="U374" s="3"/>
      <c r="AA374" s="1"/>
    </row>
    <row r="375" spans="1:27" ht="15.75" customHeight="1" x14ac:dyDescent="0.2">
      <c r="A375" s="1" t="s">
        <v>1194</v>
      </c>
      <c r="B375" s="1"/>
      <c r="C375" s="1"/>
      <c r="D375" s="1"/>
      <c r="E375" s="1"/>
      <c r="F375" s="1"/>
      <c r="G375" s="2"/>
      <c r="H375" s="1" t="s">
        <v>31</v>
      </c>
      <c r="I375" s="1">
        <v>132</v>
      </c>
      <c r="J375" s="1" t="b">
        <v>0</v>
      </c>
      <c r="K375" s="3"/>
      <c r="L375" s="3"/>
      <c r="M375" s="3"/>
      <c r="N375" s="3"/>
      <c r="O375" s="3"/>
      <c r="P375" s="3"/>
      <c r="Q375" s="3"/>
      <c r="R375" s="3"/>
      <c r="S375" s="3"/>
      <c r="T375" s="3"/>
      <c r="U375" s="3"/>
      <c r="AA375" s="1"/>
    </row>
    <row r="376" spans="1:27" ht="15.75" customHeight="1" x14ac:dyDescent="0.2">
      <c r="A376" s="1" t="s">
        <v>1195</v>
      </c>
      <c r="B376" s="1"/>
      <c r="C376" s="1"/>
      <c r="D376" s="1"/>
      <c r="E376" s="1"/>
      <c r="F376" s="1"/>
      <c r="G376" s="2"/>
      <c r="H376" s="1" t="s">
        <v>31</v>
      </c>
      <c r="I376" s="1">
        <v>20</v>
      </c>
      <c r="J376" s="1" t="b">
        <v>0</v>
      </c>
      <c r="K376" s="3"/>
      <c r="L376" s="3"/>
      <c r="M376" s="3"/>
      <c r="N376" s="3"/>
      <c r="O376" s="3"/>
      <c r="P376" s="3"/>
      <c r="Q376" s="3"/>
      <c r="R376" s="3"/>
      <c r="S376" s="3"/>
      <c r="T376" s="3"/>
      <c r="U376" s="3"/>
      <c r="AA376" s="1"/>
    </row>
    <row r="377" spans="1:27" ht="15.75" customHeight="1" x14ac:dyDescent="0.2">
      <c r="A377" s="1" t="s">
        <v>1196</v>
      </c>
      <c r="B377" s="1"/>
      <c r="C377" s="1"/>
      <c r="D377" s="1"/>
      <c r="E377" s="1"/>
      <c r="F377" s="1"/>
      <c r="G377" s="2"/>
      <c r="H377" s="1" t="s">
        <v>725</v>
      </c>
      <c r="I377" s="1">
        <v>150</v>
      </c>
      <c r="J377" s="1" t="b">
        <v>0</v>
      </c>
      <c r="K377" s="3"/>
      <c r="L377" s="3"/>
      <c r="M377" s="3"/>
      <c r="N377" s="3"/>
      <c r="O377" s="3"/>
      <c r="P377" s="3"/>
      <c r="Q377" s="3"/>
      <c r="R377" s="3"/>
      <c r="S377" s="3"/>
      <c r="T377" s="3"/>
      <c r="U377" s="3"/>
      <c r="AA377" s="1"/>
    </row>
    <row r="378" spans="1:27" ht="15.75" customHeight="1" x14ac:dyDescent="0.2">
      <c r="A378" s="1" t="s">
        <v>1197</v>
      </c>
      <c r="B378" s="1"/>
      <c r="C378" s="1"/>
      <c r="D378" s="1"/>
      <c r="E378" s="1"/>
      <c r="F378" s="1"/>
      <c r="G378" s="2"/>
      <c r="H378" s="1" t="s">
        <v>31</v>
      </c>
      <c r="I378" s="1">
        <v>38</v>
      </c>
      <c r="J378" s="1" t="b">
        <v>0</v>
      </c>
      <c r="K378" s="3"/>
      <c r="L378" s="3"/>
      <c r="M378" s="3"/>
      <c r="N378" s="3"/>
      <c r="O378" s="3"/>
      <c r="P378" s="3"/>
      <c r="Q378" s="3"/>
      <c r="R378" s="3"/>
      <c r="S378" s="3"/>
      <c r="T378" s="3"/>
      <c r="U378" s="3"/>
      <c r="AA378" s="1"/>
    </row>
    <row r="379" spans="1:27" ht="15.75" customHeight="1" x14ac:dyDescent="0.2">
      <c r="A379" s="1" t="s">
        <v>1198</v>
      </c>
      <c r="B379" s="1"/>
      <c r="C379" s="1"/>
      <c r="D379" s="1"/>
      <c r="E379" s="1"/>
      <c r="F379" s="1"/>
      <c r="G379" s="2"/>
      <c r="H379" s="1" t="s">
        <v>31</v>
      </c>
      <c r="I379" s="1">
        <v>49</v>
      </c>
      <c r="J379" s="1" t="b">
        <v>0</v>
      </c>
      <c r="K379" s="3"/>
      <c r="L379" s="3"/>
      <c r="M379" s="3"/>
      <c r="N379" s="3"/>
      <c r="O379" s="3"/>
      <c r="P379" s="3"/>
      <c r="Q379" s="3"/>
      <c r="R379" s="3"/>
      <c r="S379" s="3"/>
      <c r="T379" s="3"/>
      <c r="U379" s="3"/>
      <c r="AA379" s="1"/>
    </row>
    <row r="380" spans="1:27" ht="15.75" customHeight="1" x14ac:dyDescent="0.2">
      <c r="A380" s="1" t="s">
        <v>1199</v>
      </c>
      <c r="B380" s="1"/>
      <c r="C380" s="1"/>
      <c r="D380" s="1"/>
      <c r="E380" s="1"/>
      <c r="F380" s="1"/>
      <c r="G380" s="2"/>
      <c r="H380" s="1" t="s">
        <v>31</v>
      </c>
      <c r="I380" s="1">
        <v>20</v>
      </c>
      <c r="J380" s="1" t="b">
        <v>0</v>
      </c>
      <c r="K380" s="3"/>
      <c r="L380" s="3"/>
      <c r="M380" s="3"/>
      <c r="N380" s="3"/>
      <c r="O380" s="3"/>
      <c r="P380" s="3"/>
      <c r="Q380" s="3"/>
      <c r="R380" s="3"/>
      <c r="S380" s="3"/>
      <c r="T380" s="3"/>
      <c r="U380" s="3"/>
      <c r="AA380" s="1"/>
    </row>
    <row r="381" spans="1:27" ht="15.75" customHeight="1" x14ac:dyDescent="0.2">
      <c r="A381" s="1" t="s">
        <v>1200</v>
      </c>
      <c r="B381" s="1"/>
      <c r="C381" s="1"/>
      <c r="D381" s="1"/>
      <c r="E381" s="1"/>
      <c r="F381" s="1"/>
      <c r="G381" s="2"/>
      <c r="H381" s="1" t="s">
        <v>31</v>
      </c>
      <c r="I381" s="1">
        <v>173</v>
      </c>
      <c r="J381" s="1" t="b">
        <v>0</v>
      </c>
      <c r="K381" s="3"/>
      <c r="L381" s="3"/>
      <c r="M381" s="3"/>
      <c r="N381" s="3"/>
      <c r="O381" s="3"/>
      <c r="P381" s="3"/>
      <c r="Q381" s="3"/>
      <c r="R381" s="3"/>
      <c r="S381" s="3"/>
      <c r="T381" s="3"/>
      <c r="U381" s="3"/>
      <c r="AA381" s="1"/>
    </row>
    <row r="382" spans="1:27" ht="15.75" customHeight="1" x14ac:dyDescent="0.2">
      <c r="A382" s="1" t="s">
        <v>1201</v>
      </c>
      <c r="B382" s="1"/>
      <c r="C382" s="1"/>
      <c r="D382" s="1"/>
      <c r="E382" s="1"/>
      <c r="F382" s="1"/>
      <c r="G382" s="2"/>
      <c r="H382" s="1" t="s">
        <v>98</v>
      </c>
      <c r="I382" s="1">
        <v>1</v>
      </c>
      <c r="J382" s="1" t="b">
        <v>0</v>
      </c>
      <c r="K382" s="3"/>
      <c r="L382" s="3"/>
      <c r="M382" s="3"/>
      <c r="N382" s="3"/>
      <c r="O382" s="3"/>
      <c r="P382" s="3"/>
      <c r="Q382" s="3"/>
      <c r="R382" s="3"/>
      <c r="S382" s="3"/>
      <c r="T382" s="3"/>
      <c r="U382" s="3"/>
      <c r="AA382" s="1"/>
    </row>
    <row r="383" spans="1:27" ht="15.75" customHeight="1" x14ac:dyDescent="0.2">
      <c r="A383" s="1" t="s">
        <v>1202</v>
      </c>
      <c r="B383" s="1"/>
      <c r="C383" s="1"/>
      <c r="D383" s="1"/>
      <c r="E383" s="1"/>
      <c r="F383" s="1"/>
      <c r="G383" s="2"/>
      <c r="H383" s="1" t="s">
        <v>31</v>
      </c>
      <c r="I383" s="1">
        <v>3</v>
      </c>
      <c r="J383" s="1" t="b">
        <v>0</v>
      </c>
      <c r="K383" s="3"/>
      <c r="L383" s="3"/>
      <c r="M383" s="3"/>
      <c r="N383" s="3"/>
      <c r="O383" s="3"/>
      <c r="P383" s="3"/>
      <c r="Q383" s="3"/>
      <c r="R383" s="3"/>
      <c r="S383" s="3"/>
      <c r="T383" s="3"/>
      <c r="U383" s="3"/>
      <c r="AA383" s="1"/>
    </row>
    <row r="384" spans="1:27" ht="15.75" customHeight="1" x14ac:dyDescent="0.2">
      <c r="A384" s="1" t="s">
        <v>1203</v>
      </c>
      <c r="B384" s="1"/>
      <c r="C384" s="1"/>
      <c r="D384" s="1"/>
      <c r="E384" s="1"/>
      <c r="F384" s="1"/>
      <c r="G384" s="2"/>
      <c r="H384" s="1" t="s">
        <v>128</v>
      </c>
      <c r="I384" s="1">
        <v>45</v>
      </c>
      <c r="J384" s="1" t="b">
        <v>0</v>
      </c>
      <c r="K384" s="3"/>
      <c r="L384" s="3"/>
      <c r="M384" s="3"/>
      <c r="N384" s="3"/>
      <c r="O384" s="3"/>
      <c r="P384" s="3"/>
      <c r="Q384" s="3"/>
      <c r="R384" s="3"/>
      <c r="S384" s="3"/>
      <c r="T384" s="3"/>
      <c r="U384" s="3"/>
      <c r="AA384" s="1"/>
    </row>
    <row r="385" spans="1:27" ht="15.75" customHeight="1" x14ac:dyDescent="0.2">
      <c r="A385" s="1" t="s">
        <v>1204</v>
      </c>
      <c r="B385" s="1"/>
      <c r="C385" s="1"/>
      <c r="D385" s="1"/>
      <c r="E385" s="1"/>
      <c r="F385" s="1"/>
      <c r="G385" s="2"/>
      <c r="H385" s="1" t="s">
        <v>336</v>
      </c>
      <c r="I385" s="1">
        <v>13</v>
      </c>
      <c r="J385" s="1" t="b">
        <v>0</v>
      </c>
      <c r="K385" s="3"/>
      <c r="L385" s="3"/>
      <c r="M385" s="3"/>
      <c r="N385" s="3"/>
      <c r="O385" s="3"/>
      <c r="P385" s="3"/>
      <c r="Q385" s="3"/>
      <c r="R385" s="3"/>
      <c r="S385" s="3"/>
      <c r="T385" s="3"/>
      <c r="U385" s="3"/>
      <c r="AA385" s="1"/>
    </row>
    <row r="386" spans="1:27" ht="15.75" customHeight="1" x14ac:dyDescent="0.2">
      <c r="A386" s="1" t="s">
        <v>1205</v>
      </c>
      <c r="B386" s="1"/>
      <c r="C386" s="1"/>
      <c r="D386" s="1"/>
      <c r="E386" s="1"/>
      <c r="F386" s="1"/>
      <c r="G386" s="2"/>
      <c r="H386" s="1" t="s">
        <v>181</v>
      </c>
      <c r="I386" s="1">
        <v>18</v>
      </c>
      <c r="J386" s="1" t="b">
        <v>0</v>
      </c>
      <c r="K386" s="3"/>
      <c r="L386" s="3"/>
      <c r="M386" s="3"/>
      <c r="N386" s="3"/>
      <c r="O386" s="3"/>
      <c r="P386" s="3"/>
      <c r="Q386" s="3"/>
      <c r="R386" s="3"/>
      <c r="S386" s="3"/>
      <c r="T386" s="3"/>
      <c r="U386" s="3"/>
      <c r="AA386" s="1"/>
    </row>
    <row r="387" spans="1:27" ht="15.75" customHeight="1" x14ac:dyDescent="0.2">
      <c r="A387" s="1" t="s">
        <v>1206</v>
      </c>
      <c r="B387" s="1"/>
      <c r="C387" s="1"/>
      <c r="D387" s="1"/>
      <c r="E387" s="1"/>
      <c r="F387" s="1"/>
      <c r="G387" s="2"/>
      <c r="H387" s="1" t="s">
        <v>31</v>
      </c>
      <c r="I387" s="1">
        <v>80</v>
      </c>
      <c r="J387" s="1" t="b">
        <v>0</v>
      </c>
      <c r="K387" s="3"/>
      <c r="L387" s="3"/>
      <c r="M387" s="3"/>
      <c r="N387" s="3"/>
      <c r="O387" s="3"/>
      <c r="P387" s="3"/>
      <c r="Q387" s="3"/>
      <c r="R387" s="3"/>
      <c r="S387" s="3"/>
      <c r="T387" s="3"/>
      <c r="U387" s="3"/>
      <c r="AA387" s="1"/>
    </row>
    <row r="388" spans="1:27" ht="15.75" customHeight="1" x14ac:dyDescent="0.2">
      <c r="A388" s="1" t="s">
        <v>1207</v>
      </c>
      <c r="B388" s="1"/>
      <c r="C388" s="1"/>
      <c r="D388" s="1"/>
      <c r="E388" s="1"/>
      <c r="F388" s="1"/>
      <c r="G388" s="2"/>
      <c r="H388" s="1" t="s">
        <v>31</v>
      </c>
      <c r="I388" s="1">
        <v>33</v>
      </c>
      <c r="J388" s="1" t="b">
        <v>0</v>
      </c>
      <c r="K388" s="3"/>
      <c r="L388" s="3"/>
      <c r="M388" s="3"/>
      <c r="N388" s="3"/>
      <c r="O388" s="3"/>
      <c r="P388" s="3"/>
      <c r="Q388" s="3"/>
      <c r="R388" s="3"/>
      <c r="S388" s="3"/>
      <c r="T388" s="3"/>
      <c r="U388" s="3"/>
      <c r="AA388" s="1"/>
    </row>
    <row r="389" spans="1:27" ht="15.75" customHeight="1" x14ac:dyDescent="0.2">
      <c r="A389" s="1" t="s">
        <v>1208</v>
      </c>
      <c r="B389" s="1"/>
      <c r="C389" s="1"/>
      <c r="D389" s="1"/>
      <c r="E389" s="1"/>
      <c r="F389" s="1"/>
      <c r="G389" s="2"/>
      <c r="H389" s="1" t="s">
        <v>31</v>
      </c>
      <c r="I389" s="1">
        <v>65</v>
      </c>
      <c r="J389" s="1" t="b">
        <v>0</v>
      </c>
      <c r="K389" s="3"/>
      <c r="L389" s="3"/>
      <c r="M389" s="3"/>
      <c r="N389" s="3"/>
      <c r="O389" s="3"/>
      <c r="P389" s="3"/>
      <c r="Q389" s="3"/>
      <c r="R389" s="3"/>
      <c r="S389" s="3"/>
      <c r="T389" s="3"/>
      <c r="U389" s="3"/>
      <c r="AA389" s="1"/>
    </row>
    <row r="390" spans="1:27" ht="15.75" customHeight="1" x14ac:dyDescent="0.2">
      <c r="A390" s="1" t="s">
        <v>1209</v>
      </c>
      <c r="B390" s="1"/>
      <c r="C390" s="1"/>
      <c r="D390" s="1"/>
      <c r="E390" s="1"/>
      <c r="F390" s="1"/>
      <c r="G390" s="2"/>
      <c r="H390" s="1" t="s">
        <v>31</v>
      </c>
      <c r="I390" s="1">
        <v>61</v>
      </c>
      <c r="J390" s="1" t="b">
        <v>0</v>
      </c>
      <c r="K390" s="3"/>
      <c r="L390" s="3"/>
      <c r="M390" s="3"/>
      <c r="N390" s="3"/>
      <c r="O390" s="3"/>
      <c r="P390" s="3"/>
      <c r="Q390" s="3"/>
      <c r="R390" s="3"/>
      <c r="S390" s="3"/>
      <c r="T390" s="3"/>
      <c r="U390" s="3"/>
      <c r="AA390" s="1"/>
    </row>
    <row r="391" spans="1:27" ht="15.75" customHeight="1" x14ac:dyDescent="0.2">
      <c r="A391" s="1" t="s">
        <v>1210</v>
      </c>
      <c r="B391" s="1"/>
      <c r="C391" s="1"/>
      <c r="D391" s="1"/>
      <c r="E391" s="1"/>
      <c r="F391" s="1"/>
      <c r="G391" s="2"/>
      <c r="H391" s="1" t="s">
        <v>181</v>
      </c>
      <c r="I391" s="1">
        <v>7</v>
      </c>
      <c r="J391" s="1" t="b">
        <v>1</v>
      </c>
      <c r="K391" s="3"/>
      <c r="L391" s="3"/>
      <c r="M391" s="3"/>
      <c r="N391" s="3"/>
      <c r="O391" s="3"/>
      <c r="P391" s="3"/>
      <c r="Q391" s="3"/>
      <c r="R391" s="3"/>
      <c r="S391" s="3"/>
      <c r="T391" s="3"/>
      <c r="U391" s="3"/>
      <c r="AA391" s="1"/>
    </row>
    <row r="392" spans="1:27" ht="15.75" customHeight="1" x14ac:dyDescent="0.2">
      <c r="A392" s="1" t="s">
        <v>1211</v>
      </c>
      <c r="B392" s="1"/>
      <c r="C392" s="1"/>
      <c r="D392" s="1"/>
      <c r="E392" s="1"/>
      <c r="F392" s="1"/>
      <c r="G392" s="2"/>
      <c r="H392" s="1" t="s">
        <v>31</v>
      </c>
      <c r="I392" s="1">
        <v>91</v>
      </c>
      <c r="J392" s="1" t="b">
        <v>0</v>
      </c>
      <c r="K392" s="3"/>
      <c r="L392" s="3"/>
      <c r="M392" s="3"/>
      <c r="N392" s="3"/>
      <c r="O392" s="3"/>
      <c r="P392" s="3"/>
      <c r="Q392" s="3"/>
      <c r="R392" s="3"/>
      <c r="S392" s="3"/>
      <c r="T392" s="3"/>
      <c r="U392" s="3"/>
      <c r="AA392" s="1"/>
    </row>
    <row r="393" spans="1:27" ht="15.75" customHeight="1" x14ac:dyDescent="0.2">
      <c r="A393" s="1" t="s">
        <v>1212</v>
      </c>
      <c r="B393" s="1"/>
      <c r="C393" s="1"/>
      <c r="D393" s="1"/>
      <c r="E393" s="1"/>
      <c r="F393" s="1"/>
      <c r="G393" s="2"/>
      <c r="H393" s="1" t="s">
        <v>98</v>
      </c>
      <c r="I393" s="1">
        <v>186</v>
      </c>
      <c r="J393" s="1" t="b">
        <v>0</v>
      </c>
      <c r="K393" s="3"/>
      <c r="L393" s="3"/>
      <c r="M393" s="3"/>
      <c r="N393" s="3"/>
      <c r="O393" s="3"/>
      <c r="P393" s="3"/>
      <c r="Q393" s="3"/>
      <c r="R393" s="3"/>
      <c r="S393" s="3"/>
      <c r="T393" s="3"/>
      <c r="U393" s="3"/>
      <c r="AA393" s="1"/>
    </row>
    <row r="394" spans="1:27" ht="15.75" customHeight="1" x14ac:dyDescent="0.2">
      <c r="A394" s="1" t="s">
        <v>1213</v>
      </c>
      <c r="B394" s="1"/>
      <c r="C394" s="1"/>
      <c r="D394" s="1"/>
      <c r="E394" s="1"/>
      <c r="F394" s="1"/>
      <c r="G394" s="2"/>
      <c r="H394" s="1" t="s">
        <v>31</v>
      </c>
      <c r="I394" s="1">
        <v>88</v>
      </c>
      <c r="J394" s="1" t="b">
        <v>0</v>
      </c>
      <c r="K394" s="3"/>
      <c r="L394" s="3"/>
      <c r="M394" s="3"/>
      <c r="N394" s="3"/>
      <c r="O394" s="3"/>
      <c r="P394" s="3"/>
      <c r="Q394" s="3"/>
      <c r="R394" s="3"/>
      <c r="S394" s="3"/>
      <c r="T394" s="3"/>
      <c r="U394" s="3"/>
      <c r="AA394" s="1"/>
    </row>
    <row r="395" spans="1:27" ht="15.75" customHeight="1" x14ac:dyDescent="0.2">
      <c r="A395" s="1" t="s">
        <v>1214</v>
      </c>
      <c r="B395" s="1"/>
      <c r="C395" s="1"/>
      <c r="D395" s="1"/>
      <c r="E395" s="1"/>
      <c r="F395" s="1"/>
      <c r="G395" s="2"/>
      <c r="H395" s="1" t="s">
        <v>410</v>
      </c>
      <c r="I395" s="1">
        <v>20</v>
      </c>
      <c r="J395" s="1" t="b">
        <v>0</v>
      </c>
      <c r="K395" s="3"/>
      <c r="L395" s="3"/>
      <c r="M395" s="3"/>
      <c r="N395" s="3"/>
      <c r="O395" s="3"/>
      <c r="P395" s="3"/>
      <c r="Q395" s="3"/>
      <c r="R395" s="3"/>
      <c r="S395" s="3"/>
      <c r="T395" s="3"/>
      <c r="U395" s="3"/>
      <c r="AA395" s="1"/>
    </row>
    <row r="396" spans="1:27" ht="15.75" customHeight="1" x14ac:dyDescent="0.2">
      <c r="A396" s="1" t="s">
        <v>1215</v>
      </c>
      <c r="B396" s="1"/>
      <c r="C396" s="1"/>
      <c r="D396" s="1"/>
      <c r="E396" s="1"/>
      <c r="F396" s="1"/>
      <c r="G396" s="2"/>
      <c r="H396" s="1" t="s">
        <v>31</v>
      </c>
      <c r="I396" s="1">
        <v>12</v>
      </c>
      <c r="J396" s="1" t="b">
        <v>0</v>
      </c>
      <c r="K396" s="3"/>
      <c r="L396" s="3"/>
      <c r="M396" s="3"/>
      <c r="N396" s="3"/>
      <c r="O396" s="3"/>
      <c r="P396" s="3"/>
      <c r="Q396" s="3"/>
      <c r="R396" s="3"/>
      <c r="S396" s="3"/>
      <c r="T396" s="3"/>
      <c r="U396" s="3"/>
      <c r="AA396" s="1"/>
    </row>
    <row r="397" spans="1:27" ht="15.75" customHeight="1" x14ac:dyDescent="0.2">
      <c r="A397" s="1" t="s">
        <v>1216</v>
      </c>
      <c r="B397" s="1"/>
      <c r="C397" s="1"/>
      <c r="D397" s="1"/>
      <c r="E397" s="1"/>
      <c r="F397" s="1"/>
      <c r="G397" s="2"/>
      <c r="H397" s="1" t="s">
        <v>280</v>
      </c>
      <c r="I397" s="1">
        <v>17</v>
      </c>
      <c r="J397" s="1" t="b">
        <v>0</v>
      </c>
      <c r="K397" s="3"/>
      <c r="L397" s="3"/>
      <c r="M397" s="3"/>
      <c r="N397" s="3"/>
      <c r="O397" s="3"/>
      <c r="P397" s="3"/>
      <c r="Q397" s="3"/>
      <c r="R397" s="3"/>
      <c r="S397" s="3"/>
      <c r="T397" s="3"/>
      <c r="U397" s="3"/>
      <c r="AA397" s="1"/>
    </row>
    <row r="398" spans="1:27" ht="15.75" customHeight="1" x14ac:dyDescent="0.2">
      <c r="A398" s="1" t="s">
        <v>1217</v>
      </c>
      <c r="B398" s="1"/>
      <c r="C398" s="1"/>
      <c r="D398" s="1"/>
      <c r="E398" s="1"/>
      <c r="F398" s="1"/>
      <c r="G398" s="2"/>
      <c r="H398" s="1" t="s">
        <v>154</v>
      </c>
      <c r="I398" s="1">
        <v>107</v>
      </c>
      <c r="J398" s="1" t="b">
        <v>0</v>
      </c>
      <c r="K398" s="3"/>
      <c r="L398" s="3"/>
      <c r="M398" s="3"/>
      <c r="N398" s="3"/>
      <c r="O398" s="3"/>
      <c r="P398" s="3"/>
      <c r="Q398" s="3"/>
      <c r="R398" s="3"/>
      <c r="S398" s="3"/>
      <c r="T398" s="3"/>
      <c r="U398" s="3"/>
      <c r="AA398" s="1"/>
    </row>
    <row r="399" spans="1:27" ht="15.75" customHeight="1" x14ac:dyDescent="0.2">
      <c r="A399" s="1" t="s">
        <v>1218</v>
      </c>
      <c r="B399" s="1"/>
      <c r="C399" s="1"/>
      <c r="D399" s="1"/>
      <c r="E399" s="1"/>
      <c r="F399" s="1"/>
      <c r="G399" s="2"/>
      <c r="H399" s="1" t="s">
        <v>80</v>
      </c>
      <c r="I399" s="1">
        <v>36</v>
      </c>
      <c r="J399" s="1" t="b">
        <v>0</v>
      </c>
      <c r="K399" s="3"/>
      <c r="L399" s="3"/>
      <c r="M399" s="3"/>
      <c r="N399" s="3"/>
      <c r="O399" s="3"/>
      <c r="P399" s="3"/>
      <c r="Q399" s="3"/>
      <c r="R399" s="3"/>
      <c r="S399" s="3"/>
      <c r="T399" s="3"/>
      <c r="U399" s="3"/>
      <c r="AA399" s="1"/>
    </row>
    <row r="400" spans="1:27" ht="15.75" customHeight="1" x14ac:dyDescent="0.2">
      <c r="A400" s="1" t="s">
        <v>1219</v>
      </c>
      <c r="B400" s="1"/>
      <c r="C400" s="1"/>
      <c r="D400" s="1"/>
      <c r="E400" s="1"/>
      <c r="F400" s="1"/>
      <c r="G400" s="2"/>
      <c r="H400" s="1" t="s">
        <v>31</v>
      </c>
      <c r="I400" s="1">
        <v>26</v>
      </c>
      <c r="J400" s="1" t="b">
        <v>0</v>
      </c>
      <c r="K400" s="3"/>
      <c r="L400" s="3"/>
      <c r="M400" s="3"/>
      <c r="N400" s="3"/>
      <c r="O400" s="3"/>
      <c r="P400" s="3"/>
      <c r="Q400" s="3"/>
      <c r="R400" s="3"/>
      <c r="S400" s="3"/>
      <c r="T400" s="3"/>
      <c r="U400" s="3"/>
      <c r="AA400" s="1"/>
    </row>
    <row r="401" spans="1:27" ht="15.75" customHeight="1" x14ac:dyDescent="0.2">
      <c r="A401" s="1" t="s">
        <v>1220</v>
      </c>
      <c r="B401" s="1"/>
      <c r="C401" s="1"/>
      <c r="D401" s="1"/>
      <c r="E401" s="1"/>
      <c r="F401" s="1"/>
      <c r="G401" s="2"/>
      <c r="H401" s="1" t="s">
        <v>181</v>
      </c>
      <c r="I401" s="1">
        <v>62</v>
      </c>
      <c r="J401" s="1" t="b">
        <v>0</v>
      </c>
      <c r="K401" s="3"/>
      <c r="L401" s="3"/>
      <c r="M401" s="3"/>
      <c r="N401" s="3"/>
      <c r="O401" s="3"/>
      <c r="P401" s="3"/>
      <c r="Q401" s="3"/>
      <c r="R401" s="3"/>
      <c r="S401" s="3"/>
      <c r="T401" s="3"/>
      <c r="U401" s="3"/>
      <c r="AA401" s="1"/>
    </row>
    <row r="402" spans="1:27" ht="15.75" customHeight="1" x14ac:dyDescent="0.2">
      <c r="A402" s="1" t="s">
        <v>1221</v>
      </c>
      <c r="B402" s="1"/>
      <c r="C402" s="1"/>
      <c r="D402" s="1"/>
      <c r="E402" s="1"/>
      <c r="F402" s="1"/>
      <c r="G402" s="2"/>
      <c r="H402" s="1" t="s">
        <v>31</v>
      </c>
      <c r="I402" s="1">
        <v>7</v>
      </c>
      <c r="J402" s="1" t="b">
        <v>0</v>
      </c>
      <c r="K402" s="3"/>
      <c r="L402" s="3"/>
      <c r="M402" s="3"/>
      <c r="N402" s="3"/>
      <c r="O402" s="3"/>
      <c r="P402" s="3"/>
      <c r="Q402" s="3"/>
      <c r="R402" s="3"/>
      <c r="S402" s="3"/>
      <c r="T402" s="3"/>
      <c r="U402" s="3"/>
      <c r="AA402" s="1"/>
    </row>
    <row r="403" spans="1:27" ht="15.75" customHeight="1" x14ac:dyDescent="0.2">
      <c r="A403" s="1" t="s">
        <v>1222</v>
      </c>
      <c r="B403" s="1"/>
      <c r="C403" s="1"/>
      <c r="D403" s="1"/>
      <c r="E403" s="1"/>
      <c r="F403" s="1"/>
      <c r="G403" s="2"/>
      <c r="H403" s="1" t="s">
        <v>134</v>
      </c>
      <c r="I403" s="1">
        <v>1</v>
      </c>
      <c r="J403" s="1" t="b">
        <v>0</v>
      </c>
      <c r="K403" s="3"/>
      <c r="L403" s="3"/>
      <c r="M403" s="3"/>
      <c r="N403" s="3"/>
      <c r="O403" s="3"/>
      <c r="P403" s="3"/>
      <c r="Q403" s="3"/>
      <c r="R403" s="3"/>
      <c r="S403" s="3"/>
      <c r="T403" s="3"/>
      <c r="U403" s="3"/>
      <c r="AA403" s="1"/>
    </row>
    <row r="404" spans="1:27" ht="15.75" customHeight="1" x14ac:dyDescent="0.2">
      <c r="A404" s="1" t="s">
        <v>1223</v>
      </c>
      <c r="B404" s="1"/>
      <c r="C404" s="1"/>
      <c r="D404" s="1"/>
      <c r="E404" s="1"/>
      <c r="F404" s="1"/>
      <c r="G404" s="2"/>
      <c r="H404" s="1" t="s">
        <v>1224</v>
      </c>
      <c r="I404" s="1">
        <v>60</v>
      </c>
      <c r="J404" s="1" t="b">
        <v>0</v>
      </c>
      <c r="K404" s="3"/>
      <c r="L404" s="3"/>
      <c r="M404" s="3"/>
      <c r="N404" s="3"/>
      <c r="O404" s="3"/>
      <c r="P404" s="3"/>
      <c r="Q404" s="3"/>
      <c r="R404" s="3"/>
      <c r="S404" s="3"/>
      <c r="T404" s="3"/>
      <c r="U404" s="3"/>
      <c r="AA404" s="1"/>
    </row>
    <row r="405" spans="1:27" ht="15.75" customHeight="1" x14ac:dyDescent="0.2">
      <c r="A405" s="1" t="s">
        <v>1225</v>
      </c>
      <c r="B405" s="1"/>
      <c r="C405" s="1"/>
      <c r="D405" s="1"/>
      <c r="E405" s="1"/>
      <c r="F405" s="1"/>
      <c r="G405" s="2"/>
      <c r="H405" s="1" t="s">
        <v>31</v>
      </c>
      <c r="I405" s="1">
        <v>95</v>
      </c>
      <c r="J405" s="1" t="b">
        <v>0</v>
      </c>
      <c r="K405" s="3"/>
      <c r="L405" s="3"/>
      <c r="M405" s="3"/>
      <c r="N405" s="3"/>
      <c r="O405" s="3"/>
      <c r="P405" s="3"/>
      <c r="Q405" s="3"/>
      <c r="R405" s="3"/>
      <c r="S405" s="3"/>
      <c r="T405" s="3"/>
      <c r="U405" s="3"/>
      <c r="AA405" s="1"/>
    </row>
    <row r="406" spans="1:27" ht="15.75" customHeight="1" x14ac:dyDescent="0.2">
      <c r="A406" s="1" t="s">
        <v>1226</v>
      </c>
      <c r="B406" s="1"/>
      <c r="C406" s="1"/>
      <c r="D406" s="1"/>
      <c r="E406" s="1"/>
      <c r="F406" s="1"/>
      <c r="G406" s="2"/>
      <c r="H406" s="1" t="s">
        <v>31</v>
      </c>
      <c r="I406" s="1">
        <v>21</v>
      </c>
      <c r="J406" s="1" t="b">
        <v>0</v>
      </c>
      <c r="K406" s="3"/>
      <c r="L406" s="3"/>
      <c r="M406" s="3"/>
      <c r="N406" s="3"/>
      <c r="O406" s="3"/>
      <c r="P406" s="3"/>
      <c r="Q406" s="3"/>
      <c r="R406" s="3"/>
      <c r="S406" s="3"/>
      <c r="T406" s="3"/>
      <c r="U406" s="3"/>
      <c r="AA406" s="1"/>
    </row>
    <row r="407" spans="1:27" ht="15.75" customHeight="1" x14ac:dyDescent="0.2">
      <c r="A407" s="1" t="s">
        <v>1227</v>
      </c>
      <c r="B407" s="1"/>
      <c r="C407" s="1"/>
      <c r="D407" s="1"/>
      <c r="E407" s="1"/>
      <c r="F407" s="1"/>
      <c r="G407" s="2"/>
      <c r="H407" s="1" t="s">
        <v>1228</v>
      </c>
      <c r="I407" s="1">
        <v>76</v>
      </c>
      <c r="J407" s="1" t="b">
        <v>0</v>
      </c>
      <c r="K407" s="3"/>
      <c r="L407" s="3"/>
      <c r="M407" s="3"/>
      <c r="N407" s="3"/>
      <c r="O407" s="3"/>
      <c r="P407" s="3"/>
      <c r="Q407" s="3"/>
      <c r="R407" s="3"/>
      <c r="S407" s="3"/>
      <c r="T407" s="3"/>
      <c r="U407" s="3"/>
      <c r="AA407" s="1"/>
    </row>
    <row r="408" spans="1:27" ht="15.75" customHeight="1" x14ac:dyDescent="0.2">
      <c r="A408" s="1" t="s">
        <v>1229</v>
      </c>
      <c r="B408" s="1"/>
      <c r="C408" s="1"/>
      <c r="D408" s="1"/>
      <c r="E408" s="1"/>
      <c r="F408" s="1"/>
      <c r="G408" s="2"/>
      <c r="H408" s="1" t="s">
        <v>31</v>
      </c>
      <c r="I408" s="1">
        <v>61</v>
      </c>
      <c r="J408" s="1" t="b">
        <v>0</v>
      </c>
      <c r="K408" s="3"/>
      <c r="L408" s="3"/>
      <c r="M408" s="3"/>
      <c r="N408" s="3"/>
      <c r="O408" s="3"/>
      <c r="P408" s="3"/>
      <c r="Q408" s="3"/>
      <c r="R408" s="3"/>
      <c r="S408" s="3"/>
      <c r="T408" s="3"/>
      <c r="U408" s="3"/>
      <c r="AA408" s="1"/>
    </row>
    <row r="409" spans="1:27" ht="15.75" customHeight="1" x14ac:dyDescent="0.2">
      <c r="A409" s="1" t="s">
        <v>1230</v>
      </c>
      <c r="B409" s="1"/>
      <c r="C409" s="1"/>
      <c r="D409" s="1"/>
      <c r="E409" s="1"/>
      <c r="F409" s="1"/>
      <c r="G409" s="2"/>
      <c r="H409" s="1" t="s">
        <v>31</v>
      </c>
      <c r="I409" s="1">
        <v>28</v>
      </c>
      <c r="J409" s="1" t="b">
        <v>0</v>
      </c>
      <c r="K409" s="3"/>
      <c r="L409" s="3"/>
      <c r="M409" s="3"/>
      <c r="N409" s="3"/>
      <c r="O409" s="3"/>
      <c r="P409" s="3"/>
      <c r="Q409" s="3"/>
      <c r="R409" s="3"/>
      <c r="S409" s="3"/>
      <c r="T409" s="3"/>
      <c r="U409" s="3"/>
      <c r="AA409" s="1"/>
    </row>
    <row r="410" spans="1:27" ht="15.75" customHeight="1" x14ac:dyDescent="0.2">
      <c r="A410" s="1" t="s">
        <v>1231</v>
      </c>
      <c r="B410" s="1"/>
      <c r="C410" s="1"/>
      <c r="D410" s="1"/>
      <c r="E410" s="1"/>
      <c r="F410" s="1"/>
      <c r="G410" s="2"/>
      <c r="H410" s="1" t="s">
        <v>790</v>
      </c>
      <c r="I410" s="1">
        <v>3</v>
      </c>
      <c r="J410" s="1" t="b">
        <v>0</v>
      </c>
      <c r="K410" s="3"/>
      <c r="L410" s="3"/>
      <c r="M410" s="3"/>
      <c r="N410" s="3"/>
      <c r="O410" s="3"/>
      <c r="P410" s="3"/>
      <c r="Q410" s="3"/>
      <c r="R410" s="3"/>
      <c r="S410" s="3"/>
      <c r="T410" s="3"/>
      <c r="U410" s="3"/>
      <c r="AA410" s="1"/>
    </row>
    <row r="411" spans="1:27" ht="15.75" customHeight="1" x14ac:dyDescent="0.2">
      <c r="A411" s="1" t="s">
        <v>1232</v>
      </c>
      <c r="C411" s="1"/>
      <c r="D411" s="1"/>
      <c r="E411" s="1"/>
      <c r="F411" s="1"/>
      <c r="G411" s="2"/>
      <c r="H411" s="1" t="s">
        <v>31</v>
      </c>
      <c r="I411" s="1">
        <v>78</v>
      </c>
      <c r="J411" s="1" t="b">
        <v>0</v>
      </c>
      <c r="K411" s="3"/>
      <c r="L411" s="3"/>
      <c r="M411" s="3"/>
      <c r="N411" s="3"/>
      <c r="O411" s="3"/>
      <c r="P411" s="3"/>
      <c r="Q411" s="3"/>
      <c r="R411" s="3"/>
      <c r="S411" s="3"/>
      <c r="T411" s="3"/>
      <c r="U411" s="3"/>
      <c r="AA411" s="1"/>
    </row>
    <row r="412" spans="1:27" ht="15.75" customHeight="1" x14ac:dyDescent="0.2">
      <c r="A412" s="1" t="s">
        <v>1233</v>
      </c>
      <c r="B412" s="1"/>
      <c r="C412" s="1"/>
      <c r="D412" s="1"/>
      <c r="E412" s="1"/>
      <c r="F412" s="1"/>
      <c r="G412" s="2"/>
      <c r="H412" s="1" t="s">
        <v>518</v>
      </c>
      <c r="I412" s="1">
        <v>116</v>
      </c>
      <c r="J412" s="1" t="b">
        <v>0</v>
      </c>
      <c r="K412" s="3"/>
      <c r="L412" s="3"/>
      <c r="M412" s="3"/>
      <c r="N412" s="3"/>
      <c r="O412" s="3"/>
      <c r="P412" s="3"/>
      <c r="Q412" s="3"/>
      <c r="R412" s="3"/>
      <c r="S412" s="3"/>
      <c r="T412" s="3"/>
      <c r="U412" s="3"/>
      <c r="AA412" s="1"/>
    </row>
    <row r="413" spans="1:27" ht="15.75" customHeight="1" x14ac:dyDescent="0.2">
      <c r="A413" s="1" t="s">
        <v>1234</v>
      </c>
      <c r="B413" s="1"/>
      <c r="C413" s="1"/>
      <c r="D413" s="1"/>
      <c r="E413" s="1"/>
      <c r="F413" s="1"/>
      <c r="G413" s="2"/>
      <c r="H413" s="1" t="s">
        <v>410</v>
      </c>
      <c r="I413" s="1">
        <v>67</v>
      </c>
      <c r="J413" s="1" t="b">
        <v>0</v>
      </c>
      <c r="K413" s="3"/>
      <c r="L413" s="3"/>
      <c r="M413" s="3"/>
      <c r="N413" s="3"/>
      <c r="O413" s="3"/>
      <c r="P413" s="3"/>
      <c r="Q413" s="3"/>
      <c r="R413" s="3"/>
      <c r="S413" s="3"/>
      <c r="T413" s="3"/>
      <c r="U413" s="3"/>
      <c r="AA413" s="1"/>
    </row>
    <row r="414" spans="1:27" ht="15.75" customHeight="1" x14ac:dyDescent="0.2">
      <c r="A414" s="1" t="s">
        <v>1235</v>
      </c>
      <c r="B414" s="1"/>
      <c r="C414" s="1"/>
      <c r="D414" s="1"/>
      <c r="E414" s="1"/>
      <c r="F414" s="1"/>
      <c r="G414" s="2"/>
      <c r="H414" s="1" t="s">
        <v>790</v>
      </c>
      <c r="I414" s="1">
        <v>48</v>
      </c>
      <c r="J414" s="1" t="b">
        <v>0</v>
      </c>
      <c r="K414" s="3"/>
      <c r="L414" s="3"/>
      <c r="M414" s="3"/>
      <c r="N414" s="3"/>
      <c r="O414" s="3"/>
      <c r="P414" s="3"/>
      <c r="Q414" s="3"/>
      <c r="R414" s="3"/>
      <c r="S414" s="3"/>
      <c r="T414" s="3"/>
      <c r="U414" s="3"/>
      <c r="AA414" s="1"/>
    </row>
    <row r="415" spans="1:27" ht="15.75" customHeight="1" x14ac:dyDescent="0.2">
      <c r="A415" s="1" t="s">
        <v>1236</v>
      </c>
      <c r="B415" s="1"/>
      <c r="C415" s="1"/>
      <c r="D415" s="1"/>
      <c r="E415" s="1"/>
      <c r="F415" s="1"/>
      <c r="G415" s="2"/>
      <c r="H415" s="1"/>
      <c r="I415" s="1"/>
      <c r="J415" s="1"/>
      <c r="K415" s="3"/>
      <c r="L415" s="3"/>
      <c r="M415" s="3"/>
      <c r="N415" s="3"/>
      <c r="O415" s="3"/>
      <c r="P415" s="3"/>
      <c r="Q415" s="3"/>
      <c r="R415" s="3"/>
      <c r="S415" s="3"/>
      <c r="T415" s="3"/>
      <c r="U415" s="3"/>
      <c r="AA415" s="1"/>
    </row>
    <row r="416" spans="1:27" ht="15.75" customHeight="1" x14ac:dyDescent="0.2">
      <c r="A416" s="1" t="s">
        <v>1237</v>
      </c>
      <c r="B416" s="1"/>
      <c r="C416" s="1"/>
      <c r="D416" s="1"/>
      <c r="E416" s="1"/>
      <c r="F416" s="1"/>
      <c r="G416" s="2"/>
      <c r="H416" s="1"/>
      <c r="I416" s="1"/>
      <c r="J416" s="1"/>
      <c r="K416" s="3"/>
      <c r="L416" s="3"/>
      <c r="M416" s="3"/>
      <c r="N416" s="3"/>
      <c r="O416" s="3"/>
      <c r="P416" s="3"/>
      <c r="Q416" s="3"/>
      <c r="R416" s="3"/>
      <c r="S416" s="3"/>
      <c r="T416" s="3"/>
      <c r="U416" s="3"/>
      <c r="AA416" s="1"/>
    </row>
    <row r="417" spans="1:27" ht="15.75" customHeight="1" x14ac:dyDescent="0.2">
      <c r="A417" s="1" t="s">
        <v>1238</v>
      </c>
      <c r="B417" s="1"/>
      <c r="C417" s="1"/>
      <c r="D417" s="1"/>
      <c r="E417" s="1"/>
      <c r="F417" s="1"/>
      <c r="G417" s="2"/>
      <c r="H417" s="1"/>
      <c r="I417" s="1"/>
      <c r="J417" s="1"/>
      <c r="K417" s="3"/>
      <c r="L417" s="3"/>
      <c r="M417" s="3"/>
      <c r="N417" s="3"/>
      <c r="O417" s="3"/>
      <c r="P417" s="3"/>
      <c r="Q417" s="3"/>
      <c r="R417" s="3"/>
      <c r="S417" s="3"/>
      <c r="T417" s="3"/>
      <c r="U417" s="3"/>
      <c r="AA417" s="1"/>
    </row>
    <row r="418" spans="1:27" ht="15.75" customHeight="1" x14ac:dyDescent="0.2">
      <c r="A418" s="1" t="s">
        <v>1239</v>
      </c>
      <c r="B418" s="1"/>
      <c r="C418" s="1"/>
      <c r="D418" s="1"/>
      <c r="E418" s="1"/>
      <c r="F418" s="1"/>
      <c r="G418" s="2"/>
      <c r="H418" s="1"/>
      <c r="I418" s="1"/>
      <c r="J418" s="1"/>
      <c r="K418" s="3"/>
      <c r="L418" s="3"/>
      <c r="M418" s="3"/>
      <c r="N418" s="3"/>
      <c r="O418" s="3"/>
      <c r="P418" s="3"/>
      <c r="Q418" s="3"/>
      <c r="R418" s="3"/>
      <c r="S418" s="3"/>
      <c r="T418" s="3"/>
      <c r="U418" s="3"/>
      <c r="AA418" s="1"/>
    </row>
    <row r="419" spans="1:27" ht="15.75" customHeight="1" x14ac:dyDescent="0.2">
      <c r="A419" s="1" t="s">
        <v>1240</v>
      </c>
      <c r="B419" s="1"/>
      <c r="C419" s="1"/>
      <c r="D419" s="1"/>
      <c r="E419" s="1"/>
      <c r="F419" s="1"/>
      <c r="G419" s="2"/>
      <c r="H419" s="1"/>
      <c r="I419" s="1"/>
      <c r="J419" s="1"/>
      <c r="K419" s="3"/>
      <c r="L419" s="3"/>
      <c r="M419" s="3"/>
      <c r="N419" s="3"/>
      <c r="O419" s="3"/>
      <c r="P419" s="3"/>
      <c r="Q419" s="3"/>
      <c r="R419" s="3"/>
      <c r="S419" s="3"/>
      <c r="T419" s="3"/>
      <c r="U419" s="3"/>
      <c r="AA419" s="1"/>
    </row>
    <row r="420" spans="1:27" ht="15.75" customHeight="1" x14ac:dyDescent="0.2">
      <c r="A420" s="1" t="s">
        <v>1241</v>
      </c>
      <c r="B420" s="1"/>
      <c r="C420" s="1"/>
      <c r="D420" s="1"/>
      <c r="E420" s="1"/>
      <c r="F420" s="1"/>
      <c r="G420" s="2"/>
      <c r="H420" s="1"/>
      <c r="I420" s="1"/>
      <c r="J420" s="1"/>
      <c r="K420" s="3"/>
      <c r="L420" s="3"/>
      <c r="M420" s="3"/>
      <c r="N420" s="3"/>
      <c r="O420" s="3"/>
      <c r="P420" s="3"/>
      <c r="Q420" s="3"/>
      <c r="R420" s="3"/>
      <c r="S420" s="3"/>
      <c r="T420" s="3"/>
      <c r="U420" s="3"/>
      <c r="AA420" s="1"/>
    </row>
    <row r="421" spans="1:27" ht="15.75" customHeight="1" x14ac:dyDescent="0.2">
      <c r="A421" s="1" t="s">
        <v>1242</v>
      </c>
      <c r="B421" s="1"/>
      <c r="C421" s="1"/>
      <c r="D421" s="1"/>
      <c r="E421" s="1"/>
      <c r="F421" s="1"/>
      <c r="G421" s="2"/>
      <c r="H421" s="1"/>
      <c r="I421" s="1"/>
      <c r="J421" s="1"/>
      <c r="K421" s="3"/>
      <c r="L421" s="3"/>
      <c r="M421" s="3"/>
      <c r="N421" s="3"/>
      <c r="O421" s="3"/>
      <c r="P421" s="3"/>
      <c r="Q421" s="3"/>
      <c r="R421" s="3"/>
      <c r="S421" s="3"/>
      <c r="T421" s="3"/>
      <c r="U421" s="3"/>
      <c r="AA421" s="1"/>
    </row>
    <row r="422" spans="1:27" ht="15.75" customHeight="1" x14ac:dyDescent="0.2">
      <c r="A422" s="1" t="s">
        <v>1243</v>
      </c>
      <c r="B422" s="1"/>
      <c r="C422" s="1"/>
      <c r="D422" s="1"/>
      <c r="E422" s="1"/>
      <c r="F422" s="1"/>
      <c r="G422" s="2"/>
      <c r="H422" s="1"/>
      <c r="I422" s="1"/>
      <c r="J422" s="1"/>
      <c r="K422" s="3"/>
      <c r="L422" s="3"/>
      <c r="M422" s="3"/>
      <c r="N422" s="3"/>
      <c r="O422" s="3"/>
      <c r="P422" s="3"/>
      <c r="Q422" s="3"/>
      <c r="R422" s="3"/>
      <c r="S422" s="3"/>
      <c r="T422" s="3"/>
      <c r="U422" s="3"/>
      <c r="AA422" s="1"/>
    </row>
    <row r="423" spans="1:27" ht="15.75" customHeight="1" x14ac:dyDescent="0.2">
      <c r="A423" s="1" t="s">
        <v>1244</v>
      </c>
      <c r="B423" s="1"/>
      <c r="C423" s="1"/>
      <c r="D423" s="1"/>
      <c r="E423" s="1"/>
      <c r="F423" s="1"/>
      <c r="G423" s="2"/>
      <c r="H423" s="1"/>
      <c r="I423" s="1"/>
      <c r="J423" s="1"/>
      <c r="K423" s="3"/>
      <c r="L423" s="3"/>
      <c r="M423" s="3"/>
      <c r="N423" s="3"/>
      <c r="O423" s="3"/>
      <c r="P423" s="3"/>
      <c r="Q423" s="3"/>
      <c r="R423" s="3"/>
      <c r="S423" s="3"/>
      <c r="T423" s="3"/>
      <c r="U423" s="3"/>
      <c r="AA423" s="1"/>
    </row>
    <row r="424" spans="1:27" ht="15.75" customHeight="1" x14ac:dyDescent="0.2">
      <c r="A424" s="1" t="s">
        <v>1245</v>
      </c>
      <c r="B424" s="1"/>
      <c r="C424" s="1"/>
      <c r="D424" s="1"/>
      <c r="E424" s="1"/>
      <c r="F424" s="1"/>
      <c r="G424" s="2"/>
      <c r="H424" s="1"/>
      <c r="I424" s="1"/>
      <c r="J424" s="1"/>
      <c r="K424" s="3"/>
      <c r="L424" s="3"/>
      <c r="M424" s="3"/>
      <c r="N424" s="3"/>
      <c r="O424" s="3"/>
      <c r="P424" s="3"/>
      <c r="Q424" s="3"/>
      <c r="R424" s="3"/>
      <c r="S424" s="3"/>
      <c r="T424" s="3"/>
      <c r="U424" s="3"/>
      <c r="AA424" s="1"/>
    </row>
    <row r="425" spans="1:27" ht="15.75" customHeight="1" x14ac:dyDescent="0.2">
      <c r="A425" s="1" t="s">
        <v>1246</v>
      </c>
      <c r="B425" s="1"/>
      <c r="C425" s="1"/>
      <c r="D425" s="1"/>
      <c r="E425" s="1"/>
      <c r="F425" s="1"/>
      <c r="G425" s="2"/>
      <c r="H425" s="1"/>
      <c r="I425" s="1"/>
      <c r="J425" s="1"/>
      <c r="K425" s="3"/>
      <c r="L425" s="3"/>
      <c r="M425" s="3"/>
      <c r="N425" s="3"/>
      <c r="O425" s="3"/>
      <c r="P425" s="3"/>
      <c r="Q425" s="3"/>
      <c r="R425" s="3"/>
      <c r="S425" s="3"/>
      <c r="T425" s="3"/>
      <c r="U425" s="3"/>
      <c r="AA425" s="1"/>
    </row>
    <row r="426" spans="1:27" ht="15.75" customHeight="1" x14ac:dyDescent="0.2">
      <c r="A426" s="1" t="s">
        <v>1247</v>
      </c>
      <c r="B426" s="1"/>
      <c r="C426" s="1"/>
      <c r="D426" s="1"/>
      <c r="E426" s="1"/>
      <c r="F426" s="1"/>
      <c r="G426" s="2"/>
      <c r="H426" s="1"/>
      <c r="I426" s="1"/>
      <c r="J426" s="1"/>
      <c r="K426" s="3"/>
      <c r="L426" s="3"/>
      <c r="M426" s="3"/>
      <c r="N426" s="3"/>
      <c r="O426" s="3"/>
      <c r="P426" s="3"/>
      <c r="Q426" s="3"/>
      <c r="R426" s="3"/>
      <c r="S426" s="3"/>
      <c r="T426" s="3"/>
      <c r="U426" s="3"/>
      <c r="AA426" s="1"/>
    </row>
    <row r="427" spans="1:27" ht="15.75" customHeight="1" x14ac:dyDescent="0.2">
      <c r="A427" s="1" t="s">
        <v>1248</v>
      </c>
      <c r="B427" s="1"/>
      <c r="C427" s="1"/>
      <c r="D427" s="1"/>
      <c r="E427" s="1"/>
      <c r="F427" s="1"/>
      <c r="G427" s="2"/>
      <c r="H427" s="1"/>
      <c r="I427" s="1"/>
      <c r="J427" s="1"/>
      <c r="K427" s="3"/>
      <c r="L427" s="3"/>
      <c r="M427" s="3"/>
      <c r="N427" s="3"/>
      <c r="O427" s="3"/>
      <c r="P427" s="3"/>
      <c r="Q427" s="3"/>
      <c r="R427" s="3"/>
      <c r="S427" s="3"/>
      <c r="T427" s="3"/>
      <c r="U427" s="3"/>
      <c r="AA427" s="1"/>
    </row>
    <row r="428" spans="1:27" ht="15.75" customHeight="1" x14ac:dyDescent="0.2">
      <c r="A428" s="1" t="s">
        <v>1249</v>
      </c>
      <c r="B428" s="1"/>
      <c r="C428" s="1"/>
      <c r="D428" s="1"/>
      <c r="E428" s="1"/>
      <c r="F428" s="1"/>
      <c r="G428" s="2"/>
      <c r="H428" s="1"/>
      <c r="I428" s="1"/>
      <c r="J428" s="1"/>
      <c r="K428" s="3"/>
      <c r="L428" s="3"/>
      <c r="M428" s="3"/>
      <c r="N428" s="3"/>
      <c r="O428" s="3"/>
      <c r="P428" s="3"/>
      <c r="Q428" s="3"/>
      <c r="R428" s="3"/>
      <c r="S428" s="3"/>
      <c r="T428" s="3"/>
      <c r="U428" s="3"/>
      <c r="AA428" s="1"/>
    </row>
    <row r="429" spans="1:27" ht="15.75" customHeight="1" x14ac:dyDescent="0.2">
      <c r="A429" s="1" t="s">
        <v>1250</v>
      </c>
      <c r="B429" s="1"/>
      <c r="C429" s="1"/>
      <c r="D429" s="1"/>
      <c r="E429" s="1"/>
      <c r="F429" s="1"/>
      <c r="G429" s="2"/>
      <c r="H429" s="1"/>
      <c r="I429" s="1"/>
      <c r="J429" s="1"/>
      <c r="K429" s="3"/>
      <c r="L429" s="3"/>
      <c r="M429" s="3"/>
      <c r="N429" s="3"/>
      <c r="O429" s="3"/>
      <c r="P429" s="3"/>
      <c r="Q429" s="3"/>
      <c r="R429" s="3"/>
      <c r="S429" s="3"/>
      <c r="T429" s="3"/>
      <c r="U429" s="3"/>
      <c r="AA429" s="1"/>
    </row>
    <row r="430" spans="1:27" ht="15.75" customHeight="1" x14ac:dyDescent="0.2">
      <c r="A430" s="1" t="s">
        <v>1251</v>
      </c>
      <c r="B430" s="1"/>
      <c r="C430" s="1"/>
      <c r="D430" s="1"/>
      <c r="E430" s="1"/>
      <c r="F430" s="1"/>
      <c r="G430" s="2"/>
      <c r="H430" s="1"/>
      <c r="I430" s="1"/>
      <c r="J430" s="1"/>
      <c r="K430" s="3"/>
      <c r="L430" s="3"/>
      <c r="M430" s="3"/>
      <c r="N430" s="3"/>
      <c r="O430" s="3"/>
      <c r="P430" s="3"/>
      <c r="Q430" s="3"/>
      <c r="R430" s="3"/>
      <c r="S430" s="3"/>
      <c r="T430" s="3"/>
      <c r="U430" s="3"/>
      <c r="AA430" s="1"/>
    </row>
    <row r="431" spans="1:27" ht="15.75" customHeight="1" x14ac:dyDescent="0.2">
      <c r="A431" s="1" t="s">
        <v>1252</v>
      </c>
      <c r="B431" s="1"/>
      <c r="C431" s="1"/>
      <c r="D431" s="1"/>
      <c r="E431" s="1"/>
      <c r="F431" s="1"/>
      <c r="G431" s="2"/>
      <c r="H431" s="1"/>
      <c r="I431" s="1"/>
      <c r="J431" s="1"/>
      <c r="K431" s="3"/>
      <c r="L431" s="3"/>
      <c r="M431" s="3"/>
      <c r="N431" s="3"/>
      <c r="O431" s="3"/>
      <c r="P431" s="3"/>
      <c r="Q431" s="3"/>
      <c r="R431" s="3"/>
      <c r="S431" s="3"/>
      <c r="T431" s="3"/>
      <c r="U431" s="3"/>
      <c r="AA431" s="1"/>
    </row>
    <row r="432" spans="1:27" ht="15.75" customHeight="1" x14ac:dyDescent="0.2">
      <c r="A432" s="1" t="s">
        <v>1253</v>
      </c>
      <c r="B432" s="1"/>
      <c r="C432" s="1"/>
      <c r="D432" s="1"/>
      <c r="E432" s="1"/>
      <c r="F432" s="1"/>
      <c r="G432" s="2"/>
      <c r="H432" s="1"/>
      <c r="I432" s="1"/>
      <c r="J432" s="1"/>
      <c r="K432" s="3"/>
      <c r="L432" s="3"/>
      <c r="M432" s="3"/>
      <c r="N432" s="3"/>
      <c r="O432" s="3"/>
      <c r="P432" s="3"/>
      <c r="Q432" s="3"/>
      <c r="R432" s="3"/>
      <c r="S432" s="3"/>
      <c r="T432" s="3"/>
      <c r="U432" s="3"/>
      <c r="AA432" s="1"/>
    </row>
    <row r="433" spans="1:27" ht="15.75" customHeight="1" x14ac:dyDescent="0.2">
      <c r="A433" s="1" t="s">
        <v>1254</v>
      </c>
      <c r="B433" s="1"/>
      <c r="C433" s="1"/>
      <c r="D433" s="1"/>
      <c r="E433" s="1"/>
      <c r="F433" s="1"/>
      <c r="G433" s="2"/>
      <c r="H433" s="1"/>
      <c r="I433" s="1"/>
      <c r="J433" s="1"/>
      <c r="K433" s="3"/>
      <c r="L433" s="3"/>
      <c r="M433" s="3"/>
      <c r="N433" s="3"/>
      <c r="O433" s="3"/>
      <c r="P433" s="3"/>
      <c r="Q433" s="3"/>
      <c r="R433" s="3"/>
      <c r="S433" s="3"/>
      <c r="T433" s="3"/>
      <c r="U433" s="3"/>
      <c r="AA433" s="1"/>
    </row>
    <row r="434" spans="1:27" ht="15.75" customHeight="1" x14ac:dyDescent="0.2">
      <c r="A434" s="1" t="s">
        <v>1255</v>
      </c>
      <c r="B434" s="1"/>
      <c r="C434" s="1"/>
      <c r="D434" s="1"/>
      <c r="E434" s="1"/>
      <c r="F434" s="1"/>
      <c r="G434" s="2"/>
      <c r="H434" s="1"/>
      <c r="I434" s="1"/>
      <c r="J434" s="1"/>
      <c r="K434" s="3"/>
      <c r="L434" s="3"/>
      <c r="M434" s="3"/>
      <c r="N434" s="3"/>
      <c r="O434" s="3"/>
      <c r="P434" s="3"/>
      <c r="Q434" s="3"/>
      <c r="R434" s="3"/>
      <c r="S434" s="3"/>
      <c r="T434" s="3"/>
      <c r="U434" s="3"/>
      <c r="AA434" s="1"/>
    </row>
    <row r="435" spans="1:27" ht="15.75" customHeight="1" x14ac:dyDescent="0.2">
      <c r="A435" s="1" t="s">
        <v>1256</v>
      </c>
      <c r="B435" s="1"/>
      <c r="C435" s="1"/>
      <c r="D435" s="1"/>
      <c r="E435" s="1"/>
      <c r="F435" s="1"/>
      <c r="G435" s="2"/>
      <c r="H435" s="1"/>
      <c r="I435" s="1"/>
      <c r="J435" s="1"/>
      <c r="K435" s="3"/>
      <c r="L435" s="3"/>
      <c r="M435" s="3"/>
      <c r="N435" s="3"/>
      <c r="O435" s="3"/>
      <c r="P435" s="3"/>
      <c r="Q435" s="3"/>
      <c r="R435" s="3"/>
      <c r="S435" s="3"/>
      <c r="T435" s="3"/>
      <c r="U435" s="3"/>
      <c r="AA435" s="1"/>
    </row>
    <row r="436" spans="1:27" ht="15.75" customHeight="1" x14ac:dyDescent="0.2">
      <c r="A436" s="1" t="s">
        <v>1257</v>
      </c>
      <c r="B436" s="1"/>
      <c r="C436" s="1"/>
      <c r="D436" s="1"/>
      <c r="E436" s="1"/>
      <c r="F436" s="1"/>
      <c r="G436" s="2"/>
      <c r="H436" s="1"/>
      <c r="I436" s="1"/>
      <c r="J436" s="1"/>
      <c r="K436" s="3"/>
      <c r="L436" s="3"/>
      <c r="M436" s="3"/>
      <c r="N436" s="3"/>
      <c r="O436" s="3"/>
      <c r="P436" s="3"/>
      <c r="Q436" s="3"/>
      <c r="R436" s="3"/>
      <c r="S436" s="3"/>
      <c r="T436" s="3"/>
      <c r="U436" s="3"/>
      <c r="AA436" s="1"/>
    </row>
    <row r="437" spans="1:27" ht="15.75" customHeight="1" x14ac:dyDescent="0.2">
      <c r="A437" s="1" t="s">
        <v>1258</v>
      </c>
      <c r="B437" s="1"/>
      <c r="C437" s="1"/>
      <c r="D437" s="1"/>
      <c r="E437" s="1"/>
      <c r="F437" s="1"/>
      <c r="G437" s="2"/>
      <c r="H437" s="1"/>
      <c r="I437" s="1"/>
      <c r="J437" s="1"/>
      <c r="K437" s="3"/>
      <c r="L437" s="3"/>
      <c r="M437" s="3"/>
      <c r="N437" s="3"/>
      <c r="O437" s="3"/>
      <c r="P437" s="3"/>
      <c r="Q437" s="3"/>
      <c r="R437" s="3"/>
      <c r="S437" s="3"/>
      <c r="T437" s="3"/>
      <c r="U437" s="3"/>
      <c r="AA437" s="1"/>
    </row>
    <row r="438" spans="1:27" ht="15.75" customHeight="1" x14ac:dyDescent="0.2">
      <c r="A438" s="1" t="s">
        <v>1259</v>
      </c>
      <c r="B438" s="1"/>
      <c r="C438" s="1"/>
      <c r="D438" s="1"/>
      <c r="E438" s="1"/>
      <c r="F438" s="1"/>
      <c r="G438" s="2"/>
      <c r="H438" s="1"/>
      <c r="I438" s="1"/>
      <c r="J438" s="1"/>
      <c r="K438" s="3"/>
      <c r="L438" s="3"/>
      <c r="M438" s="3"/>
      <c r="N438" s="3"/>
      <c r="O438" s="3"/>
      <c r="P438" s="3"/>
      <c r="Q438" s="3"/>
      <c r="R438" s="3"/>
      <c r="S438" s="3"/>
      <c r="T438" s="3"/>
      <c r="U438" s="3"/>
      <c r="AA438" s="1"/>
    </row>
    <row r="439" spans="1:27" ht="15.75" customHeight="1" x14ac:dyDescent="0.2">
      <c r="A439" s="1" t="s">
        <v>1260</v>
      </c>
      <c r="B439" s="1"/>
      <c r="C439" s="1"/>
      <c r="D439" s="1"/>
      <c r="E439" s="1"/>
      <c r="F439" s="1"/>
      <c r="G439" s="2"/>
      <c r="H439" s="1"/>
      <c r="I439" s="1"/>
      <c r="J439" s="1"/>
      <c r="K439" s="3"/>
      <c r="L439" s="3"/>
      <c r="M439" s="3"/>
      <c r="N439" s="3"/>
      <c r="O439" s="3"/>
      <c r="P439" s="3"/>
      <c r="Q439" s="3"/>
      <c r="R439" s="3"/>
      <c r="S439" s="3"/>
      <c r="T439" s="3"/>
      <c r="U439" s="3"/>
      <c r="AA439" s="1"/>
    </row>
    <row r="440" spans="1:27" ht="15.75" customHeight="1" x14ac:dyDescent="0.2">
      <c r="A440" s="1" t="s">
        <v>1261</v>
      </c>
      <c r="B440" s="1"/>
      <c r="C440" s="1"/>
      <c r="D440" s="1"/>
      <c r="E440" s="1"/>
      <c r="F440" s="1"/>
      <c r="G440" s="2"/>
      <c r="H440" s="1"/>
      <c r="I440" s="1"/>
      <c r="J440" s="1"/>
      <c r="K440" s="3"/>
      <c r="L440" s="3"/>
      <c r="M440" s="3"/>
      <c r="N440" s="3"/>
      <c r="O440" s="3"/>
      <c r="P440" s="3"/>
      <c r="Q440" s="3"/>
      <c r="R440" s="3"/>
      <c r="S440" s="3"/>
      <c r="T440" s="3"/>
      <c r="U440" s="3"/>
      <c r="AA440" s="1"/>
    </row>
    <row r="441" spans="1:27" ht="15.75" customHeight="1" x14ac:dyDescent="0.2">
      <c r="A441" s="1" t="s">
        <v>1262</v>
      </c>
      <c r="B441" s="1"/>
      <c r="C441" s="1"/>
      <c r="D441" s="1"/>
      <c r="E441" s="1"/>
      <c r="F441" s="1"/>
      <c r="G441" s="2"/>
      <c r="H441" s="1"/>
      <c r="I441" s="1"/>
      <c r="J441" s="1"/>
      <c r="K441" s="3"/>
      <c r="L441" s="3"/>
      <c r="M441" s="3"/>
      <c r="N441" s="3"/>
      <c r="O441" s="3"/>
      <c r="P441" s="3"/>
      <c r="Q441" s="3"/>
      <c r="R441" s="3"/>
      <c r="S441" s="3"/>
      <c r="T441" s="3"/>
      <c r="U441" s="3"/>
      <c r="AA441" s="1"/>
    </row>
    <row r="442" spans="1:27" ht="15.75" customHeight="1" x14ac:dyDescent="0.2">
      <c r="A442" s="1" t="s">
        <v>1263</v>
      </c>
      <c r="B442" s="1"/>
      <c r="C442" s="1"/>
      <c r="D442" s="1"/>
      <c r="E442" s="1"/>
      <c r="F442" s="1"/>
      <c r="G442" s="2"/>
      <c r="H442" s="1"/>
      <c r="I442" s="1"/>
      <c r="J442" s="1"/>
      <c r="K442" s="3"/>
      <c r="L442" s="3"/>
      <c r="M442" s="3"/>
      <c r="N442" s="3"/>
      <c r="O442" s="3"/>
      <c r="P442" s="3"/>
      <c r="Q442" s="3"/>
      <c r="R442" s="3"/>
      <c r="S442" s="3"/>
      <c r="T442" s="3"/>
      <c r="U442" s="3"/>
      <c r="AA442" s="1"/>
    </row>
    <row r="443" spans="1:27" ht="15.75" customHeight="1" x14ac:dyDescent="0.2">
      <c r="A443" s="1" t="s">
        <v>1264</v>
      </c>
      <c r="B443" s="1"/>
      <c r="C443" s="1"/>
      <c r="D443" s="1"/>
      <c r="E443" s="1"/>
      <c r="F443" s="1"/>
      <c r="G443" s="2"/>
      <c r="H443" s="1"/>
      <c r="I443" s="1"/>
      <c r="J443" s="1"/>
      <c r="K443" s="3"/>
      <c r="L443" s="3"/>
      <c r="M443" s="3"/>
      <c r="N443" s="3"/>
      <c r="O443" s="3"/>
      <c r="P443" s="3"/>
      <c r="Q443" s="3"/>
      <c r="R443" s="3"/>
      <c r="S443" s="3"/>
      <c r="T443" s="3"/>
      <c r="U443" s="3"/>
      <c r="AA443" s="1"/>
    </row>
    <row r="444" spans="1:27" ht="15.75" customHeight="1" x14ac:dyDescent="0.2">
      <c r="A444" s="1" t="s">
        <v>1265</v>
      </c>
      <c r="B444" s="1"/>
      <c r="C444" s="1"/>
      <c r="D444" s="1"/>
      <c r="E444" s="1"/>
      <c r="F444" s="1"/>
      <c r="G444" s="2"/>
      <c r="H444" s="1"/>
      <c r="I444" s="1"/>
      <c r="J444" s="1"/>
      <c r="K444" s="3"/>
      <c r="L444" s="3"/>
      <c r="M444" s="3"/>
      <c r="N444" s="3"/>
      <c r="O444" s="3"/>
      <c r="P444" s="3"/>
      <c r="Q444" s="3"/>
      <c r="R444" s="3"/>
      <c r="S444" s="3"/>
      <c r="T444" s="3"/>
      <c r="U444" s="3"/>
      <c r="AA444" s="1"/>
    </row>
    <row r="445" spans="1:27" ht="15.75" customHeight="1" x14ac:dyDescent="0.2">
      <c r="A445" s="1" t="s">
        <v>1266</v>
      </c>
      <c r="B445" s="1"/>
      <c r="C445" s="1"/>
      <c r="D445" s="1"/>
      <c r="E445" s="1"/>
      <c r="F445" s="1"/>
      <c r="G445" s="2"/>
      <c r="H445" s="1"/>
      <c r="I445" s="1"/>
      <c r="J445" s="1"/>
      <c r="K445" s="3"/>
      <c r="L445" s="3"/>
      <c r="M445" s="3"/>
      <c r="N445" s="3"/>
      <c r="O445" s="3"/>
      <c r="P445" s="3"/>
      <c r="Q445" s="3"/>
      <c r="R445" s="3"/>
      <c r="S445" s="3"/>
      <c r="T445" s="3"/>
      <c r="U445" s="3"/>
      <c r="AA445" s="1"/>
    </row>
    <row r="446" spans="1:27" ht="15.75" customHeight="1" x14ac:dyDescent="0.2">
      <c r="A446" s="1" t="s">
        <v>1267</v>
      </c>
      <c r="B446" s="1"/>
      <c r="C446" s="1"/>
      <c r="D446" s="1"/>
      <c r="E446" s="1"/>
      <c r="F446" s="1"/>
      <c r="G446" s="2"/>
      <c r="H446" s="1"/>
      <c r="I446" s="1"/>
      <c r="J446" s="1"/>
      <c r="K446" s="3"/>
      <c r="L446" s="3"/>
      <c r="M446" s="3"/>
      <c r="N446" s="3"/>
      <c r="O446" s="3"/>
      <c r="P446" s="3"/>
      <c r="Q446" s="3"/>
      <c r="R446" s="3"/>
      <c r="S446" s="3"/>
      <c r="T446" s="3"/>
      <c r="U446" s="3"/>
      <c r="AA446" s="1"/>
    </row>
    <row r="447" spans="1:27" ht="15.75" customHeight="1" x14ac:dyDescent="0.2">
      <c r="A447" s="1" t="s">
        <v>1268</v>
      </c>
      <c r="B447" s="1"/>
      <c r="C447" s="1"/>
      <c r="D447" s="1"/>
      <c r="E447" s="1"/>
      <c r="F447" s="1"/>
      <c r="G447" s="2"/>
      <c r="H447" s="1"/>
      <c r="I447" s="1"/>
      <c r="J447" s="1"/>
      <c r="K447" s="3"/>
      <c r="L447" s="3"/>
      <c r="M447" s="3"/>
      <c r="N447" s="3"/>
      <c r="O447" s="3"/>
      <c r="P447" s="3"/>
      <c r="Q447" s="3"/>
      <c r="R447" s="3"/>
      <c r="S447" s="3"/>
      <c r="T447" s="3"/>
      <c r="U447" s="3"/>
      <c r="AA447" s="1"/>
    </row>
    <row r="448" spans="1:27" ht="15.75" customHeight="1" x14ac:dyDescent="0.2">
      <c r="A448" s="1" t="s">
        <v>1269</v>
      </c>
      <c r="B448" s="1"/>
      <c r="C448" s="1"/>
      <c r="D448" s="1"/>
      <c r="E448" s="1"/>
      <c r="F448" s="1"/>
      <c r="G448" s="2"/>
      <c r="H448" s="1"/>
      <c r="I448" s="1"/>
      <c r="J448" s="1"/>
      <c r="K448" s="3"/>
      <c r="L448" s="3"/>
      <c r="M448" s="3"/>
      <c r="N448" s="3"/>
      <c r="O448" s="3"/>
      <c r="P448" s="3"/>
      <c r="Q448" s="3"/>
      <c r="R448" s="3"/>
      <c r="S448" s="3"/>
      <c r="T448" s="3"/>
      <c r="U448" s="3"/>
      <c r="AA448" s="1"/>
    </row>
    <row r="449" spans="1:27" ht="15.75" customHeight="1" x14ac:dyDescent="0.2">
      <c r="A449" s="1" t="s">
        <v>1270</v>
      </c>
      <c r="B449" s="1"/>
      <c r="C449" s="1"/>
      <c r="D449" s="1"/>
      <c r="E449" s="1"/>
      <c r="F449" s="1"/>
      <c r="G449" s="2"/>
      <c r="H449" s="1"/>
      <c r="I449" s="1"/>
      <c r="J449" s="1"/>
      <c r="K449" s="3"/>
      <c r="L449" s="3"/>
      <c r="M449" s="3"/>
      <c r="N449" s="3"/>
      <c r="O449" s="3"/>
      <c r="P449" s="3"/>
      <c r="Q449" s="3"/>
      <c r="R449" s="3"/>
      <c r="S449" s="3"/>
      <c r="T449" s="3"/>
      <c r="U449" s="3"/>
      <c r="AA449" s="1"/>
    </row>
    <row r="450" spans="1:27" ht="15.75" customHeight="1" x14ac:dyDescent="0.2">
      <c r="A450" s="1" t="s">
        <v>1271</v>
      </c>
      <c r="B450" s="1"/>
      <c r="C450" s="1"/>
      <c r="D450" s="1"/>
      <c r="E450" s="1"/>
      <c r="F450" s="1"/>
      <c r="G450" s="2"/>
      <c r="H450" s="1"/>
      <c r="I450" s="1"/>
      <c r="J450" s="1"/>
      <c r="K450" s="3"/>
      <c r="L450" s="3"/>
      <c r="M450" s="3"/>
      <c r="N450" s="3"/>
      <c r="O450" s="3"/>
      <c r="P450" s="3"/>
      <c r="Q450" s="3"/>
      <c r="R450" s="3"/>
      <c r="S450" s="3"/>
      <c r="T450" s="3"/>
      <c r="U450" s="3"/>
      <c r="AA450" s="1"/>
    </row>
    <row r="451" spans="1:27" ht="15.75" customHeight="1" x14ac:dyDescent="0.2">
      <c r="A451" s="1" t="s">
        <v>1272</v>
      </c>
      <c r="B451" s="1"/>
      <c r="C451" s="1"/>
      <c r="D451" s="1"/>
      <c r="E451" s="1"/>
      <c r="F451" s="1"/>
      <c r="G451" s="2"/>
      <c r="H451" s="1"/>
      <c r="I451" s="1"/>
      <c r="J451" s="1"/>
      <c r="K451" s="3"/>
      <c r="L451" s="3"/>
      <c r="M451" s="3"/>
      <c r="N451" s="3"/>
      <c r="O451" s="3"/>
      <c r="P451" s="3"/>
      <c r="Q451" s="3"/>
      <c r="R451" s="3"/>
      <c r="S451" s="3"/>
      <c r="T451" s="3"/>
      <c r="U451" s="3"/>
      <c r="AA451" s="1"/>
    </row>
    <row r="452" spans="1:27" ht="15.75" customHeight="1" x14ac:dyDescent="0.2">
      <c r="A452" s="1" t="s">
        <v>1273</v>
      </c>
      <c r="B452" s="1"/>
      <c r="C452" s="1"/>
      <c r="D452" s="1"/>
      <c r="E452" s="1"/>
      <c r="F452" s="1"/>
      <c r="G452" s="2"/>
      <c r="H452" s="1"/>
      <c r="I452" s="1"/>
      <c r="J452" s="1"/>
      <c r="K452" s="3"/>
      <c r="L452" s="3"/>
      <c r="M452" s="3"/>
      <c r="N452" s="3"/>
      <c r="O452" s="3"/>
      <c r="P452" s="3"/>
      <c r="Q452" s="3"/>
      <c r="R452" s="3"/>
      <c r="S452" s="3"/>
      <c r="T452" s="3"/>
      <c r="U452" s="3"/>
      <c r="AA452" s="1"/>
    </row>
    <row r="453" spans="1:27" ht="15.75" customHeight="1" x14ac:dyDescent="0.2">
      <c r="A453" s="1" t="s">
        <v>1274</v>
      </c>
      <c r="B453" s="1"/>
      <c r="C453" s="1"/>
      <c r="D453" s="1"/>
      <c r="E453" s="1"/>
      <c r="F453" s="1"/>
      <c r="G453" s="2"/>
      <c r="H453" s="1"/>
      <c r="I453" s="1"/>
      <c r="J453" s="1"/>
      <c r="K453" s="3"/>
      <c r="L453" s="3"/>
      <c r="M453" s="3"/>
      <c r="N453" s="3"/>
      <c r="O453" s="3"/>
      <c r="P453" s="3"/>
      <c r="Q453" s="3"/>
      <c r="R453" s="3"/>
      <c r="S453" s="3"/>
      <c r="T453" s="3"/>
      <c r="U453" s="3"/>
      <c r="AA453" s="1"/>
    </row>
    <row r="454" spans="1:27" ht="15.75" customHeight="1" x14ac:dyDescent="0.2">
      <c r="A454" s="1" t="s">
        <v>1275</v>
      </c>
      <c r="B454" s="1"/>
      <c r="C454" s="1"/>
      <c r="D454" s="1"/>
      <c r="E454" s="1"/>
      <c r="F454" s="1"/>
      <c r="G454" s="2"/>
      <c r="H454" s="1"/>
      <c r="I454" s="1"/>
      <c r="J454" s="1"/>
      <c r="K454" s="3"/>
      <c r="L454" s="3"/>
      <c r="M454" s="3"/>
      <c r="N454" s="3"/>
      <c r="O454" s="3"/>
      <c r="P454" s="3"/>
      <c r="Q454" s="3"/>
      <c r="R454" s="3"/>
      <c r="S454" s="3"/>
      <c r="T454" s="3"/>
      <c r="U454" s="3"/>
      <c r="AA454" s="1"/>
    </row>
    <row r="455" spans="1:27" ht="15.75" customHeight="1" x14ac:dyDescent="0.2">
      <c r="A455" s="1" t="s">
        <v>1276</v>
      </c>
      <c r="B455" s="1"/>
      <c r="C455" s="1"/>
      <c r="D455" s="1"/>
      <c r="E455" s="1"/>
      <c r="F455" s="1"/>
      <c r="G455" s="2"/>
      <c r="H455" s="1"/>
      <c r="I455" s="1"/>
      <c r="J455" s="1"/>
      <c r="K455" s="3"/>
      <c r="L455" s="3"/>
      <c r="M455" s="3"/>
      <c r="N455" s="3"/>
      <c r="O455" s="3"/>
      <c r="P455" s="3"/>
      <c r="Q455" s="3"/>
      <c r="R455" s="3"/>
      <c r="S455" s="3"/>
      <c r="T455" s="3"/>
      <c r="U455" s="3"/>
      <c r="AA455" s="1"/>
    </row>
    <row r="456" spans="1:27" ht="15.75" customHeight="1" x14ac:dyDescent="0.2">
      <c r="A456" s="1" t="s">
        <v>1277</v>
      </c>
      <c r="B456" s="1"/>
      <c r="C456" s="1"/>
      <c r="D456" s="1"/>
      <c r="E456" s="1"/>
      <c r="F456" s="1"/>
      <c r="G456" s="2"/>
      <c r="H456" s="1"/>
      <c r="I456" s="1"/>
      <c r="J456" s="1"/>
      <c r="K456" s="3"/>
      <c r="L456" s="3"/>
      <c r="M456" s="3"/>
      <c r="N456" s="3"/>
      <c r="O456" s="3"/>
      <c r="P456" s="3"/>
      <c r="Q456" s="3"/>
      <c r="R456" s="3"/>
      <c r="S456" s="3"/>
      <c r="T456" s="3"/>
      <c r="U456" s="3"/>
      <c r="AA456" s="1"/>
    </row>
    <row r="457" spans="1:27" ht="15.75" customHeight="1" x14ac:dyDescent="0.2">
      <c r="A457" s="1" t="s">
        <v>1278</v>
      </c>
      <c r="B457" s="1"/>
      <c r="C457" s="1"/>
      <c r="D457" s="1"/>
      <c r="E457" s="1"/>
      <c r="F457" s="1"/>
      <c r="G457" s="2"/>
      <c r="H457" s="1"/>
      <c r="I457" s="1"/>
      <c r="J457" s="1"/>
      <c r="K457" s="3"/>
      <c r="L457" s="3"/>
      <c r="M457" s="3"/>
      <c r="N457" s="3"/>
      <c r="O457" s="3"/>
      <c r="P457" s="3"/>
      <c r="Q457" s="3"/>
      <c r="R457" s="3"/>
      <c r="S457" s="3"/>
      <c r="T457" s="3"/>
      <c r="U457" s="3"/>
      <c r="AA457" s="1"/>
    </row>
    <row r="458" spans="1:27" ht="15.75" customHeight="1" x14ac:dyDescent="0.2">
      <c r="A458" s="1" t="s">
        <v>1279</v>
      </c>
      <c r="B458" s="1"/>
      <c r="C458" s="1"/>
      <c r="D458" s="1"/>
      <c r="E458" s="1"/>
      <c r="F458" s="1"/>
      <c r="G458" s="2"/>
      <c r="H458" s="1"/>
      <c r="I458" s="1"/>
      <c r="J458" s="1"/>
      <c r="K458" s="3"/>
      <c r="L458" s="3"/>
      <c r="M458" s="3"/>
      <c r="N458" s="3"/>
      <c r="O458" s="3"/>
      <c r="P458" s="3"/>
      <c r="Q458" s="3"/>
      <c r="R458" s="3"/>
      <c r="S458" s="3"/>
      <c r="T458" s="3"/>
      <c r="U458" s="3"/>
      <c r="AA458" s="1"/>
    </row>
    <row r="459" spans="1:27" ht="15.75" customHeight="1" x14ac:dyDescent="0.2">
      <c r="A459" s="1" t="s">
        <v>1280</v>
      </c>
      <c r="B459" s="1"/>
      <c r="C459" s="1"/>
      <c r="D459" s="1"/>
      <c r="E459" s="1"/>
      <c r="F459" s="1"/>
      <c r="G459" s="2"/>
      <c r="H459" s="1"/>
      <c r="I459" s="1"/>
      <c r="J459" s="1"/>
      <c r="K459" s="3"/>
      <c r="L459" s="3"/>
      <c r="M459" s="3"/>
      <c r="N459" s="3"/>
      <c r="O459" s="3"/>
      <c r="P459" s="3"/>
      <c r="Q459" s="3"/>
      <c r="R459" s="3"/>
      <c r="S459" s="3"/>
      <c r="T459" s="3"/>
      <c r="U459" s="3"/>
      <c r="AA459" s="1"/>
    </row>
    <row r="460" spans="1:27" ht="15.75" customHeight="1" x14ac:dyDescent="0.2">
      <c r="A460" s="1" t="s">
        <v>1281</v>
      </c>
      <c r="B460" s="1"/>
      <c r="C460" s="1"/>
      <c r="D460" s="1"/>
      <c r="E460" s="1"/>
      <c r="F460" s="1"/>
      <c r="G460" s="2"/>
      <c r="H460" s="1"/>
      <c r="I460" s="1"/>
      <c r="J460" s="1"/>
      <c r="K460" s="3"/>
      <c r="L460" s="3"/>
      <c r="M460" s="3"/>
      <c r="N460" s="3"/>
      <c r="O460" s="3"/>
      <c r="P460" s="3"/>
      <c r="Q460" s="3"/>
      <c r="R460" s="3"/>
      <c r="S460" s="3"/>
      <c r="T460" s="3"/>
      <c r="U460" s="3"/>
      <c r="AA460" s="1"/>
    </row>
    <row r="461" spans="1:27" ht="15.75" customHeight="1" x14ac:dyDescent="0.2">
      <c r="A461" s="1" t="s">
        <v>1282</v>
      </c>
      <c r="B461" s="1"/>
      <c r="C461" s="1"/>
      <c r="D461" s="1"/>
      <c r="E461" s="1"/>
      <c r="F461" s="1"/>
      <c r="G461" s="2"/>
      <c r="H461" s="1"/>
      <c r="I461" s="1"/>
      <c r="J461" s="1"/>
      <c r="K461" s="3"/>
      <c r="L461" s="3"/>
      <c r="M461" s="3"/>
      <c r="N461" s="3"/>
      <c r="O461" s="3"/>
      <c r="P461" s="3"/>
      <c r="Q461" s="3"/>
      <c r="R461" s="3"/>
      <c r="S461" s="3"/>
      <c r="T461" s="3"/>
      <c r="U461" s="3"/>
      <c r="AA461" s="1"/>
    </row>
    <row r="462" spans="1:27" ht="15.75" customHeight="1" x14ac:dyDescent="0.2">
      <c r="A462" s="1" t="s">
        <v>1283</v>
      </c>
      <c r="B462" s="1"/>
      <c r="C462" s="1"/>
      <c r="D462" s="1"/>
      <c r="E462" s="1"/>
      <c r="F462" s="1"/>
      <c r="G462" s="2"/>
      <c r="H462" s="1"/>
      <c r="I462" s="1"/>
      <c r="J462" s="1"/>
      <c r="K462" s="3"/>
      <c r="L462" s="3"/>
      <c r="M462" s="3"/>
      <c r="N462" s="3"/>
      <c r="O462" s="3"/>
      <c r="P462" s="3"/>
      <c r="Q462" s="3"/>
      <c r="R462" s="3"/>
      <c r="S462" s="3"/>
      <c r="T462" s="3"/>
      <c r="U462" s="3"/>
      <c r="AA462" s="1"/>
    </row>
    <row r="463" spans="1:27" ht="15.75" customHeight="1" x14ac:dyDescent="0.2">
      <c r="A463" s="1" t="s">
        <v>1284</v>
      </c>
      <c r="B463" s="1"/>
      <c r="C463" s="1"/>
      <c r="D463" s="1"/>
      <c r="E463" s="1"/>
      <c r="F463" s="1"/>
      <c r="G463" s="2"/>
      <c r="H463" s="1"/>
      <c r="I463" s="1"/>
      <c r="J463" s="1"/>
      <c r="K463" s="3"/>
      <c r="L463" s="3"/>
      <c r="M463" s="3"/>
      <c r="N463" s="3"/>
      <c r="O463" s="3"/>
      <c r="P463" s="3"/>
      <c r="Q463" s="3"/>
      <c r="R463" s="3"/>
      <c r="S463" s="3"/>
      <c r="T463" s="3"/>
      <c r="U463" s="3"/>
      <c r="AA463" s="1"/>
    </row>
    <row r="464" spans="1:27" ht="15.75" customHeight="1" x14ac:dyDescent="0.2">
      <c r="A464" s="1" t="s">
        <v>1285</v>
      </c>
      <c r="B464" s="1"/>
      <c r="C464" s="1"/>
      <c r="D464" s="1"/>
      <c r="E464" s="1"/>
      <c r="F464" s="1"/>
      <c r="G464" s="2"/>
      <c r="H464" s="1"/>
      <c r="I464" s="1"/>
      <c r="J464" s="1"/>
      <c r="K464" s="3"/>
      <c r="L464" s="3"/>
      <c r="M464" s="3"/>
      <c r="N464" s="3"/>
      <c r="O464" s="3"/>
      <c r="P464" s="3"/>
      <c r="Q464" s="3"/>
      <c r="R464" s="3"/>
      <c r="S464" s="3"/>
      <c r="T464" s="3"/>
      <c r="U464" s="3"/>
      <c r="AA464" s="1"/>
    </row>
    <row r="465" spans="1:27" ht="15.75" customHeight="1" x14ac:dyDescent="0.2">
      <c r="A465" s="1" t="s">
        <v>1286</v>
      </c>
      <c r="B465" s="1"/>
      <c r="C465" s="1"/>
      <c r="D465" s="1"/>
      <c r="E465" s="1"/>
      <c r="F465" s="1"/>
      <c r="G465" s="2"/>
      <c r="H465" s="1"/>
      <c r="I465" s="1"/>
      <c r="J465" s="1"/>
      <c r="K465" s="3"/>
      <c r="L465" s="3"/>
      <c r="M465" s="3"/>
      <c r="N465" s="3"/>
      <c r="O465" s="3"/>
      <c r="P465" s="3"/>
      <c r="Q465" s="3"/>
      <c r="R465" s="3"/>
      <c r="S465" s="3"/>
      <c r="T465" s="3"/>
      <c r="U465" s="3"/>
      <c r="AA465" s="1"/>
    </row>
    <row r="466" spans="1:27" ht="15.75" customHeight="1" x14ac:dyDescent="0.2">
      <c r="A466" s="1" t="s">
        <v>1287</v>
      </c>
      <c r="B466" s="1"/>
      <c r="C466" s="1"/>
      <c r="D466" s="1"/>
      <c r="E466" s="1"/>
      <c r="F466" s="1"/>
      <c r="G466" s="2"/>
      <c r="H466" s="1"/>
      <c r="I466" s="1"/>
      <c r="J466" s="1"/>
      <c r="K466" s="3"/>
      <c r="L466" s="3"/>
      <c r="M466" s="3"/>
      <c r="N466" s="3"/>
      <c r="O466" s="3"/>
      <c r="P466" s="3"/>
      <c r="Q466" s="3"/>
      <c r="R466" s="3"/>
      <c r="S466" s="3"/>
      <c r="T466" s="3"/>
      <c r="U466" s="3"/>
      <c r="AA466" s="1"/>
    </row>
    <row r="467" spans="1:27" ht="15.75" customHeight="1" x14ac:dyDescent="0.2">
      <c r="A467" s="1" t="s">
        <v>1288</v>
      </c>
      <c r="B467" s="1"/>
      <c r="C467" s="1"/>
      <c r="D467" s="1"/>
      <c r="E467" s="1"/>
      <c r="F467" s="1"/>
      <c r="G467" s="2"/>
      <c r="H467" s="1"/>
      <c r="I467" s="1"/>
      <c r="J467" s="1"/>
      <c r="K467" s="3"/>
      <c r="L467" s="3"/>
      <c r="M467" s="3"/>
      <c r="N467" s="3"/>
      <c r="O467" s="3"/>
      <c r="P467" s="3"/>
      <c r="Q467" s="3"/>
      <c r="R467" s="3"/>
      <c r="S467" s="3"/>
      <c r="T467" s="3"/>
      <c r="U467" s="3"/>
      <c r="AA467" s="1"/>
    </row>
    <row r="468" spans="1:27" ht="15.75" customHeight="1" x14ac:dyDescent="0.2">
      <c r="A468" s="1" t="s">
        <v>1289</v>
      </c>
      <c r="B468" s="1"/>
      <c r="C468" s="1"/>
      <c r="D468" s="1"/>
      <c r="E468" s="1"/>
      <c r="F468" s="1"/>
      <c r="G468" s="2"/>
      <c r="H468" s="1"/>
      <c r="I468" s="1"/>
      <c r="J468" s="1"/>
      <c r="K468" s="3"/>
      <c r="L468" s="3"/>
      <c r="M468" s="3"/>
      <c r="N468" s="3"/>
      <c r="O468" s="3"/>
      <c r="P468" s="3"/>
      <c r="Q468" s="3"/>
      <c r="R468" s="3"/>
      <c r="S468" s="3"/>
      <c r="T468" s="3"/>
      <c r="U468" s="3"/>
      <c r="AA468" s="1"/>
    </row>
    <row r="469" spans="1:27" ht="15.75" customHeight="1" x14ac:dyDescent="0.2">
      <c r="A469" s="1" t="s">
        <v>1290</v>
      </c>
      <c r="B469" s="1"/>
      <c r="C469" s="1"/>
      <c r="D469" s="1"/>
      <c r="E469" s="1"/>
      <c r="F469" s="1"/>
      <c r="G469" s="2"/>
      <c r="H469" s="1"/>
      <c r="I469" s="1"/>
      <c r="J469" s="1"/>
      <c r="K469" s="3"/>
      <c r="L469" s="3"/>
      <c r="M469" s="3"/>
      <c r="N469" s="3"/>
      <c r="O469" s="3"/>
      <c r="P469" s="3"/>
      <c r="Q469" s="3"/>
      <c r="R469" s="3"/>
      <c r="S469" s="3"/>
      <c r="T469" s="3"/>
      <c r="U469" s="3"/>
      <c r="AA469" s="1"/>
    </row>
    <row r="470" spans="1:27" ht="15.75" customHeight="1" x14ac:dyDescent="0.2">
      <c r="A470" s="1" t="s">
        <v>1291</v>
      </c>
      <c r="B470" s="1"/>
      <c r="C470" s="1"/>
      <c r="D470" s="1"/>
      <c r="E470" s="1"/>
      <c r="F470" s="1"/>
      <c r="G470" s="2"/>
      <c r="H470" s="1"/>
      <c r="I470" s="1"/>
      <c r="J470" s="1"/>
      <c r="K470" s="3"/>
      <c r="L470" s="3"/>
      <c r="M470" s="3"/>
      <c r="N470" s="3"/>
      <c r="O470" s="3"/>
      <c r="P470" s="3"/>
      <c r="Q470" s="3"/>
      <c r="R470" s="3"/>
      <c r="S470" s="3"/>
      <c r="T470" s="3"/>
      <c r="U470" s="3"/>
      <c r="AA470" s="1"/>
    </row>
    <row r="471" spans="1:27" ht="15.75" customHeight="1" x14ac:dyDescent="0.2">
      <c r="A471" s="1" t="s">
        <v>1292</v>
      </c>
      <c r="B471" s="1"/>
      <c r="C471" s="1"/>
      <c r="D471" s="1"/>
      <c r="E471" s="1"/>
      <c r="F471" s="1"/>
      <c r="G471" s="2"/>
      <c r="H471" s="1"/>
      <c r="I471" s="1"/>
      <c r="J471" s="1"/>
      <c r="K471" s="3"/>
      <c r="L471" s="3"/>
      <c r="M471" s="3"/>
      <c r="N471" s="3"/>
      <c r="O471" s="3"/>
      <c r="P471" s="3"/>
      <c r="Q471" s="3"/>
      <c r="R471" s="3"/>
      <c r="S471" s="3"/>
      <c r="T471" s="3"/>
      <c r="U471" s="3"/>
      <c r="AA471" s="1"/>
    </row>
    <row r="472" spans="1:27" ht="15.75" customHeight="1" x14ac:dyDescent="0.2">
      <c r="A472" s="1" t="s">
        <v>1293</v>
      </c>
      <c r="B472" s="1"/>
      <c r="C472" s="1"/>
      <c r="D472" s="1"/>
      <c r="E472" s="1"/>
      <c r="F472" s="1"/>
      <c r="G472" s="2"/>
      <c r="H472" s="1"/>
      <c r="I472" s="1"/>
      <c r="J472" s="1"/>
      <c r="K472" s="3"/>
      <c r="L472" s="3"/>
      <c r="M472" s="3"/>
      <c r="N472" s="3"/>
      <c r="O472" s="3"/>
      <c r="P472" s="3"/>
      <c r="Q472" s="3"/>
      <c r="R472" s="3"/>
      <c r="S472" s="3"/>
      <c r="T472" s="3"/>
      <c r="U472" s="3"/>
      <c r="AA472" s="1"/>
    </row>
    <row r="473" spans="1:27" ht="15.75" customHeight="1" x14ac:dyDescent="0.2">
      <c r="A473" s="1" t="s">
        <v>1294</v>
      </c>
      <c r="B473" s="1"/>
      <c r="C473" s="1"/>
      <c r="D473" s="1"/>
      <c r="E473" s="1"/>
      <c r="F473" s="1"/>
      <c r="G473" s="2"/>
      <c r="H473" s="1"/>
      <c r="I473" s="1"/>
      <c r="J473" s="1"/>
      <c r="K473" s="3"/>
      <c r="L473" s="3"/>
      <c r="M473" s="3"/>
      <c r="N473" s="3"/>
      <c r="O473" s="3"/>
      <c r="P473" s="3"/>
      <c r="Q473" s="3"/>
      <c r="R473" s="3"/>
      <c r="S473" s="3"/>
      <c r="T473" s="3"/>
      <c r="U473" s="3"/>
      <c r="AA473" s="1"/>
    </row>
    <row r="474" spans="1:27" ht="15.75" customHeight="1" x14ac:dyDescent="0.2">
      <c r="A474" s="1" t="s">
        <v>1295</v>
      </c>
      <c r="B474" s="1"/>
      <c r="C474" s="1"/>
      <c r="D474" s="1"/>
      <c r="E474" s="1"/>
      <c r="F474" s="1"/>
      <c r="G474" s="2"/>
      <c r="H474" s="1"/>
      <c r="I474" s="1"/>
      <c r="J474" s="1"/>
      <c r="K474" s="3"/>
      <c r="L474" s="3"/>
      <c r="M474" s="3"/>
      <c r="N474" s="3"/>
      <c r="O474" s="3"/>
      <c r="P474" s="3"/>
      <c r="Q474" s="3"/>
      <c r="R474" s="3"/>
      <c r="S474" s="3"/>
      <c r="T474" s="3"/>
      <c r="U474" s="3"/>
      <c r="AA474" s="1"/>
    </row>
    <row r="475" spans="1:27" ht="15.75" customHeight="1" x14ac:dyDescent="0.2">
      <c r="A475" s="1" t="s">
        <v>1296</v>
      </c>
      <c r="B475" s="1"/>
      <c r="C475" s="1"/>
      <c r="D475" s="1"/>
      <c r="E475" s="1"/>
      <c r="F475" s="1"/>
      <c r="G475" s="2"/>
      <c r="H475" s="1"/>
      <c r="I475" s="1"/>
      <c r="J475" s="1"/>
      <c r="K475" s="3"/>
      <c r="L475" s="3"/>
      <c r="M475" s="3"/>
      <c r="N475" s="3"/>
      <c r="O475" s="3"/>
      <c r="P475" s="3"/>
      <c r="Q475" s="3"/>
      <c r="R475" s="3"/>
      <c r="S475" s="3"/>
      <c r="T475" s="3"/>
      <c r="U475" s="3"/>
      <c r="AA475" s="1"/>
    </row>
    <row r="476" spans="1:27" ht="15.75" customHeight="1" x14ac:dyDescent="0.2">
      <c r="A476" s="1" t="s">
        <v>1297</v>
      </c>
      <c r="B476" s="1"/>
      <c r="C476" s="1"/>
      <c r="D476" s="1"/>
      <c r="E476" s="1"/>
      <c r="F476" s="1"/>
      <c r="G476" s="2"/>
      <c r="H476" s="1"/>
      <c r="I476" s="1"/>
      <c r="J476" s="1"/>
      <c r="K476" s="3"/>
      <c r="L476" s="3"/>
      <c r="M476" s="3"/>
      <c r="N476" s="3"/>
      <c r="O476" s="3"/>
      <c r="P476" s="3"/>
      <c r="Q476" s="3"/>
      <c r="R476" s="3"/>
      <c r="S476" s="3"/>
      <c r="T476" s="3"/>
      <c r="U476" s="3"/>
      <c r="AA476" s="1"/>
    </row>
    <row r="477" spans="1:27" ht="15.75" customHeight="1" x14ac:dyDescent="0.2">
      <c r="A477" s="1" t="s">
        <v>1298</v>
      </c>
      <c r="B477" s="1"/>
      <c r="C477" s="1"/>
      <c r="D477" s="1"/>
      <c r="E477" s="1"/>
      <c r="F477" s="1"/>
      <c r="G477" s="2"/>
      <c r="H477" s="1"/>
      <c r="I477" s="1"/>
      <c r="J477" s="1"/>
      <c r="K477" s="3"/>
      <c r="L477" s="3"/>
      <c r="M477" s="3"/>
      <c r="N477" s="3"/>
      <c r="O477" s="3"/>
      <c r="P477" s="3"/>
      <c r="Q477" s="3"/>
      <c r="R477" s="3"/>
      <c r="S477" s="3"/>
      <c r="T477" s="3"/>
      <c r="U477" s="3"/>
      <c r="AA477" s="1"/>
    </row>
    <row r="478" spans="1:27" ht="15.75" customHeight="1" x14ac:dyDescent="0.2">
      <c r="A478" s="1" t="s">
        <v>1299</v>
      </c>
      <c r="B478" s="1"/>
      <c r="C478" s="1"/>
      <c r="D478" s="1"/>
      <c r="E478" s="1"/>
      <c r="F478" s="1"/>
      <c r="G478" s="2"/>
      <c r="H478" s="1"/>
      <c r="I478" s="1"/>
      <c r="J478" s="1"/>
      <c r="K478" s="3"/>
      <c r="L478" s="3"/>
      <c r="M478" s="3"/>
      <c r="N478" s="3"/>
      <c r="O478" s="3"/>
      <c r="P478" s="3"/>
      <c r="Q478" s="3"/>
      <c r="R478" s="3"/>
      <c r="S478" s="3"/>
      <c r="T478" s="3"/>
      <c r="U478" s="3"/>
      <c r="AA478" s="1"/>
    </row>
    <row r="479" spans="1:27" ht="15.75" customHeight="1" x14ac:dyDescent="0.2">
      <c r="A479" s="1" t="s">
        <v>1300</v>
      </c>
      <c r="B479" s="1"/>
      <c r="C479" s="1"/>
      <c r="D479" s="1"/>
      <c r="E479" s="1"/>
      <c r="F479" s="1"/>
      <c r="G479" s="2"/>
      <c r="H479" s="1"/>
      <c r="I479" s="1"/>
      <c r="J479" s="1"/>
      <c r="K479" s="3"/>
      <c r="L479" s="3"/>
      <c r="M479" s="3"/>
      <c r="N479" s="3"/>
      <c r="O479" s="3"/>
      <c r="P479" s="3"/>
      <c r="Q479" s="3"/>
      <c r="R479" s="3"/>
      <c r="S479" s="3"/>
      <c r="T479" s="3"/>
      <c r="U479" s="3"/>
      <c r="AA479" s="1"/>
    </row>
    <row r="480" spans="1:27" ht="15.75" customHeight="1" x14ac:dyDescent="0.2">
      <c r="A480" s="1" t="s">
        <v>1301</v>
      </c>
      <c r="B480" s="1"/>
      <c r="C480" s="1"/>
      <c r="D480" s="1"/>
      <c r="E480" s="1"/>
      <c r="F480" s="1"/>
      <c r="G480" s="2"/>
      <c r="H480" s="1"/>
      <c r="I480" s="1"/>
      <c r="J480" s="1"/>
      <c r="K480" s="3"/>
      <c r="L480" s="3"/>
      <c r="M480" s="3"/>
      <c r="N480" s="3"/>
      <c r="O480" s="3"/>
      <c r="P480" s="3"/>
      <c r="Q480" s="3"/>
      <c r="R480" s="3"/>
      <c r="S480" s="3"/>
      <c r="T480" s="3"/>
      <c r="U480" s="3"/>
      <c r="AA480" s="1"/>
    </row>
    <row r="481" spans="1:27" ht="15.75" customHeight="1" x14ac:dyDescent="0.2">
      <c r="A481" s="1" t="s">
        <v>1302</v>
      </c>
      <c r="B481" s="1"/>
      <c r="C481" s="1"/>
      <c r="D481" s="1"/>
      <c r="E481" s="1"/>
      <c r="F481" s="1"/>
      <c r="G481" s="2"/>
      <c r="H481" s="1"/>
      <c r="I481" s="1"/>
      <c r="J481" s="1"/>
      <c r="K481" s="3"/>
      <c r="L481" s="3"/>
      <c r="M481" s="3"/>
      <c r="N481" s="3"/>
      <c r="O481" s="3"/>
      <c r="P481" s="3"/>
      <c r="Q481" s="3"/>
      <c r="R481" s="3"/>
      <c r="S481" s="3"/>
      <c r="T481" s="3"/>
      <c r="U481" s="3"/>
      <c r="AA481" s="1"/>
    </row>
    <row r="482" spans="1:27" ht="15.75" customHeight="1" x14ac:dyDescent="0.2">
      <c r="A482" s="1" t="s">
        <v>1303</v>
      </c>
      <c r="B482" s="1"/>
      <c r="C482" s="1"/>
      <c r="D482" s="1"/>
      <c r="E482" s="1"/>
      <c r="F482" s="1"/>
      <c r="G482" s="2"/>
      <c r="H482" s="1"/>
      <c r="I482" s="1"/>
      <c r="J482" s="1"/>
      <c r="K482" s="3"/>
      <c r="L482" s="3"/>
      <c r="M482" s="3"/>
      <c r="N482" s="3"/>
      <c r="O482" s="3"/>
      <c r="P482" s="3"/>
      <c r="Q482" s="3"/>
      <c r="R482" s="3"/>
      <c r="S482" s="3"/>
      <c r="T482" s="3"/>
      <c r="U482" s="3"/>
      <c r="AA482" s="1"/>
    </row>
    <row r="483" spans="1:27" ht="15.75" customHeight="1" x14ac:dyDescent="0.2">
      <c r="A483" s="1" t="s">
        <v>1304</v>
      </c>
      <c r="B483" s="1"/>
      <c r="C483" s="1"/>
      <c r="D483" s="1"/>
      <c r="E483" s="1"/>
      <c r="F483" s="1"/>
      <c r="G483" s="2"/>
      <c r="H483" s="1"/>
      <c r="I483" s="1"/>
      <c r="J483" s="1"/>
      <c r="K483" s="3"/>
      <c r="L483" s="3"/>
      <c r="M483" s="3"/>
      <c r="N483" s="3"/>
      <c r="O483" s="3"/>
      <c r="P483" s="3"/>
      <c r="Q483" s="3"/>
      <c r="R483" s="3"/>
      <c r="S483" s="3"/>
      <c r="T483" s="3"/>
      <c r="U483" s="3"/>
      <c r="AA483" s="1"/>
    </row>
    <row r="484" spans="1:27" ht="15.75" customHeight="1" x14ac:dyDescent="0.2">
      <c r="A484" s="1" t="s">
        <v>1305</v>
      </c>
      <c r="B484" s="1"/>
      <c r="C484" s="1"/>
      <c r="D484" s="1"/>
      <c r="E484" s="1"/>
      <c r="F484" s="1"/>
      <c r="G484" s="2"/>
      <c r="H484" s="1"/>
      <c r="I484" s="1"/>
      <c r="J484" s="1"/>
      <c r="K484" s="3"/>
      <c r="L484" s="3"/>
      <c r="M484" s="3"/>
      <c r="N484" s="3"/>
      <c r="O484" s="3"/>
      <c r="P484" s="3"/>
      <c r="Q484" s="3"/>
      <c r="R484" s="3"/>
      <c r="S484" s="3"/>
      <c r="T484" s="3"/>
      <c r="U484" s="3"/>
      <c r="AA484" s="1"/>
    </row>
    <row r="485" spans="1:27" ht="15.75" customHeight="1" x14ac:dyDescent="0.2">
      <c r="A485" s="1" t="s">
        <v>1306</v>
      </c>
      <c r="B485" s="1"/>
      <c r="C485" s="1"/>
      <c r="D485" s="1"/>
      <c r="E485" s="1"/>
      <c r="F485" s="1"/>
      <c r="G485" s="2"/>
      <c r="H485" s="1"/>
      <c r="I485" s="1"/>
      <c r="J485" s="1"/>
      <c r="K485" s="3"/>
      <c r="L485" s="3"/>
      <c r="M485" s="3"/>
      <c r="N485" s="3"/>
      <c r="O485" s="3"/>
      <c r="P485" s="3"/>
      <c r="Q485" s="3"/>
      <c r="R485" s="3"/>
      <c r="S485" s="3"/>
      <c r="T485" s="3"/>
      <c r="U485" s="3"/>
      <c r="AA485" s="1"/>
    </row>
    <row r="486" spans="1:27" ht="15.75" customHeight="1" x14ac:dyDescent="0.2">
      <c r="A486" s="1" t="s">
        <v>1307</v>
      </c>
      <c r="B486" s="1"/>
      <c r="C486" s="1"/>
      <c r="D486" s="1"/>
      <c r="E486" s="1"/>
      <c r="F486" s="1"/>
      <c r="G486" s="2"/>
      <c r="H486" s="1"/>
      <c r="I486" s="1"/>
      <c r="J486" s="1"/>
      <c r="K486" s="3"/>
      <c r="L486" s="3"/>
      <c r="M486" s="3"/>
      <c r="N486" s="3"/>
      <c r="O486" s="3"/>
      <c r="P486" s="3"/>
      <c r="Q486" s="3"/>
      <c r="R486" s="3"/>
      <c r="S486" s="3"/>
      <c r="T486" s="3"/>
      <c r="U486" s="3"/>
      <c r="AA486" s="1"/>
    </row>
    <row r="487" spans="1:27" ht="15.75" customHeight="1" x14ac:dyDescent="0.2">
      <c r="A487" s="1" t="s">
        <v>1308</v>
      </c>
      <c r="B487" s="1"/>
      <c r="C487" s="1"/>
      <c r="D487" s="1"/>
      <c r="E487" s="1"/>
      <c r="F487" s="1"/>
      <c r="G487" s="2"/>
      <c r="H487" s="1"/>
      <c r="I487" s="1"/>
      <c r="J487" s="1"/>
      <c r="K487" s="3"/>
      <c r="L487" s="3"/>
      <c r="M487" s="3"/>
      <c r="N487" s="3"/>
      <c r="O487" s="3"/>
      <c r="P487" s="3"/>
      <c r="Q487" s="3"/>
      <c r="R487" s="3"/>
      <c r="S487" s="3"/>
      <c r="T487" s="3"/>
      <c r="U487" s="3"/>
      <c r="AA487" s="1"/>
    </row>
    <row r="488" spans="1:27" ht="15.75" customHeight="1" x14ac:dyDescent="0.2">
      <c r="G488" s="2"/>
      <c r="K488" s="3"/>
      <c r="L488" s="3"/>
      <c r="M488" s="3"/>
      <c r="N488" s="3"/>
      <c r="O488" s="3"/>
      <c r="P488" s="3"/>
      <c r="Q488" s="3"/>
      <c r="R488" s="3"/>
      <c r="S488" s="3"/>
      <c r="T488" s="3"/>
      <c r="U488" s="3"/>
      <c r="AA488" s="1"/>
    </row>
    <row r="489" spans="1:27" ht="15.75" customHeight="1" x14ac:dyDescent="0.2">
      <c r="G489" s="2"/>
      <c r="K489" s="3"/>
      <c r="L489" s="3"/>
      <c r="M489" s="3"/>
      <c r="N489" s="3"/>
      <c r="O489" s="3"/>
      <c r="P489" s="3"/>
      <c r="Q489" s="3"/>
      <c r="R489" s="3"/>
      <c r="S489" s="3"/>
      <c r="T489" s="3"/>
      <c r="U489" s="3"/>
      <c r="AA489" s="1"/>
    </row>
    <row r="490" spans="1:27" ht="15.75" customHeight="1" x14ac:dyDescent="0.2">
      <c r="G490" s="2"/>
      <c r="K490" s="3"/>
      <c r="L490" s="3"/>
      <c r="M490" s="3"/>
      <c r="N490" s="3"/>
      <c r="O490" s="3"/>
      <c r="P490" s="3"/>
      <c r="Q490" s="3"/>
      <c r="R490" s="3"/>
      <c r="S490" s="3"/>
      <c r="T490" s="3"/>
      <c r="U490" s="3"/>
      <c r="AA490" s="1"/>
    </row>
    <row r="491" spans="1:27" ht="15.75" customHeight="1" x14ac:dyDescent="0.2">
      <c r="G491" s="2"/>
      <c r="K491" s="3"/>
      <c r="L491" s="3"/>
      <c r="M491" s="3"/>
      <c r="N491" s="3"/>
      <c r="O491" s="3"/>
      <c r="P491" s="3"/>
      <c r="Q491" s="3"/>
      <c r="R491" s="3"/>
      <c r="S491" s="3"/>
      <c r="T491" s="3"/>
      <c r="U491" s="3"/>
      <c r="AA491" s="1"/>
    </row>
    <row r="492" spans="1:27" ht="15.75" customHeight="1" x14ac:dyDescent="0.2">
      <c r="G492" s="2"/>
      <c r="K492" s="3"/>
      <c r="L492" s="3"/>
      <c r="M492" s="3"/>
      <c r="N492" s="3"/>
      <c r="O492" s="3"/>
      <c r="P492" s="3"/>
      <c r="Q492" s="3"/>
      <c r="R492" s="3"/>
      <c r="S492" s="3"/>
      <c r="T492" s="3"/>
      <c r="U492" s="3"/>
      <c r="AA492" s="1"/>
    </row>
    <row r="493" spans="1:27" ht="15.75" customHeight="1" x14ac:dyDescent="0.2">
      <c r="G493" s="2"/>
      <c r="K493" s="3"/>
      <c r="L493" s="3"/>
      <c r="M493" s="3"/>
      <c r="N493" s="3"/>
      <c r="O493" s="3"/>
      <c r="P493" s="3"/>
      <c r="Q493" s="3"/>
      <c r="R493" s="3"/>
      <c r="S493" s="3"/>
      <c r="T493" s="3"/>
      <c r="U493" s="3"/>
      <c r="AA493" s="1"/>
    </row>
    <row r="494" spans="1:27" ht="15.75" customHeight="1" x14ac:dyDescent="0.2">
      <c r="G494" s="2"/>
      <c r="K494" s="3"/>
      <c r="L494" s="3"/>
      <c r="M494" s="3"/>
      <c r="N494" s="3"/>
      <c r="O494" s="3"/>
      <c r="P494" s="3"/>
      <c r="Q494" s="3"/>
      <c r="R494" s="3"/>
      <c r="S494" s="3"/>
      <c r="T494" s="3"/>
      <c r="U494" s="3"/>
      <c r="AA494" s="1"/>
    </row>
    <row r="495" spans="1:27" ht="15.75" customHeight="1" x14ac:dyDescent="0.2">
      <c r="G495" s="2"/>
      <c r="K495" s="3"/>
      <c r="L495" s="3"/>
      <c r="M495" s="3"/>
      <c r="N495" s="3"/>
      <c r="O495" s="3"/>
      <c r="P495" s="3"/>
      <c r="Q495" s="3"/>
      <c r="R495" s="3"/>
      <c r="S495" s="3"/>
      <c r="T495" s="3"/>
      <c r="U495" s="3"/>
      <c r="AA495" s="1"/>
    </row>
    <row r="496" spans="1:27" ht="15.75" customHeight="1" x14ac:dyDescent="0.2">
      <c r="G496" s="2"/>
      <c r="K496" s="3"/>
      <c r="L496" s="3"/>
      <c r="M496" s="3"/>
      <c r="N496" s="3"/>
      <c r="O496" s="3"/>
      <c r="P496" s="3"/>
      <c r="Q496" s="3"/>
      <c r="R496" s="3"/>
      <c r="S496" s="3"/>
      <c r="T496" s="3"/>
      <c r="U496" s="3"/>
      <c r="AA496" s="1"/>
    </row>
    <row r="497" spans="7:27" ht="15.75" customHeight="1" x14ac:dyDescent="0.2">
      <c r="G497" s="2"/>
      <c r="K497" s="3"/>
      <c r="L497" s="3"/>
      <c r="M497" s="3"/>
      <c r="N497" s="3"/>
      <c r="O497" s="3"/>
      <c r="P497" s="3"/>
      <c r="Q497" s="3"/>
      <c r="R497" s="3"/>
      <c r="S497" s="3"/>
      <c r="T497" s="3"/>
      <c r="U497" s="3"/>
      <c r="AA497" s="1"/>
    </row>
    <row r="498" spans="7:27" ht="15.75" customHeight="1" x14ac:dyDescent="0.2">
      <c r="G498" s="2"/>
      <c r="K498" s="3"/>
      <c r="L498" s="3"/>
      <c r="M498" s="3"/>
      <c r="N498" s="3"/>
      <c r="O498" s="3"/>
      <c r="P498" s="3"/>
      <c r="Q498" s="3"/>
      <c r="R498" s="3"/>
      <c r="S498" s="3"/>
      <c r="T498" s="3"/>
      <c r="U498" s="3"/>
      <c r="AA498" s="1"/>
    </row>
    <row r="499" spans="7:27" ht="15.75" customHeight="1" x14ac:dyDescent="0.2">
      <c r="G499" s="2"/>
      <c r="K499" s="3"/>
      <c r="L499" s="3"/>
      <c r="M499" s="3"/>
      <c r="N499" s="3"/>
      <c r="O499" s="3"/>
      <c r="P499" s="3"/>
      <c r="Q499" s="3"/>
      <c r="R499" s="3"/>
      <c r="S499" s="3"/>
      <c r="T499" s="3"/>
      <c r="U499" s="3"/>
      <c r="AA499" s="1"/>
    </row>
    <row r="500" spans="7:27" ht="15.75" customHeight="1" x14ac:dyDescent="0.2">
      <c r="G500" s="2"/>
      <c r="K500" s="3"/>
      <c r="L500" s="3"/>
      <c r="M500" s="3"/>
      <c r="N500" s="3"/>
      <c r="O500" s="3"/>
      <c r="P500" s="3"/>
      <c r="Q500" s="3"/>
      <c r="R500" s="3"/>
      <c r="S500" s="3"/>
      <c r="T500" s="3"/>
      <c r="U500" s="3"/>
      <c r="AA500" s="1"/>
    </row>
    <row r="501" spans="7:27" ht="15.75" customHeight="1" x14ac:dyDescent="0.2">
      <c r="G501" s="2"/>
      <c r="K501" s="3"/>
      <c r="L501" s="3"/>
      <c r="M501" s="3"/>
      <c r="N501" s="3"/>
      <c r="O501" s="3"/>
      <c r="P501" s="3"/>
      <c r="Q501" s="3"/>
      <c r="R501" s="3"/>
      <c r="S501" s="3"/>
      <c r="T501" s="3"/>
      <c r="U501" s="3"/>
      <c r="AA501" s="1"/>
    </row>
    <row r="502" spans="7:27" ht="15.75" customHeight="1" x14ac:dyDescent="0.2">
      <c r="G502" s="2"/>
      <c r="K502" s="3"/>
      <c r="L502" s="3"/>
      <c r="M502" s="3"/>
      <c r="N502" s="3"/>
      <c r="O502" s="3"/>
      <c r="P502" s="3"/>
      <c r="Q502" s="3"/>
      <c r="R502" s="3"/>
      <c r="S502" s="3"/>
      <c r="T502" s="3"/>
      <c r="U502" s="3"/>
      <c r="AA502" s="1"/>
    </row>
    <row r="503" spans="7:27" ht="15.75" customHeight="1" x14ac:dyDescent="0.2">
      <c r="G503" s="2"/>
      <c r="K503" s="3"/>
      <c r="L503" s="3"/>
      <c r="M503" s="3"/>
      <c r="N503" s="3"/>
      <c r="O503" s="3"/>
      <c r="P503" s="3"/>
      <c r="Q503" s="3"/>
      <c r="R503" s="3"/>
      <c r="S503" s="3"/>
      <c r="T503" s="3"/>
      <c r="U503" s="3"/>
      <c r="AA503" s="1"/>
    </row>
    <row r="504" spans="7:27" ht="15.75" customHeight="1" x14ac:dyDescent="0.2">
      <c r="G504" s="2"/>
      <c r="K504" s="3"/>
      <c r="L504" s="3"/>
      <c r="M504" s="3"/>
      <c r="N504" s="3"/>
      <c r="O504" s="3"/>
      <c r="P504" s="3"/>
      <c r="Q504" s="3"/>
      <c r="R504" s="3"/>
      <c r="S504" s="3"/>
      <c r="T504" s="3"/>
      <c r="U504" s="3"/>
      <c r="AA504" s="1"/>
    </row>
    <row r="505" spans="7:27" ht="15.75" customHeight="1" x14ac:dyDescent="0.2">
      <c r="G505" s="2"/>
      <c r="K505" s="3"/>
      <c r="L505" s="3"/>
      <c r="M505" s="3"/>
      <c r="N505" s="3"/>
      <c r="O505" s="3"/>
      <c r="P505" s="3"/>
      <c r="Q505" s="3"/>
      <c r="R505" s="3"/>
      <c r="S505" s="3"/>
      <c r="T505" s="3"/>
      <c r="U505" s="3"/>
      <c r="AA505" s="1"/>
    </row>
    <row r="506" spans="7:27" ht="15.75" customHeight="1" x14ac:dyDescent="0.2">
      <c r="G506" s="2"/>
      <c r="K506" s="3"/>
      <c r="L506" s="3"/>
      <c r="M506" s="3"/>
      <c r="N506" s="3"/>
      <c r="O506" s="3"/>
      <c r="P506" s="3"/>
      <c r="Q506" s="3"/>
      <c r="R506" s="3"/>
      <c r="S506" s="3"/>
      <c r="T506" s="3"/>
      <c r="U506" s="3"/>
      <c r="AA506" s="1"/>
    </row>
    <row r="507" spans="7:27" ht="15.75" customHeight="1" x14ac:dyDescent="0.2">
      <c r="G507" s="2"/>
      <c r="K507" s="3"/>
      <c r="L507" s="3"/>
      <c r="M507" s="3"/>
      <c r="N507" s="3"/>
      <c r="O507" s="3"/>
      <c r="P507" s="3"/>
      <c r="Q507" s="3"/>
      <c r="R507" s="3"/>
      <c r="S507" s="3"/>
      <c r="T507" s="3"/>
      <c r="U507" s="3"/>
      <c r="AA507" s="1"/>
    </row>
    <row r="508" spans="7:27" ht="15.75" customHeight="1" x14ac:dyDescent="0.2">
      <c r="G508" s="2"/>
      <c r="K508" s="3"/>
      <c r="L508" s="3"/>
      <c r="M508" s="3"/>
      <c r="N508" s="3"/>
      <c r="O508" s="3"/>
      <c r="P508" s="3"/>
      <c r="Q508" s="3"/>
      <c r="R508" s="3"/>
      <c r="S508" s="3"/>
      <c r="T508" s="3"/>
      <c r="U508" s="3"/>
      <c r="AA508" s="1"/>
    </row>
    <row r="509" spans="7:27" ht="15.75" customHeight="1" x14ac:dyDescent="0.2">
      <c r="G509" s="2"/>
      <c r="K509" s="3"/>
      <c r="L509" s="3"/>
      <c r="M509" s="3"/>
      <c r="N509" s="3"/>
      <c r="O509" s="3"/>
      <c r="P509" s="3"/>
      <c r="Q509" s="3"/>
      <c r="R509" s="3"/>
      <c r="S509" s="3"/>
      <c r="T509" s="3"/>
      <c r="U509" s="3"/>
      <c r="AA509" s="1"/>
    </row>
    <row r="510" spans="7:27" ht="15.75" customHeight="1" x14ac:dyDescent="0.2">
      <c r="G510" s="2"/>
      <c r="K510" s="3"/>
      <c r="L510" s="3"/>
      <c r="M510" s="3"/>
      <c r="N510" s="3"/>
      <c r="O510" s="3"/>
      <c r="P510" s="3"/>
      <c r="Q510" s="3"/>
      <c r="R510" s="3"/>
      <c r="S510" s="3"/>
      <c r="T510" s="3"/>
      <c r="U510" s="3"/>
      <c r="AA510" s="1"/>
    </row>
    <row r="511" spans="7:27" ht="15.75" customHeight="1" x14ac:dyDescent="0.2">
      <c r="G511" s="2"/>
      <c r="K511" s="3"/>
      <c r="L511" s="3"/>
      <c r="M511" s="3"/>
      <c r="N511" s="3"/>
      <c r="O511" s="3"/>
      <c r="P511" s="3"/>
      <c r="Q511" s="3"/>
      <c r="R511" s="3"/>
      <c r="S511" s="3"/>
      <c r="T511" s="3"/>
      <c r="U511" s="3"/>
      <c r="AA511" s="1"/>
    </row>
    <row r="512" spans="7:27" ht="15.75" customHeight="1" x14ac:dyDescent="0.2">
      <c r="G512" s="2"/>
      <c r="K512" s="3"/>
      <c r="L512" s="3"/>
      <c r="M512" s="3"/>
      <c r="N512" s="3"/>
      <c r="O512" s="3"/>
      <c r="P512" s="3"/>
      <c r="Q512" s="3"/>
      <c r="R512" s="3"/>
      <c r="S512" s="3"/>
      <c r="T512" s="3"/>
      <c r="U512" s="3"/>
      <c r="AA512" s="1"/>
    </row>
    <row r="513" spans="7:27" ht="15.75" customHeight="1" x14ac:dyDescent="0.2">
      <c r="G513" s="2"/>
      <c r="K513" s="3"/>
      <c r="L513" s="3"/>
      <c r="M513" s="3"/>
      <c r="N513" s="3"/>
      <c r="O513" s="3"/>
      <c r="P513" s="3"/>
      <c r="Q513" s="3"/>
      <c r="R513" s="3"/>
      <c r="S513" s="3"/>
      <c r="T513" s="3"/>
      <c r="U513" s="3"/>
      <c r="AA513" s="1"/>
    </row>
    <row r="514" spans="7:27" ht="15.75" customHeight="1" x14ac:dyDescent="0.2">
      <c r="G514" s="2"/>
      <c r="K514" s="3"/>
      <c r="L514" s="3"/>
      <c r="M514" s="3"/>
      <c r="N514" s="3"/>
      <c r="O514" s="3"/>
      <c r="P514" s="3"/>
      <c r="Q514" s="3"/>
      <c r="R514" s="3"/>
      <c r="S514" s="3"/>
      <c r="T514" s="3"/>
      <c r="U514" s="3"/>
      <c r="AA514" s="1"/>
    </row>
    <row r="515" spans="7:27" ht="15.75" customHeight="1" x14ac:dyDescent="0.2">
      <c r="G515" s="2"/>
      <c r="K515" s="3"/>
      <c r="L515" s="3"/>
      <c r="M515" s="3"/>
      <c r="N515" s="3"/>
      <c r="O515" s="3"/>
      <c r="P515" s="3"/>
      <c r="Q515" s="3"/>
      <c r="R515" s="3"/>
      <c r="S515" s="3"/>
      <c r="T515" s="3"/>
      <c r="U515" s="3"/>
      <c r="AA515" s="1"/>
    </row>
    <row r="516" spans="7:27" ht="15.75" customHeight="1" x14ac:dyDescent="0.2">
      <c r="G516" s="2"/>
      <c r="K516" s="3"/>
      <c r="L516" s="3"/>
      <c r="M516" s="3"/>
      <c r="N516" s="3"/>
      <c r="O516" s="3"/>
      <c r="P516" s="3"/>
      <c r="Q516" s="3"/>
      <c r="R516" s="3"/>
      <c r="S516" s="3"/>
      <c r="T516" s="3"/>
      <c r="U516" s="3"/>
      <c r="AA516" s="1"/>
    </row>
    <row r="517" spans="7:27" ht="15.75" customHeight="1" x14ac:dyDescent="0.2">
      <c r="G517" s="2"/>
      <c r="K517" s="3"/>
      <c r="L517" s="3"/>
      <c r="M517" s="3"/>
      <c r="N517" s="3"/>
      <c r="O517" s="3"/>
      <c r="P517" s="3"/>
      <c r="Q517" s="3"/>
      <c r="R517" s="3"/>
      <c r="S517" s="3"/>
      <c r="T517" s="3"/>
      <c r="U517" s="3"/>
      <c r="AA517" s="1"/>
    </row>
    <row r="518" spans="7:27" ht="15.75" customHeight="1" x14ac:dyDescent="0.2">
      <c r="G518" s="2"/>
      <c r="K518" s="3"/>
      <c r="L518" s="3"/>
      <c r="M518" s="3"/>
      <c r="N518" s="3"/>
      <c r="O518" s="3"/>
      <c r="P518" s="3"/>
      <c r="Q518" s="3"/>
      <c r="R518" s="3"/>
      <c r="S518" s="3"/>
      <c r="T518" s="3"/>
      <c r="U518" s="3"/>
      <c r="AA518" s="1"/>
    </row>
    <row r="519" spans="7:27" ht="15.75" customHeight="1" x14ac:dyDescent="0.2">
      <c r="G519" s="2"/>
      <c r="K519" s="3"/>
      <c r="L519" s="3"/>
      <c r="M519" s="3"/>
      <c r="N519" s="3"/>
      <c r="O519" s="3"/>
      <c r="P519" s="3"/>
      <c r="Q519" s="3"/>
      <c r="R519" s="3"/>
      <c r="S519" s="3"/>
      <c r="T519" s="3"/>
      <c r="U519" s="3"/>
      <c r="AA519" s="1"/>
    </row>
    <row r="520" spans="7:27" ht="15.75" customHeight="1" x14ac:dyDescent="0.2">
      <c r="G520" s="2"/>
      <c r="K520" s="3"/>
      <c r="L520" s="3"/>
      <c r="M520" s="3"/>
      <c r="N520" s="3"/>
      <c r="O520" s="3"/>
      <c r="P520" s="3"/>
      <c r="Q520" s="3"/>
      <c r="R520" s="3"/>
      <c r="S520" s="3"/>
      <c r="T520" s="3"/>
      <c r="U520" s="3"/>
      <c r="AA520" s="1"/>
    </row>
    <row r="521" spans="7:27" ht="15.75" customHeight="1" x14ac:dyDescent="0.2">
      <c r="G521" s="2"/>
      <c r="K521" s="3"/>
      <c r="L521" s="3"/>
      <c r="M521" s="3"/>
      <c r="N521" s="3"/>
      <c r="O521" s="3"/>
      <c r="P521" s="3"/>
      <c r="Q521" s="3"/>
      <c r="R521" s="3"/>
      <c r="S521" s="3"/>
      <c r="T521" s="3"/>
      <c r="U521" s="3"/>
      <c r="AA521" s="1"/>
    </row>
    <row r="522" spans="7:27" ht="15.75" customHeight="1" x14ac:dyDescent="0.2">
      <c r="G522" s="2"/>
      <c r="K522" s="3"/>
      <c r="L522" s="3"/>
      <c r="M522" s="3"/>
      <c r="N522" s="3"/>
      <c r="O522" s="3"/>
      <c r="P522" s="3"/>
      <c r="Q522" s="3"/>
      <c r="R522" s="3"/>
      <c r="S522" s="3"/>
      <c r="T522" s="3"/>
      <c r="U522" s="3"/>
      <c r="AA522" s="1"/>
    </row>
    <row r="523" spans="7:27" ht="15.75" customHeight="1" x14ac:dyDescent="0.2">
      <c r="G523" s="2"/>
      <c r="K523" s="3"/>
      <c r="L523" s="3"/>
      <c r="M523" s="3"/>
      <c r="N523" s="3"/>
      <c r="O523" s="3"/>
      <c r="P523" s="3"/>
      <c r="Q523" s="3"/>
      <c r="R523" s="3"/>
      <c r="S523" s="3"/>
      <c r="T523" s="3"/>
      <c r="U523" s="3"/>
      <c r="AA523" s="1"/>
    </row>
    <row r="524" spans="7:27" ht="15.75" customHeight="1" x14ac:dyDescent="0.2">
      <c r="G524" s="2"/>
      <c r="K524" s="3"/>
      <c r="L524" s="3"/>
      <c r="M524" s="3"/>
      <c r="N524" s="3"/>
      <c r="O524" s="3"/>
      <c r="P524" s="3"/>
      <c r="Q524" s="3"/>
      <c r="R524" s="3"/>
      <c r="S524" s="3"/>
      <c r="T524" s="3"/>
      <c r="U524" s="3"/>
      <c r="AA524" s="1"/>
    </row>
    <row r="525" spans="7:27" ht="15.75" customHeight="1" x14ac:dyDescent="0.2">
      <c r="G525" s="2"/>
      <c r="K525" s="3"/>
      <c r="L525" s="3"/>
      <c r="M525" s="3"/>
      <c r="N525" s="3"/>
      <c r="O525" s="3"/>
      <c r="P525" s="3"/>
      <c r="Q525" s="3"/>
      <c r="R525" s="3"/>
      <c r="S525" s="3"/>
      <c r="T525" s="3"/>
      <c r="U525" s="3"/>
      <c r="AA525" s="1"/>
    </row>
    <row r="526" spans="7:27" ht="15.75" customHeight="1" x14ac:dyDescent="0.2">
      <c r="G526" s="2"/>
      <c r="K526" s="3"/>
      <c r="L526" s="3"/>
      <c r="M526" s="3"/>
      <c r="N526" s="3"/>
      <c r="O526" s="3"/>
      <c r="P526" s="3"/>
      <c r="Q526" s="3"/>
      <c r="R526" s="3"/>
      <c r="S526" s="3"/>
      <c r="T526" s="3"/>
      <c r="U526" s="3"/>
      <c r="AA526" s="1"/>
    </row>
    <row r="527" spans="7:27" ht="15.75" customHeight="1" x14ac:dyDescent="0.2">
      <c r="G527" s="2"/>
      <c r="K527" s="3"/>
      <c r="L527" s="3"/>
      <c r="M527" s="3"/>
      <c r="N527" s="3"/>
      <c r="O527" s="3"/>
      <c r="P527" s="3"/>
      <c r="Q527" s="3"/>
      <c r="R527" s="3"/>
      <c r="S527" s="3"/>
      <c r="T527" s="3"/>
      <c r="U527" s="3"/>
      <c r="AA527" s="1"/>
    </row>
    <row r="528" spans="7:27" ht="15.75" customHeight="1" x14ac:dyDescent="0.2">
      <c r="G528" s="2"/>
      <c r="K528" s="3"/>
      <c r="L528" s="3"/>
      <c r="M528" s="3"/>
      <c r="N528" s="3"/>
      <c r="O528" s="3"/>
      <c r="P528" s="3"/>
      <c r="Q528" s="3"/>
      <c r="R528" s="3"/>
      <c r="S528" s="3"/>
      <c r="T528" s="3"/>
      <c r="U528" s="3"/>
      <c r="AA528" s="1"/>
    </row>
    <row r="529" spans="7:27" ht="15.75" customHeight="1" x14ac:dyDescent="0.2">
      <c r="G529" s="2"/>
      <c r="K529" s="3"/>
      <c r="L529" s="3"/>
      <c r="M529" s="3"/>
      <c r="N529" s="3"/>
      <c r="O529" s="3"/>
      <c r="P529" s="3"/>
      <c r="Q529" s="3"/>
      <c r="R529" s="3"/>
      <c r="S529" s="3"/>
      <c r="T529" s="3"/>
      <c r="U529" s="3"/>
      <c r="AA529" s="1"/>
    </row>
    <row r="530" spans="7:27" ht="15.75" customHeight="1" x14ac:dyDescent="0.2">
      <c r="G530" s="2"/>
      <c r="K530" s="3"/>
      <c r="L530" s="3"/>
      <c r="M530" s="3"/>
      <c r="N530" s="3"/>
      <c r="O530" s="3"/>
      <c r="P530" s="3"/>
      <c r="Q530" s="3"/>
      <c r="R530" s="3"/>
      <c r="S530" s="3"/>
      <c r="T530" s="3"/>
      <c r="U530" s="3"/>
      <c r="AA530" s="1"/>
    </row>
    <row r="531" spans="7:27" ht="15.75" customHeight="1" x14ac:dyDescent="0.2">
      <c r="G531" s="2"/>
      <c r="K531" s="3"/>
      <c r="L531" s="3"/>
      <c r="M531" s="3"/>
      <c r="N531" s="3"/>
      <c r="O531" s="3"/>
      <c r="P531" s="3"/>
      <c r="Q531" s="3"/>
      <c r="R531" s="3"/>
      <c r="S531" s="3"/>
      <c r="T531" s="3"/>
      <c r="U531" s="3"/>
      <c r="AA531" s="1"/>
    </row>
    <row r="532" spans="7:27" ht="15.75" customHeight="1" x14ac:dyDescent="0.2">
      <c r="G532" s="2"/>
      <c r="K532" s="3"/>
      <c r="L532" s="3"/>
      <c r="M532" s="3"/>
      <c r="N532" s="3"/>
      <c r="O532" s="3"/>
      <c r="P532" s="3"/>
      <c r="Q532" s="3"/>
      <c r="R532" s="3"/>
      <c r="S532" s="3"/>
      <c r="T532" s="3"/>
      <c r="U532" s="3"/>
      <c r="AA532" s="1"/>
    </row>
    <row r="533" spans="7:27" ht="15.75" customHeight="1" x14ac:dyDescent="0.2">
      <c r="G533" s="2"/>
      <c r="K533" s="3"/>
      <c r="L533" s="3"/>
      <c r="M533" s="3"/>
      <c r="N533" s="3"/>
      <c r="O533" s="3"/>
      <c r="P533" s="3"/>
      <c r="Q533" s="3"/>
      <c r="R533" s="3"/>
      <c r="S533" s="3"/>
      <c r="T533" s="3"/>
      <c r="U533" s="3"/>
      <c r="AA533" s="1"/>
    </row>
    <row r="534" spans="7:27" ht="15.75" customHeight="1" x14ac:dyDescent="0.2">
      <c r="G534" s="2"/>
      <c r="K534" s="3"/>
      <c r="L534" s="3"/>
      <c r="M534" s="3"/>
      <c r="N534" s="3"/>
      <c r="O534" s="3"/>
      <c r="P534" s="3"/>
      <c r="Q534" s="3"/>
      <c r="R534" s="3"/>
      <c r="S534" s="3"/>
      <c r="T534" s="3"/>
      <c r="U534" s="3"/>
      <c r="AA534" s="1"/>
    </row>
    <row r="535" spans="7:27" ht="15.75" customHeight="1" x14ac:dyDescent="0.2">
      <c r="G535" s="2"/>
      <c r="K535" s="3"/>
      <c r="L535" s="3"/>
      <c r="M535" s="3"/>
      <c r="N535" s="3"/>
      <c r="O535" s="3"/>
      <c r="P535" s="3"/>
      <c r="Q535" s="3"/>
      <c r="R535" s="3"/>
      <c r="S535" s="3"/>
      <c r="T535" s="3"/>
      <c r="U535" s="3"/>
      <c r="AA535" s="1"/>
    </row>
    <row r="536" spans="7:27" ht="15.75" customHeight="1" x14ac:dyDescent="0.2">
      <c r="G536" s="2"/>
      <c r="K536" s="3"/>
      <c r="L536" s="3"/>
      <c r="M536" s="3"/>
      <c r="N536" s="3"/>
      <c r="O536" s="3"/>
      <c r="P536" s="3"/>
      <c r="Q536" s="3"/>
      <c r="R536" s="3"/>
      <c r="S536" s="3"/>
      <c r="T536" s="3"/>
      <c r="U536" s="3"/>
      <c r="AA536" s="1"/>
    </row>
    <row r="537" spans="7:27" ht="15.75" customHeight="1" x14ac:dyDescent="0.2">
      <c r="G537" s="2"/>
      <c r="K537" s="3"/>
      <c r="L537" s="3"/>
      <c r="M537" s="3"/>
      <c r="N537" s="3"/>
      <c r="O537" s="3"/>
      <c r="P537" s="3"/>
      <c r="Q537" s="3"/>
      <c r="R537" s="3"/>
      <c r="S537" s="3"/>
      <c r="T537" s="3"/>
      <c r="U537" s="3"/>
      <c r="AA537" s="1"/>
    </row>
    <row r="538" spans="7:27" ht="15.75" customHeight="1" x14ac:dyDescent="0.2">
      <c r="G538" s="2"/>
      <c r="K538" s="3"/>
      <c r="L538" s="3"/>
      <c r="M538" s="3"/>
      <c r="N538" s="3"/>
      <c r="O538" s="3"/>
      <c r="P538" s="3"/>
      <c r="Q538" s="3"/>
      <c r="R538" s="3"/>
      <c r="S538" s="3"/>
      <c r="T538" s="3"/>
      <c r="U538" s="3"/>
      <c r="AA538" s="1"/>
    </row>
    <row r="539" spans="7:27" ht="15.75" customHeight="1" x14ac:dyDescent="0.2">
      <c r="G539" s="2"/>
      <c r="K539" s="3"/>
      <c r="L539" s="3"/>
      <c r="M539" s="3"/>
      <c r="N539" s="3"/>
      <c r="O539" s="3"/>
      <c r="P539" s="3"/>
      <c r="Q539" s="3"/>
      <c r="R539" s="3"/>
      <c r="S539" s="3"/>
      <c r="T539" s="3"/>
      <c r="U539" s="3"/>
      <c r="AA539" s="1"/>
    </row>
    <row r="540" spans="7:27" ht="15.75" customHeight="1" x14ac:dyDescent="0.2">
      <c r="G540" s="2"/>
      <c r="K540" s="3"/>
      <c r="L540" s="3"/>
      <c r="M540" s="3"/>
      <c r="N540" s="3"/>
      <c r="O540" s="3"/>
      <c r="P540" s="3"/>
      <c r="Q540" s="3"/>
      <c r="R540" s="3"/>
      <c r="S540" s="3"/>
      <c r="T540" s="3"/>
      <c r="U540" s="3"/>
      <c r="AA540" s="1"/>
    </row>
    <row r="541" spans="7:27" ht="15.75" customHeight="1" x14ac:dyDescent="0.2">
      <c r="G541" s="2"/>
      <c r="K541" s="3"/>
      <c r="L541" s="3"/>
      <c r="M541" s="3"/>
      <c r="N541" s="3"/>
      <c r="O541" s="3"/>
      <c r="P541" s="3"/>
      <c r="Q541" s="3"/>
      <c r="R541" s="3"/>
      <c r="S541" s="3"/>
      <c r="T541" s="3"/>
      <c r="U541" s="3"/>
      <c r="AA541" s="1"/>
    </row>
    <row r="542" spans="7:27" ht="15.75" customHeight="1" x14ac:dyDescent="0.2">
      <c r="G542" s="2"/>
      <c r="K542" s="3"/>
      <c r="L542" s="3"/>
      <c r="M542" s="3"/>
      <c r="N542" s="3"/>
      <c r="O542" s="3"/>
      <c r="P542" s="3"/>
      <c r="Q542" s="3"/>
      <c r="R542" s="3"/>
      <c r="S542" s="3"/>
      <c r="T542" s="3"/>
      <c r="U542" s="3"/>
      <c r="AA542" s="1"/>
    </row>
    <row r="543" spans="7:27" ht="15.75" customHeight="1" x14ac:dyDescent="0.2">
      <c r="G543" s="2"/>
      <c r="K543" s="3"/>
      <c r="L543" s="3"/>
      <c r="M543" s="3"/>
      <c r="N543" s="3"/>
      <c r="O543" s="3"/>
      <c r="P543" s="3"/>
      <c r="Q543" s="3"/>
      <c r="R543" s="3"/>
      <c r="S543" s="3"/>
      <c r="T543" s="3"/>
      <c r="U543" s="3"/>
      <c r="AA543" s="1"/>
    </row>
    <row r="544" spans="7:27" ht="15.75" customHeight="1" x14ac:dyDescent="0.2">
      <c r="G544" s="2"/>
      <c r="K544" s="3"/>
      <c r="L544" s="3"/>
      <c r="M544" s="3"/>
      <c r="N544" s="3"/>
      <c r="O544" s="3"/>
      <c r="P544" s="3"/>
      <c r="Q544" s="3"/>
      <c r="R544" s="3"/>
      <c r="S544" s="3"/>
      <c r="T544" s="3"/>
      <c r="U544" s="3"/>
      <c r="AA544" s="1"/>
    </row>
    <row r="545" spans="7:27" ht="15.75" customHeight="1" x14ac:dyDescent="0.2">
      <c r="G545" s="2"/>
      <c r="K545" s="3"/>
      <c r="L545" s="3"/>
      <c r="M545" s="3"/>
      <c r="N545" s="3"/>
      <c r="O545" s="3"/>
      <c r="P545" s="3"/>
      <c r="Q545" s="3"/>
      <c r="R545" s="3"/>
      <c r="S545" s="3"/>
      <c r="T545" s="3"/>
      <c r="U545" s="3"/>
      <c r="AA545" s="1"/>
    </row>
    <row r="546" spans="7:27" ht="15.75" customHeight="1" x14ac:dyDescent="0.2">
      <c r="G546" s="2"/>
      <c r="K546" s="3"/>
      <c r="L546" s="3"/>
      <c r="M546" s="3"/>
      <c r="N546" s="3"/>
      <c r="O546" s="3"/>
      <c r="P546" s="3"/>
      <c r="Q546" s="3"/>
      <c r="R546" s="3"/>
      <c r="S546" s="3"/>
      <c r="T546" s="3"/>
      <c r="U546" s="3"/>
      <c r="AA546" s="1"/>
    </row>
    <row r="547" spans="7:27" ht="15.75" customHeight="1" x14ac:dyDescent="0.2">
      <c r="G547" s="2"/>
      <c r="K547" s="3"/>
      <c r="L547" s="3"/>
      <c r="M547" s="3"/>
      <c r="N547" s="3"/>
      <c r="O547" s="3"/>
      <c r="P547" s="3"/>
      <c r="Q547" s="3"/>
      <c r="R547" s="3"/>
      <c r="S547" s="3"/>
      <c r="T547" s="3"/>
      <c r="U547" s="3"/>
      <c r="AA547" s="1"/>
    </row>
    <row r="548" spans="7:27" ht="15.75" customHeight="1" x14ac:dyDescent="0.2">
      <c r="G548" s="2"/>
      <c r="K548" s="3"/>
      <c r="L548" s="3"/>
      <c r="M548" s="3"/>
      <c r="N548" s="3"/>
      <c r="O548" s="3"/>
      <c r="P548" s="3"/>
      <c r="Q548" s="3"/>
      <c r="R548" s="3"/>
      <c r="S548" s="3"/>
      <c r="T548" s="3"/>
      <c r="U548" s="3"/>
      <c r="AA548" s="1"/>
    </row>
    <row r="549" spans="7:27" ht="15.75" customHeight="1" x14ac:dyDescent="0.2">
      <c r="G549" s="2"/>
      <c r="K549" s="3"/>
      <c r="L549" s="3"/>
      <c r="M549" s="3"/>
      <c r="N549" s="3"/>
      <c r="O549" s="3"/>
      <c r="P549" s="3"/>
      <c r="Q549" s="3"/>
      <c r="R549" s="3"/>
      <c r="S549" s="3"/>
      <c r="T549" s="3"/>
      <c r="U549" s="3"/>
      <c r="AA549" s="1"/>
    </row>
    <row r="550" spans="7:27" ht="15.75" customHeight="1" x14ac:dyDescent="0.2">
      <c r="G550" s="2"/>
      <c r="K550" s="3"/>
      <c r="L550" s="3"/>
      <c r="M550" s="3"/>
      <c r="N550" s="3"/>
      <c r="O550" s="3"/>
      <c r="P550" s="3"/>
      <c r="Q550" s="3"/>
      <c r="R550" s="3"/>
      <c r="S550" s="3"/>
      <c r="T550" s="3"/>
      <c r="U550" s="3"/>
      <c r="AA550" s="1"/>
    </row>
    <row r="551" spans="7:27" ht="15.75" customHeight="1" x14ac:dyDescent="0.2">
      <c r="G551" s="2"/>
      <c r="K551" s="3"/>
      <c r="L551" s="3"/>
      <c r="M551" s="3"/>
      <c r="N551" s="3"/>
      <c r="O551" s="3"/>
      <c r="P551" s="3"/>
      <c r="Q551" s="3"/>
      <c r="R551" s="3"/>
      <c r="S551" s="3"/>
      <c r="T551" s="3"/>
      <c r="U551" s="3"/>
      <c r="AA551" s="1"/>
    </row>
    <row r="552" spans="7:27" ht="15.75" customHeight="1" x14ac:dyDescent="0.2">
      <c r="G552" s="2"/>
      <c r="K552" s="3"/>
      <c r="L552" s="3"/>
      <c r="M552" s="3"/>
      <c r="N552" s="3"/>
      <c r="O552" s="3"/>
      <c r="P552" s="3"/>
      <c r="Q552" s="3"/>
      <c r="R552" s="3"/>
      <c r="S552" s="3"/>
      <c r="T552" s="3"/>
      <c r="U552" s="3"/>
      <c r="AA552" s="1"/>
    </row>
    <row r="553" spans="7:27" ht="15.75" customHeight="1" x14ac:dyDescent="0.2">
      <c r="G553" s="2"/>
      <c r="K553" s="3"/>
      <c r="L553" s="3"/>
      <c r="M553" s="3"/>
      <c r="N553" s="3"/>
      <c r="O553" s="3"/>
      <c r="P553" s="3"/>
      <c r="Q553" s="3"/>
      <c r="R553" s="3"/>
      <c r="S553" s="3"/>
      <c r="T553" s="3"/>
      <c r="U553" s="3"/>
      <c r="AA553" s="1"/>
    </row>
    <row r="554" spans="7:27" ht="15.75" customHeight="1" x14ac:dyDescent="0.2">
      <c r="G554" s="2"/>
      <c r="K554" s="3"/>
      <c r="L554" s="3"/>
      <c r="M554" s="3"/>
      <c r="N554" s="3"/>
      <c r="O554" s="3"/>
      <c r="P554" s="3"/>
      <c r="Q554" s="3"/>
      <c r="R554" s="3"/>
      <c r="S554" s="3"/>
      <c r="T554" s="3"/>
      <c r="U554" s="3"/>
      <c r="AA554" s="1"/>
    </row>
    <row r="555" spans="7:27" ht="15.75" customHeight="1" x14ac:dyDescent="0.2">
      <c r="G555" s="2"/>
      <c r="K555" s="3"/>
      <c r="L555" s="3"/>
      <c r="M555" s="3"/>
      <c r="N555" s="3"/>
      <c r="O555" s="3"/>
      <c r="P555" s="3"/>
      <c r="Q555" s="3"/>
      <c r="R555" s="3"/>
      <c r="S555" s="3"/>
      <c r="T555" s="3"/>
      <c r="U555" s="3"/>
      <c r="AA555" s="1"/>
    </row>
    <row r="556" spans="7:27" ht="15.75" customHeight="1" x14ac:dyDescent="0.2">
      <c r="G556" s="2"/>
      <c r="K556" s="3"/>
      <c r="L556" s="3"/>
      <c r="M556" s="3"/>
      <c r="N556" s="3"/>
      <c r="O556" s="3"/>
      <c r="P556" s="3"/>
      <c r="Q556" s="3"/>
      <c r="R556" s="3"/>
      <c r="S556" s="3"/>
      <c r="T556" s="3"/>
      <c r="U556" s="3"/>
      <c r="AA556" s="1"/>
    </row>
    <row r="557" spans="7:27" ht="15.75" customHeight="1" x14ac:dyDescent="0.2">
      <c r="G557" s="2"/>
      <c r="K557" s="3"/>
      <c r="L557" s="3"/>
      <c r="M557" s="3"/>
      <c r="N557" s="3"/>
      <c r="O557" s="3"/>
      <c r="P557" s="3"/>
      <c r="Q557" s="3"/>
      <c r="R557" s="3"/>
      <c r="S557" s="3"/>
      <c r="T557" s="3"/>
      <c r="U557" s="3"/>
      <c r="AA557" s="1"/>
    </row>
    <row r="558" spans="7:27" ht="15.75" customHeight="1" x14ac:dyDescent="0.2">
      <c r="G558" s="2"/>
      <c r="K558" s="3"/>
      <c r="L558" s="3"/>
      <c r="M558" s="3"/>
      <c r="N558" s="3"/>
      <c r="O558" s="3"/>
      <c r="P558" s="3"/>
      <c r="Q558" s="3"/>
      <c r="R558" s="3"/>
      <c r="S558" s="3"/>
      <c r="T558" s="3"/>
      <c r="U558" s="3"/>
      <c r="AA558" s="1"/>
    </row>
    <row r="559" spans="7:27" ht="15.75" customHeight="1" x14ac:dyDescent="0.2">
      <c r="G559" s="2"/>
      <c r="K559" s="3"/>
      <c r="L559" s="3"/>
      <c r="M559" s="3"/>
      <c r="N559" s="3"/>
      <c r="O559" s="3"/>
      <c r="P559" s="3"/>
      <c r="Q559" s="3"/>
      <c r="R559" s="3"/>
      <c r="S559" s="3"/>
      <c r="T559" s="3"/>
      <c r="U559" s="3"/>
      <c r="AA559" s="1"/>
    </row>
    <row r="560" spans="7:27" ht="15.75" customHeight="1" x14ac:dyDescent="0.2">
      <c r="G560" s="2"/>
      <c r="K560" s="3"/>
      <c r="L560" s="3"/>
      <c r="M560" s="3"/>
      <c r="N560" s="3"/>
      <c r="O560" s="3"/>
      <c r="P560" s="3"/>
      <c r="Q560" s="3"/>
      <c r="R560" s="3"/>
      <c r="S560" s="3"/>
      <c r="T560" s="3"/>
      <c r="U560" s="3"/>
      <c r="AA560" s="1"/>
    </row>
    <row r="561" spans="7:27" ht="15.75" customHeight="1" x14ac:dyDescent="0.2">
      <c r="G561" s="2"/>
      <c r="K561" s="3"/>
      <c r="L561" s="3"/>
      <c r="M561" s="3"/>
      <c r="N561" s="3"/>
      <c r="O561" s="3"/>
      <c r="P561" s="3"/>
      <c r="Q561" s="3"/>
      <c r="R561" s="3"/>
      <c r="S561" s="3"/>
      <c r="T561" s="3"/>
      <c r="U561" s="3"/>
      <c r="AA561" s="1"/>
    </row>
    <row r="562" spans="7:27" ht="15.75" customHeight="1" x14ac:dyDescent="0.2">
      <c r="G562" s="2"/>
      <c r="K562" s="3"/>
      <c r="L562" s="3"/>
      <c r="M562" s="3"/>
      <c r="N562" s="3"/>
      <c r="O562" s="3"/>
      <c r="P562" s="3"/>
      <c r="Q562" s="3"/>
      <c r="R562" s="3"/>
      <c r="S562" s="3"/>
      <c r="T562" s="3"/>
      <c r="U562" s="3"/>
      <c r="AA562" s="1"/>
    </row>
    <row r="563" spans="7:27" ht="15.75" customHeight="1" x14ac:dyDescent="0.2">
      <c r="G563" s="2"/>
      <c r="K563" s="3"/>
      <c r="L563" s="3"/>
      <c r="M563" s="3"/>
      <c r="N563" s="3"/>
      <c r="O563" s="3"/>
      <c r="P563" s="3"/>
      <c r="Q563" s="3"/>
      <c r="R563" s="3"/>
      <c r="S563" s="3"/>
      <c r="T563" s="3"/>
      <c r="U563" s="3"/>
      <c r="AA563" s="1"/>
    </row>
    <row r="564" spans="7:27" ht="15.75" customHeight="1" x14ac:dyDescent="0.2">
      <c r="G564" s="2"/>
      <c r="K564" s="3"/>
      <c r="L564" s="3"/>
      <c r="M564" s="3"/>
      <c r="N564" s="3"/>
      <c r="O564" s="3"/>
      <c r="P564" s="3"/>
      <c r="Q564" s="3"/>
      <c r="R564" s="3"/>
      <c r="S564" s="3"/>
      <c r="T564" s="3"/>
      <c r="U564" s="3"/>
      <c r="AA564" s="1"/>
    </row>
    <row r="565" spans="7:27" ht="15.75" customHeight="1" x14ac:dyDescent="0.2">
      <c r="G565" s="2"/>
      <c r="K565" s="3"/>
      <c r="L565" s="3"/>
      <c r="M565" s="3"/>
      <c r="N565" s="3"/>
      <c r="O565" s="3"/>
      <c r="P565" s="3"/>
      <c r="Q565" s="3"/>
      <c r="R565" s="3"/>
      <c r="S565" s="3"/>
      <c r="T565" s="3"/>
      <c r="U565" s="3"/>
      <c r="AA565" s="1"/>
    </row>
    <row r="566" spans="7:27" ht="15.75" customHeight="1" x14ac:dyDescent="0.2">
      <c r="G566" s="2"/>
      <c r="K566" s="3"/>
      <c r="L566" s="3"/>
      <c r="M566" s="3"/>
      <c r="N566" s="3"/>
      <c r="O566" s="3"/>
      <c r="P566" s="3"/>
      <c r="Q566" s="3"/>
      <c r="R566" s="3"/>
      <c r="S566" s="3"/>
      <c r="T566" s="3"/>
      <c r="U566" s="3"/>
      <c r="AA566" s="1"/>
    </row>
    <row r="567" spans="7:27" ht="15.75" customHeight="1" x14ac:dyDescent="0.2">
      <c r="G567" s="2"/>
      <c r="K567" s="3"/>
      <c r="L567" s="3"/>
      <c r="M567" s="3"/>
      <c r="N567" s="3"/>
      <c r="O567" s="3"/>
      <c r="P567" s="3"/>
      <c r="Q567" s="3"/>
      <c r="R567" s="3"/>
      <c r="S567" s="3"/>
      <c r="T567" s="3"/>
      <c r="U567" s="3"/>
      <c r="AA567" s="1"/>
    </row>
    <row r="568" spans="7:27" ht="15.75" customHeight="1" x14ac:dyDescent="0.2">
      <c r="G568" s="2"/>
      <c r="K568" s="3"/>
      <c r="L568" s="3"/>
      <c r="M568" s="3"/>
      <c r="N568" s="3"/>
      <c r="O568" s="3"/>
      <c r="P568" s="3"/>
      <c r="Q568" s="3"/>
      <c r="R568" s="3"/>
      <c r="S568" s="3"/>
      <c r="T568" s="3"/>
      <c r="U568" s="3"/>
      <c r="AA568" s="1"/>
    </row>
    <row r="569" spans="7:27" ht="15.75" customHeight="1" x14ac:dyDescent="0.2">
      <c r="G569" s="2"/>
      <c r="K569" s="3"/>
      <c r="L569" s="3"/>
      <c r="M569" s="3"/>
      <c r="N569" s="3"/>
      <c r="O569" s="3"/>
      <c r="P569" s="3"/>
      <c r="Q569" s="3"/>
      <c r="R569" s="3"/>
      <c r="S569" s="3"/>
      <c r="T569" s="3"/>
      <c r="U569" s="3"/>
      <c r="AA569" s="1"/>
    </row>
    <row r="570" spans="7:27" ht="15.75" customHeight="1" x14ac:dyDescent="0.2">
      <c r="G570" s="2"/>
      <c r="K570" s="3"/>
      <c r="L570" s="3"/>
      <c r="M570" s="3"/>
      <c r="N570" s="3"/>
      <c r="O570" s="3"/>
      <c r="P570" s="3"/>
      <c r="Q570" s="3"/>
      <c r="R570" s="3"/>
      <c r="S570" s="3"/>
      <c r="T570" s="3"/>
      <c r="U570" s="3"/>
      <c r="AA570" s="1"/>
    </row>
    <row r="571" spans="7:27" ht="15.75" customHeight="1" x14ac:dyDescent="0.2">
      <c r="G571" s="2"/>
      <c r="K571" s="3"/>
      <c r="L571" s="3"/>
      <c r="M571" s="3"/>
      <c r="N571" s="3"/>
      <c r="O571" s="3"/>
      <c r="P571" s="3"/>
      <c r="Q571" s="3"/>
      <c r="R571" s="3"/>
      <c r="S571" s="3"/>
      <c r="T571" s="3"/>
      <c r="U571" s="3"/>
      <c r="AA571" s="1"/>
    </row>
    <row r="572" spans="7:27" ht="15.75" customHeight="1" x14ac:dyDescent="0.2">
      <c r="G572" s="2"/>
      <c r="K572" s="3"/>
      <c r="L572" s="3"/>
      <c r="M572" s="3"/>
      <c r="N572" s="3"/>
      <c r="O572" s="3"/>
      <c r="P572" s="3"/>
      <c r="Q572" s="3"/>
      <c r="R572" s="3"/>
      <c r="S572" s="3"/>
      <c r="T572" s="3"/>
      <c r="U572" s="3"/>
      <c r="AA572" s="1"/>
    </row>
    <row r="573" spans="7:27" ht="15.75" customHeight="1" x14ac:dyDescent="0.2">
      <c r="G573" s="2"/>
      <c r="K573" s="3"/>
      <c r="L573" s="3"/>
      <c r="M573" s="3"/>
      <c r="N573" s="3"/>
      <c r="O573" s="3"/>
      <c r="P573" s="3"/>
      <c r="Q573" s="3"/>
      <c r="R573" s="3"/>
      <c r="S573" s="3"/>
      <c r="T573" s="3"/>
      <c r="U573" s="3"/>
      <c r="AA573" s="1"/>
    </row>
    <row r="574" spans="7:27" ht="15.75" customHeight="1" x14ac:dyDescent="0.2">
      <c r="G574" s="2"/>
      <c r="K574" s="3"/>
      <c r="L574" s="3"/>
      <c r="M574" s="3"/>
      <c r="N574" s="3"/>
      <c r="O574" s="3"/>
      <c r="P574" s="3"/>
      <c r="Q574" s="3"/>
      <c r="R574" s="3"/>
      <c r="S574" s="3"/>
      <c r="T574" s="3"/>
      <c r="U574" s="3"/>
      <c r="AA574" s="1"/>
    </row>
    <row r="575" spans="7:27" ht="15.75" customHeight="1" x14ac:dyDescent="0.2">
      <c r="G575" s="2"/>
      <c r="K575" s="3"/>
      <c r="L575" s="3"/>
      <c r="M575" s="3"/>
      <c r="N575" s="3"/>
      <c r="O575" s="3"/>
      <c r="P575" s="3"/>
      <c r="Q575" s="3"/>
      <c r="R575" s="3"/>
      <c r="S575" s="3"/>
      <c r="T575" s="3"/>
      <c r="U575" s="3"/>
      <c r="AA575" s="1"/>
    </row>
    <row r="576" spans="7:27" ht="15.75" customHeight="1" x14ac:dyDescent="0.2">
      <c r="G576" s="2"/>
      <c r="K576" s="3"/>
      <c r="L576" s="3"/>
      <c r="M576" s="3"/>
      <c r="N576" s="3"/>
      <c r="O576" s="3"/>
      <c r="P576" s="3"/>
      <c r="Q576" s="3"/>
      <c r="R576" s="3"/>
      <c r="S576" s="3"/>
      <c r="T576" s="3"/>
      <c r="U576" s="3"/>
      <c r="AA576" s="1"/>
    </row>
    <row r="577" spans="7:27" ht="15.75" customHeight="1" x14ac:dyDescent="0.2">
      <c r="G577" s="2"/>
      <c r="K577" s="3"/>
      <c r="L577" s="3"/>
      <c r="M577" s="3"/>
      <c r="N577" s="3"/>
      <c r="O577" s="3"/>
      <c r="P577" s="3"/>
      <c r="Q577" s="3"/>
      <c r="R577" s="3"/>
      <c r="S577" s="3"/>
      <c r="T577" s="3"/>
      <c r="U577" s="3"/>
      <c r="AA577" s="1"/>
    </row>
    <row r="578" spans="7:27" ht="15.75" customHeight="1" x14ac:dyDescent="0.2">
      <c r="G578" s="2"/>
      <c r="K578" s="3"/>
      <c r="L578" s="3"/>
      <c r="M578" s="3"/>
      <c r="N578" s="3"/>
      <c r="O578" s="3"/>
      <c r="P578" s="3"/>
      <c r="Q578" s="3"/>
      <c r="R578" s="3"/>
      <c r="S578" s="3"/>
      <c r="T578" s="3"/>
      <c r="U578" s="3"/>
      <c r="AA578" s="1"/>
    </row>
    <row r="579" spans="7:27" ht="15.75" customHeight="1" x14ac:dyDescent="0.2">
      <c r="G579" s="2"/>
      <c r="K579" s="3"/>
      <c r="L579" s="3"/>
      <c r="M579" s="3"/>
      <c r="N579" s="3"/>
      <c r="O579" s="3"/>
      <c r="P579" s="3"/>
      <c r="Q579" s="3"/>
      <c r="R579" s="3"/>
      <c r="S579" s="3"/>
      <c r="T579" s="3"/>
      <c r="U579" s="3"/>
      <c r="AA579" s="1"/>
    </row>
    <row r="580" spans="7:27" ht="15.75" customHeight="1" x14ac:dyDescent="0.2">
      <c r="G580" s="2"/>
      <c r="K580" s="3"/>
      <c r="L580" s="3"/>
      <c r="M580" s="3"/>
      <c r="N580" s="3"/>
      <c r="O580" s="3"/>
      <c r="P580" s="3"/>
      <c r="Q580" s="3"/>
      <c r="R580" s="3"/>
      <c r="S580" s="3"/>
      <c r="T580" s="3"/>
      <c r="U580" s="3"/>
      <c r="AA580" s="1"/>
    </row>
    <row r="581" spans="7:27" ht="15.75" customHeight="1" x14ac:dyDescent="0.2">
      <c r="G581" s="2"/>
      <c r="K581" s="3"/>
      <c r="L581" s="3"/>
      <c r="M581" s="3"/>
      <c r="N581" s="3"/>
      <c r="O581" s="3"/>
      <c r="P581" s="3"/>
      <c r="Q581" s="3"/>
      <c r="R581" s="3"/>
      <c r="S581" s="3"/>
      <c r="T581" s="3"/>
      <c r="U581" s="3"/>
      <c r="AA581" s="1"/>
    </row>
    <row r="582" spans="7:27" ht="15.75" customHeight="1" x14ac:dyDescent="0.2">
      <c r="G582" s="2"/>
      <c r="K582" s="3"/>
      <c r="L582" s="3"/>
      <c r="M582" s="3"/>
      <c r="N582" s="3"/>
      <c r="O582" s="3"/>
      <c r="P582" s="3"/>
      <c r="Q582" s="3"/>
      <c r="R582" s="3"/>
      <c r="S582" s="3"/>
      <c r="T582" s="3"/>
      <c r="U582" s="3"/>
      <c r="AA582" s="1"/>
    </row>
    <row r="583" spans="7:27" ht="15.75" customHeight="1" x14ac:dyDescent="0.2">
      <c r="G583" s="2"/>
      <c r="K583" s="3"/>
      <c r="L583" s="3"/>
      <c r="M583" s="3"/>
      <c r="N583" s="3"/>
      <c r="O583" s="3"/>
      <c r="P583" s="3"/>
      <c r="Q583" s="3"/>
      <c r="R583" s="3"/>
      <c r="S583" s="3"/>
      <c r="T583" s="3"/>
      <c r="U583" s="3"/>
      <c r="AA583" s="1"/>
    </row>
    <row r="584" spans="7:27" ht="15.75" customHeight="1" x14ac:dyDescent="0.2">
      <c r="G584" s="2"/>
      <c r="K584" s="3"/>
      <c r="L584" s="3"/>
      <c r="M584" s="3"/>
      <c r="N584" s="3"/>
      <c r="O584" s="3"/>
      <c r="P584" s="3"/>
      <c r="Q584" s="3"/>
      <c r="R584" s="3"/>
      <c r="S584" s="3"/>
      <c r="T584" s="3"/>
      <c r="U584" s="3"/>
      <c r="AA584" s="1"/>
    </row>
    <row r="585" spans="7:27" ht="15.75" customHeight="1" x14ac:dyDescent="0.2">
      <c r="G585" s="2"/>
      <c r="K585" s="3"/>
      <c r="L585" s="3"/>
      <c r="M585" s="3"/>
      <c r="N585" s="3"/>
      <c r="O585" s="3"/>
      <c r="P585" s="3"/>
      <c r="Q585" s="3"/>
      <c r="R585" s="3"/>
      <c r="S585" s="3"/>
      <c r="T585" s="3"/>
      <c r="U585" s="3"/>
      <c r="AA585" s="1"/>
    </row>
    <row r="586" spans="7:27" ht="15.75" customHeight="1" x14ac:dyDescent="0.2">
      <c r="G586" s="2"/>
      <c r="K586" s="3"/>
      <c r="L586" s="3"/>
      <c r="M586" s="3"/>
      <c r="N586" s="3"/>
      <c r="O586" s="3"/>
      <c r="P586" s="3"/>
      <c r="Q586" s="3"/>
      <c r="R586" s="3"/>
      <c r="S586" s="3"/>
      <c r="T586" s="3"/>
      <c r="U586" s="3"/>
      <c r="AA586" s="1"/>
    </row>
    <row r="587" spans="7:27" ht="15.75" customHeight="1" x14ac:dyDescent="0.2">
      <c r="G587" s="2"/>
      <c r="K587" s="3"/>
      <c r="L587" s="3"/>
      <c r="M587" s="3"/>
      <c r="N587" s="3"/>
      <c r="O587" s="3"/>
      <c r="P587" s="3"/>
      <c r="Q587" s="3"/>
      <c r="R587" s="3"/>
      <c r="S587" s="3"/>
      <c r="T587" s="3"/>
      <c r="U587" s="3"/>
      <c r="AA587" s="1"/>
    </row>
    <row r="588" spans="7:27" ht="15.75" customHeight="1" x14ac:dyDescent="0.2">
      <c r="G588" s="2"/>
      <c r="K588" s="3"/>
      <c r="L588" s="3"/>
      <c r="M588" s="3"/>
      <c r="N588" s="3"/>
      <c r="O588" s="3"/>
      <c r="P588" s="3"/>
      <c r="Q588" s="3"/>
      <c r="R588" s="3"/>
      <c r="S588" s="3"/>
      <c r="T588" s="3"/>
      <c r="U588" s="3"/>
      <c r="AA588" s="1"/>
    </row>
    <row r="589" spans="7:27" ht="15.75" customHeight="1" x14ac:dyDescent="0.2">
      <c r="G589" s="2"/>
      <c r="K589" s="3"/>
      <c r="L589" s="3"/>
      <c r="M589" s="3"/>
      <c r="N589" s="3"/>
      <c r="O589" s="3"/>
      <c r="P589" s="3"/>
      <c r="Q589" s="3"/>
      <c r="R589" s="3"/>
      <c r="S589" s="3"/>
      <c r="T589" s="3"/>
      <c r="U589" s="3"/>
      <c r="AA589" s="1"/>
    </row>
    <row r="590" spans="7:27" ht="15.75" customHeight="1" x14ac:dyDescent="0.2">
      <c r="G590" s="2"/>
      <c r="K590" s="3"/>
      <c r="L590" s="3"/>
      <c r="M590" s="3"/>
      <c r="N590" s="3"/>
      <c r="O590" s="3"/>
      <c r="P590" s="3"/>
      <c r="Q590" s="3"/>
      <c r="R590" s="3"/>
      <c r="S590" s="3"/>
      <c r="T590" s="3"/>
      <c r="U590" s="3"/>
      <c r="AA590" s="1"/>
    </row>
    <row r="591" spans="7:27" ht="15.75" customHeight="1" x14ac:dyDescent="0.2">
      <c r="G591" s="2"/>
      <c r="K591" s="3"/>
      <c r="L591" s="3"/>
      <c r="M591" s="3"/>
      <c r="N591" s="3"/>
      <c r="O591" s="3"/>
      <c r="P591" s="3"/>
      <c r="Q591" s="3"/>
      <c r="R591" s="3"/>
      <c r="S591" s="3"/>
      <c r="T591" s="3"/>
      <c r="U591" s="3"/>
      <c r="AA591" s="1"/>
    </row>
    <row r="592" spans="7:27" ht="15.75" customHeight="1" x14ac:dyDescent="0.2">
      <c r="G592" s="2"/>
      <c r="K592" s="3"/>
      <c r="L592" s="3"/>
      <c r="M592" s="3"/>
      <c r="N592" s="3"/>
      <c r="O592" s="3"/>
      <c r="P592" s="3"/>
      <c r="Q592" s="3"/>
      <c r="R592" s="3"/>
      <c r="S592" s="3"/>
      <c r="T592" s="3"/>
      <c r="U592" s="3"/>
      <c r="AA592" s="1"/>
    </row>
    <row r="593" spans="7:27" ht="15.75" customHeight="1" x14ac:dyDescent="0.2">
      <c r="G593" s="2"/>
      <c r="K593" s="3"/>
      <c r="L593" s="3"/>
      <c r="M593" s="3"/>
      <c r="N593" s="3"/>
      <c r="O593" s="3"/>
      <c r="P593" s="3"/>
      <c r="Q593" s="3"/>
      <c r="R593" s="3"/>
      <c r="S593" s="3"/>
      <c r="T593" s="3"/>
      <c r="U593" s="3"/>
      <c r="AA593" s="1"/>
    </row>
    <row r="594" spans="7:27" ht="15.75" customHeight="1" x14ac:dyDescent="0.2">
      <c r="G594" s="2"/>
      <c r="K594" s="3"/>
      <c r="L594" s="3"/>
      <c r="M594" s="3"/>
      <c r="N594" s="3"/>
      <c r="O594" s="3"/>
      <c r="P594" s="3"/>
      <c r="Q594" s="3"/>
      <c r="R594" s="3"/>
      <c r="S594" s="3"/>
      <c r="T594" s="3"/>
      <c r="U594" s="3"/>
      <c r="AA594" s="1"/>
    </row>
    <row r="595" spans="7:27" ht="15.75" customHeight="1" x14ac:dyDescent="0.2">
      <c r="G595" s="2"/>
      <c r="K595" s="3"/>
      <c r="L595" s="3"/>
      <c r="M595" s="3"/>
      <c r="N595" s="3"/>
      <c r="O595" s="3"/>
      <c r="P595" s="3"/>
      <c r="Q595" s="3"/>
      <c r="R595" s="3"/>
      <c r="S595" s="3"/>
      <c r="T595" s="3"/>
      <c r="U595" s="3"/>
      <c r="AA595" s="1"/>
    </row>
    <row r="596" spans="7:27" ht="15.75" customHeight="1" x14ac:dyDescent="0.2">
      <c r="G596" s="2"/>
      <c r="K596" s="3"/>
      <c r="L596" s="3"/>
      <c r="M596" s="3"/>
      <c r="N596" s="3"/>
      <c r="O596" s="3"/>
      <c r="P596" s="3"/>
      <c r="Q596" s="3"/>
      <c r="R596" s="3"/>
      <c r="S596" s="3"/>
      <c r="T596" s="3"/>
      <c r="U596" s="3"/>
      <c r="AA596" s="1"/>
    </row>
    <row r="597" spans="7:27" ht="15.75" customHeight="1" x14ac:dyDescent="0.2">
      <c r="G597" s="2"/>
      <c r="K597" s="3"/>
      <c r="L597" s="3"/>
      <c r="M597" s="3"/>
      <c r="N597" s="3"/>
      <c r="O597" s="3"/>
      <c r="P597" s="3"/>
      <c r="Q597" s="3"/>
      <c r="R597" s="3"/>
      <c r="S597" s="3"/>
      <c r="T597" s="3"/>
      <c r="U597" s="3"/>
      <c r="AA597" s="1"/>
    </row>
    <row r="598" spans="7:27" ht="15.75" customHeight="1" x14ac:dyDescent="0.2">
      <c r="G598" s="2"/>
      <c r="K598" s="3"/>
      <c r="L598" s="3"/>
      <c r="M598" s="3"/>
      <c r="N598" s="3"/>
      <c r="O598" s="3"/>
      <c r="P598" s="3"/>
      <c r="Q598" s="3"/>
      <c r="R598" s="3"/>
      <c r="S598" s="3"/>
      <c r="T598" s="3"/>
      <c r="U598" s="3"/>
      <c r="AA598" s="1"/>
    </row>
    <row r="599" spans="7:27" ht="15.75" customHeight="1" x14ac:dyDescent="0.2">
      <c r="G599" s="2"/>
      <c r="K599" s="3"/>
      <c r="L599" s="3"/>
      <c r="M599" s="3"/>
      <c r="N599" s="3"/>
      <c r="O599" s="3"/>
      <c r="P599" s="3"/>
      <c r="Q599" s="3"/>
      <c r="R599" s="3"/>
      <c r="S599" s="3"/>
      <c r="T599" s="3"/>
      <c r="U599" s="3"/>
      <c r="AA599" s="1"/>
    </row>
    <row r="600" spans="7:27" ht="15.75" customHeight="1" x14ac:dyDescent="0.2">
      <c r="G600" s="2"/>
      <c r="K600" s="3"/>
      <c r="L600" s="3"/>
      <c r="M600" s="3"/>
      <c r="N600" s="3"/>
      <c r="O600" s="3"/>
      <c r="P600" s="3"/>
      <c r="Q600" s="3"/>
      <c r="R600" s="3"/>
      <c r="S600" s="3"/>
      <c r="T600" s="3"/>
      <c r="U600" s="3"/>
      <c r="AA600" s="1"/>
    </row>
    <row r="601" spans="7:27" ht="15.75" customHeight="1" x14ac:dyDescent="0.2">
      <c r="G601" s="2"/>
      <c r="K601" s="3"/>
      <c r="L601" s="3"/>
      <c r="M601" s="3"/>
      <c r="N601" s="3"/>
      <c r="O601" s="3"/>
      <c r="P601" s="3"/>
      <c r="Q601" s="3"/>
      <c r="R601" s="3"/>
      <c r="S601" s="3"/>
      <c r="T601" s="3"/>
      <c r="U601" s="3"/>
      <c r="AA601" s="1"/>
    </row>
    <row r="602" spans="7:27" ht="15.75" customHeight="1" x14ac:dyDescent="0.2">
      <c r="G602" s="2"/>
      <c r="K602" s="3"/>
      <c r="L602" s="3"/>
      <c r="M602" s="3"/>
      <c r="N602" s="3"/>
      <c r="O602" s="3"/>
      <c r="P602" s="3"/>
      <c r="Q602" s="3"/>
      <c r="R602" s="3"/>
      <c r="S602" s="3"/>
      <c r="T602" s="3"/>
      <c r="U602" s="3"/>
      <c r="AA602" s="1"/>
    </row>
    <row r="603" spans="7:27" ht="15.75" customHeight="1" x14ac:dyDescent="0.2">
      <c r="G603" s="2"/>
      <c r="K603" s="3"/>
      <c r="L603" s="3"/>
      <c r="M603" s="3"/>
      <c r="N603" s="3"/>
      <c r="O603" s="3"/>
      <c r="P603" s="3"/>
      <c r="Q603" s="3"/>
      <c r="R603" s="3"/>
      <c r="S603" s="3"/>
      <c r="T603" s="3"/>
      <c r="U603" s="3"/>
      <c r="AA603" s="1"/>
    </row>
    <row r="604" spans="7:27" ht="15.75" customHeight="1" x14ac:dyDescent="0.2">
      <c r="G604" s="2"/>
      <c r="K604" s="3"/>
      <c r="L604" s="3"/>
      <c r="M604" s="3"/>
      <c r="N604" s="3"/>
      <c r="O604" s="3"/>
      <c r="P604" s="3"/>
      <c r="Q604" s="3"/>
      <c r="R604" s="3"/>
      <c r="S604" s="3"/>
      <c r="T604" s="3"/>
      <c r="U604" s="3"/>
      <c r="AA604" s="1"/>
    </row>
    <row r="605" spans="7:27" ht="15.75" customHeight="1" x14ac:dyDescent="0.2">
      <c r="G605" s="2"/>
      <c r="K605" s="3"/>
      <c r="L605" s="3"/>
      <c r="M605" s="3"/>
      <c r="N605" s="3"/>
      <c r="O605" s="3"/>
      <c r="P605" s="3"/>
      <c r="Q605" s="3"/>
      <c r="R605" s="3"/>
      <c r="S605" s="3"/>
      <c r="T605" s="3"/>
      <c r="U605" s="3"/>
      <c r="AA605" s="1"/>
    </row>
    <row r="606" spans="7:27" ht="15.75" customHeight="1" x14ac:dyDescent="0.2">
      <c r="G606" s="2"/>
      <c r="K606" s="3"/>
      <c r="L606" s="3"/>
      <c r="M606" s="3"/>
      <c r="N606" s="3"/>
      <c r="O606" s="3"/>
      <c r="P606" s="3"/>
      <c r="Q606" s="3"/>
      <c r="R606" s="3"/>
      <c r="S606" s="3"/>
      <c r="T606" s="3"/>
      <c r="U606" s="3"/>
      <c r="AA606" s="1"/>
    </row>
    <row r="607" spans="7:27" ht="15.75" customHeight="1" x14ac:dyDescent="0.2">
      <c r="G607" s="2"/>
      <c r="K607" s="3"/>
      <c r="L607" s="3"/>
      <c r="M607" s="3"/>
      <c r="N607" s="3"/>
      <c r="O607" s="3"/>
      <c r="P607" s="3"/>
      <c r="Q607" s="3"/>
      <c r="R607" s="3"/>
      <c r="S607" s="3"/>
      <c r="T607" s="3"/>
      <c r="U607" s="3"/>
      <c r="AA607" s="1"/>
    </row>
    <row r="608" spans="7:27" ht="15.75" customHeight="1" x14ac:dyDescent="0.2">
      <c r="G608" s="2"/>
      <c r="K608" s="3"/>
      <c r="L608" s="3"/>
      <c r="M608" s="3"/>
      <c r="N608" s="3"/>
      <c r="O608" s="3"/>
      <c r="P608" s="3"/>
      <c r="Q608" s="3"/>
      <c r="R608" s="3"/>
      <c r="S608" s="3"/>
      <c r="T608" s="3"/>
      <c r="U608" s="3"/>
      <c r="AA608" s="1"/>
    </row>
    <row r="609" spans="7:27" ht="15.75" customHeight="1" x14ac:dyDescent="0.2">
      <c r="G609" s="2"/>
      <c r="K609" s="3"/>
      <c r="L609" s="3"/>
      <c r="M609" s="3"/>
      <c r="N609" s="3"/>
      <c r="O609" s="3"/>
      <c r="P609" s="3"/>
      <c r="Q609" s="3"/>
      <c r="R609" s="3"/>
      <c r="S609" s="3"/>
      <c r="T609" s="3"/>
      <c r="U609" s="3"/>
      <c r="AA609" s="1"/>
    </row>
    <row r="610" spans="7:27" ht="15.75" customHeight="1" x14ac:dyDescent="0.2">
      <c r="G610" s="2"/>
      <c r="K610" s="3"/>
      <c r="L610" s="3"/>
      <c r="M610" s="3"/>
      <c r="N610" s="3"/>
      <c r="O610" s="3"/>
      <c r="P610" s="3"/>
      <c r="Q610" s="3"/>
      <c r="R610" s="3"/>
      <c r="S610" s="3"/>
      <c r="T610" s="3"/>
      <c r="U610" s="3"/>
      <c r="AA610" s="1"/>
    </row>
    <row r="611" spans="7:27" ht="15.75" customHeight="1" x14ac:dyDescent="0.2">
      <c r="G611" s="2"/>
      <c r="K611" s="3"/>
      <c r="L611" s="3"/>
      <c r="M611" s="3"/>
      <c r="N611" s="3"/>
      <c r="O611" s="3"/>
      <c r="P611" s="3"/>
      <c r="Q611" s="3"/>
      <c r="R611" s="3"/>
      <c r="S611" s="3"/>
      <c r="T611" s="3"/>
      <c r="U611" s="3"/>
      <c r="AA611" s="1"/>
    </row>
    <row r="612" spans="7:27" ht="15.75" customHeight="1" x14ac:dyDescent="0.2">
      <c r="G612" s="2"/>
      <c r="K612" s="3"/>
      <c r="L612" s="3"/>
      <c r="M612" s="3"/>
      <c r="N612" s="3"/>
      <c r="O612" s="3"/>
      <c r="P612" s="3"/>
      <c r="Q612" s="3"/>
      <c r="R612" s="3"/>
      <c r="S612" s="3"/>
      <c r="T612" s="3"/>
      <c r="U612" s="3"/>
      <c r="AA612" s="1"/>
    </row>
    <row r="613" spans="7:27" ht="15.75" customHeight="1" x14ac:dyDescent="0.2">
      <c r="G613" s="2"/>
      <c r="K613" s="3"/>
      <c r="L613" s="3"/>
      <c r="M613" s="3"/>
      <c r="N613" s="3"/>
      <c r="O613" s="3"/>
      <c r="P613" s="3"/>
      <c r="Q613" s="3"/>
      <c r="R613" s="3"/>
      <c r="S613" s="3"/>
      <c r="T613" s="3"/>
      <c r="U613" s="3"/>
      <c r="AA613" s="1"/>
    </row>
    <row r="614" spans="7:27" ht="15.75" customHeight="1" x14ac:dyDescent="0.2">
      <c r="G614" s="2"/>
      <c r="K614" s="3"/>
      <c r="L614" s="3"/>
      <c r="M614" s="3"/>
      <c r="N614" s="3"/>
      <c r="O614" s="3"/>
      <c r="P614" s="3"/>
      <c r="Q614" s="3"/>
      <c r="R614" s="3"/>
      <c r="S614" s="3"/>
      <c r="T614" s="3"/>
      <c r="U614" s="3"/>
      <c r="AA614" s="1"/>
    </row>
    <row r="615" spans="7:27" ht="15.75" customHeight="1" x14ac:dyDescent="0.2">
      <c r="G615" s="2"/>
      <c r="K615" s="3"/>
      <c r="L615" s="3"/>
      <c r="M615" s="3"/>
      <c r="N615" s="3"/>
      <c r="O615" s="3"/>
      <c r="P615" s="3"/>
      <c r="Q615" s="3"/>
      <c r="R615" s="3"/>
      <c r="S615" s="3"/>
      <c r="T615" s="3"/>
      <c r="U615" s="3"/>
      <c r="AA615" s="1"/>
    </row>
    <row r="616" spans="7:27" ht="15.75" customHeight="1" x14ac:dyDescent="0.2">
      <c r="G616" s="2"/>
      <c r="K616" s="3"/>
      <c r="L616" s="3"/>
      <c r="M616" s="3"/>
      <c r="N616" s="3"/>
      <c r="O616" s="3"/>
      <c r="P616" s="3"/>
      <c r="Q616" s="3"/>
      <c r="R616" s="3"/>
      <c r="S616" s="3"/>
      <c r="T616" s="3"/>
      <c r="U616" s="3"/>
      <c r="AA616" s="1"/>
    </row>
    <row r="617" spans="7:27" ht="15.75" customHeight="1" x14ac:dyDescent="0.2">
      <c r="G617" s="2"/>
      <c r="K617" s="3"/>
      <c r="L617" s="3"/>
      <c r="M617" s="3"/>
      <c r="N617" s="3"/>
      <c r="O617" s="3"/>
      <c r="P617" s="3"/>
      <c r="Q617" s="3"/>
      <c r="R617" s="3"/>
      <c r="S617" s="3"/>
      <c r="T617" s="3"/>
      <c r="U617" s="3"/>
      <c r="AA617" s="1"/>
    </row>
    <row r="618" spans="7:27" ht="15.75" customHeight="1" x14ac:dyDescent="0.2">
      <c r="G618" s="2"/>
      <c r="K618" s="3"/>
      <c r="L618" s="3"/>
      <c r="M618" s="3"/>
      <c r="N618" s="3"/>
      <c r="O618" s="3"/>
      <c r="P618" s="3"/>
      <c r="Q618" s="3"/>
      <c r="R618" s="3"/>
      <c r="S618" s="3"/>
      <c r="T618" s="3"/>
      <c r="U618" s="3"/>
      <c r="AA618" s="1"/>
    </row>
    <row r="619" spans="7:27" ht="15.75" customHeight="1" x14ac:dyDescent="0.2">
      <c r="G619" s="2"/>
      <c r="K619" s="3"/>
      <c r="L619" s="3"/>
      <c r="M619" s="3"/>
      <c r="N619" s="3"/>
      <c r="O619" s="3"/>
      <c r="P619" s="3"/>
      <c r="Q619" s="3"/>
      <c r="R619" s="3"/>
      <c r="S619" s="3"/>
      <c r="T619" s="3"/>
      <c r="U619" s="3"/>
      <c r="AA619" s="1"/>
    </row>
    <row r="620" spans="7:27" ht="15.75" customHeight="1" x14ac:dyDescent="0.2">
      <c r="G620" s="2"/>
      <c r="K620" s="3"/>
      <c r="L620" s="3"/>
      <c r="M620" s="3"/>
      <c r="N620" s="3"/>
      <c r="O620" s="3"/>
      <c r="P620" s="3"/>
      <c r="Q620" s="3"/>
      <c r="R620" s="3"/>
      <c r="S620" s="3"/>
      <c r="T620" s="3"/>
      <c r="U620" s="3"/>
      <c r="AA620" s="1"/>
    </row>
    <row r="621" spans="7:27" ht="15.75" customHeight="1" x14ac:dyDescent="0.2">
      <c r="G621" s="2"/>
      <c r="K621" s="3"/>
      <c r="L621" s="3"/>
      <c r="M621" s="3"/>
      <c r="N621" s="3"/>
      <c r="O621" s="3"/>
      <c r="P621" s="3"/>
      <c r="Q621" s="3"/>
      <c r="R621" s="3"/>
      <c r="S621" s="3"/>
      <c r="T621" s="3"/>
      <c r="U621" s="3"/>
      <c r="AA621" s="1"/>
    </row>
    <row r="622" spans="7:27" ht="15.75" customHeight="1" x14ac:dyDescent="0.2">
      <c r="G622" s="2"/>
      <c r="K622" s="3"/>
      <c r="L622" s="3"/>
      <c r="M622" s="3"/>
      <c r="N622" s="3"/>
      <c r="O622" s="3"/>
      <c r="P622" s="3"/>
      <c r="Q622" s="3"/>
      <c r="R622" s="3"/>
      <c r="S622" s="3"/>
      <c r="T622" s="3"/>
      <c r="U622" s="3"/>
      <c r="AA622" s="1"/>
    </row>
    <row r="623" spans="7:27" ht="15.75" customHeight="1" x14ac:dyDescent="0.2">
      <c r="G623" s="2"/>
      <c r="K623" s="3"/>
      <c r="L623" s="3"/>
      <c r="M623" s="3"/>
      <c r="N623" s="3"/>
      <c r="O623" s="3"/>
      <c r="P623" s="3"/>
      <c r="Q623" s="3"/>
      <c r="R623" s="3"/>
      <c r="S623" s="3"/>
      <c r="T623" s="3"/>
      <c r="U623" s="3"/>
      <c r="AA623" s="1"/>
    </row>
    <row r="624" spans="7:27" ht="15.75" customHeight="1" x14ac:dyDescent="0.2">
      <c r="G624" s="2"/>
      <c r="K624" s="3"/>
      <c r="L624" s="3"/>
      <c r="M624" s="3"/>
      <c r="N624" s="3"/>
      <c r="O624" s="3"/>
      <c r="P624" s="3"/>
      <c r="Q624" s="3"/>
      <c r="R624" s="3"/>
      <c r="S624" s="3"/>
      <c r="T624" s="3"/>
      <c r="U624" s="3"/>
      <c r="AA624" s="1"/>
    </row>
    <row r="625" spans="7:27" ht="15.75" customHeight="1" x14ac:dyDescent="0.2">
      <c r="G625" s="2"/>
      <c r="K625" s="3"/>
      <c r="L625" s="3"/>
      <c r="M625" s="3"/>
      <c r="N625" s="3"/>
      <c r="O625" s="3"/>
      <c r="P625" s="3"/>
      <c r="Q625" s="3"/>
      <c r="R625" s="3"/>
      <c r="S625" s="3"/>
      <c r="T625" s="3"/>
      <c r="U625" s="3"/>
      <c r="AA625" s="1"/>
    </row>
    <row r="626" spans="7:27" ht="15.75" customHeight="1" x14ac:dyDescent="0.2">
      <c r="G626" s="2"/>
      <c r="K626" s="3"/>
      <c r="L626" s="3"/>
      <c r="M626" s="3"/>
      <c r="N626" s="3"/>
      <c r="O626" s="3"/>
      <c r="P626" s="3"/>
      <c r="Q626" s="3"/>
      <c r="R626" s="3"/>
      <c r="S626" s="3"/>
      <c r="T626" s="3"/>
      <c r="U626" s="3"/>
      <c r="AA626" s="1"/>
    </row>
    <row r="627" spans="7:27" ht="15.75" customHeight="1" x14ac:dyDescent="0.2">
      <c r="G627" s="2"/>
      <c r="K627" s="3"/>
      <c r="L627" s="3"/>
      <c r="M627" s="3"/>
      <c r="N627" s="3"/>
      <c r="O627" s="3"/>
      <c r="P627" s="3"/>
      <c r="Q627" s="3"/>
      <c r="R627" s="3"/>
      <c r="S627" s="3"/>
      <c r="T627" s="3"/>
      <c r="U627" s="3"/>
      <c r="AA627" s="1"/>
    </row>
    <row r="628" spans="7:27" ht="15.75" customHeight="1" x14ac:dyDescent="0.2">
      <c r="G628" s="2"/>
      <c r="K628" s="3"/>
      <c r="L628" s="3"/>
      <c r="M628" s="3"/>
      <c r="N628" s="3"/>
      <c r="O628" s="3"/>
      <c r="P628" s="3"/>
      <c r="Q628" s="3"/>
      <c r="R628" s="3"/>
      <c r="S628" s="3"/>
      <c r="T628" s="3"/>
      <c r="U628" s="3"/>
      <c r="AA628" s="1"/>
    </row>
    <row r="629" spans="7:27" ht="15.75" customHeight="1" x14ac:dyDescent="0.2">
      <c r="G629" s="2"/>
      <c r="K629" s="3"/>
      <c r="L629" s="3"/>
      <c r="M629" s="3"/>
      <c r="N629" s="3"/>
      <c r="O629" s="3"/>
      <c r="P629" s="3"/>
      <c r="Q629" s="3"/>
      <c r="R629" s="3"/>
      <c r="S629" s="3"/>
      <c r="T629" s="3"/>
      <c r="U629" s="3"/>
      <c r="AA629" s="1"/>
    </row>
    <row r="630" spans="7:27" ht="15.75" customHeight="1" x14ac:dyDescent="0.2">
      <c r="G630" s="2"/>
      <c r="K630" s="3"/>
      <c r="L630" s="3"/>
      <c r="M630" s="3"/>
      <c r="N630" s="3"/>
      <c r="O630" s="3"/>
      <c r="P630" s="3"/>
      <c r="Q630" s="3"/>
      <c r="R630" s="3"/>
      <c r="S630" s="3"/>
      <c r="T630" s="3"/>
      <c r="U630" s="3"/>
      <c r="AA630" s="1"/>
    </row>
    <row r="631" spans="7:27" ht="15.75" customHeight="1" x14ac:dyDescent="0.2">
      <c r="G631" s="2"/>
      <c r="K631" s="3"/>
      <c r="L631" s="3"/>
      <c r="M631" s="3"/>
      <c r="N631" s="3"/>
      <c r="O631" s="3"/>
      <c r="P631" s="3"/>
      <c r="Q631" s="3"/>
      <c r="R631" s="3"/>
      <c r="S631" s="3"/>
      <c r="T631" s="3"/>
      <c r="U631" s="3"/>
      <c r="AA631" s="1"/>
    </row>
    <row r="632" spans="7:27" ht="15.75" customHeight="1" x14ac:dyDescent="0.2">
      <c r="G632" s="2"/>
      <c r="K632" s="3"/>
      <c r="L632" s="3"/>
      <c r="M632" s="3"/>
      <c r="N632" s="3"/>
      <c r="O632" s="3"/>
      <c r="P632" s="3"/>
      <c r="Q632" s="3"/>
      <c r="R632" s="3"/>
      <c r="S632" s="3"/>
      <c r="T632" s="3"/>
      <c r="U632" s="3"/>
      <c r="AA632" s="1"/>
    </row>
    <row r="633" spans="7:27" ht="15.75" customHeight="1" x14ac:dyDescent="0.2">
      <c r="G633" s="2"/>
      <c r="K633" s="3"/>
      <c r="L633" s="3"/>
      <c r="M633" s="3"/>
      <c r="N633" s="3"/>
      <c r="O633" s="3"/>
      <c r="P633" s="3"/>
      <c r="Q633" s="3"/>
      <c r="R633" s="3"/>
      <c r="S633" s="3"/>
      <c r="T633" s="3"/>
      <c r="U633" s="3"/>
      <c r="AA633" s="1"/>
    </row>
    <row r="634" spans="7:27" ht="15.75" customHeight="1" x14ac:dyDescent="0.2">
      <c r="G634" s="2"/>
      <c r="K634" s="3"/>
      <c r="L634" s="3"/>
      <c r="M634" s="3"/>
      <c r="N634" s="3"/>
      <c r="O634" s="3"/>
      <c r="P634" s="3"/>
      <c r="Q634" s="3"/>
      <c r="R634" s="3"/>
      <c r="S634" s="3"/>
      <c r="T634" s="3"/>
      <c r="U634" s="3"/>
      <c r="AA634" s="1"/>
    </row>
    <row r="635" spans="7:27" ht="15.75" customHeight="1" x14ac:dyDescent="0.2">
      <c r="G635" s="2"/>
      <c r="K635" s="3"/>
      <c r="L635" s="3"/>
      <c r="M635" s="3"/>
      <c r="N635" s="3"/>
      <c r="O635" s="3"/>
      <c r="P635" s="3"/>
      <c r="Q635" s="3"/>
      <c r="R635" s="3"/>
      <c r="S635" s="3"/>
      <c r="T635" s="3"/>
      <c r="U635" s="3"/>
      <c r="AA635" s="1"/>
    </row>
    <row r="636" spans="7:27" ht="15.75" customHeight="1" x14ac:dyDescent="0.2">
      <c r="G636" s="2"/>
      <c r="K636" s="3"/>
      <c r="L636" s="3"/>
      <c r="M636" s="3"/>
      <c r="N636" s="3"/>
      <c r="O636" s="3"/>
      <c r="P636" s="3"/>
      <c r="Q636" s="3"/>
      <c r="R636" s="3"/>
      <c r="S636" s="3"/>
      <c r="T636" s="3"/>
      <c r="U636" s="3"/>
      <c r="AA636" s="1"/>
    </row>
    <row r="637" spans="7:27" ht="15.75" customHeight="1" x14ac:dyDescent="0.2">
      <c r="G637" s="2"/>
      <c r="K637" s="3"/>
      <c r="L637" s="3"/>
      <c r="M637" s="3"/>
      <c r="N637" s="3"/>
      <c r="O637" s="3"/>
      <c r="P637" s="3"/>
      <c r="Q637" s="3"/>
      <c r="R637" s="3"/>
      <c r="S637" s="3"/>
      <c r="T637" s="3"/>
      <c r="U637" s="3"/>
      <c r="AA637" s="1"/>
    </row>
    <row r="638" spans="7:27" ht="15.75" customHeight="1" x14ac:dyDescent="0.2">
      <c r="G638" s="2"/>
      <c r="K638" s="3"/>
      <c r="L638" s="3"/>
      <c r="M638" s="3"/>
      <c r="N638" s="3"/>
      <c r="O638" s="3"/>
      <c r="P638" s="3"/>
      <c r="Q638" s="3"/>
      <c r="R638" s="3"/>
      <c r="S638" s="3"/>
      <c r="T638" s="3"/>
      <c r="U638" s="3"/>
      <c r="AA638" s="1"/>
    </row>
    <row r="639" spans="7:27" ht="15.75" customHeight="1" x14ac:dyDescent="0.2">
      <c r="G639" s="2"/>
      <c r="K639" s="3"/>
      <c r="L639" s="3"/>
      <c r="M639" s="3"/>
      <c r="N639" s="3"/>
      <c r="O639" s="3"/>
      <c r="P639" s="3"/>
      <c r="Q639" s="3"/>
      <c r="R639" s="3"/>
      <c r="S639" s="3"/>
      <c r="T639" s="3"/>
      <c r="U639" s="3"/>
      <c r="AA639" s="1"/>
    </row>
    <row r="640" spans="7:27" ht="15.75" customHeight="1" x14ac:dyDescent="0.2">
      <c r="G640" s="2"/>
      <c r="K640" s="3"/>
      <c r="L640" s="3"/>
      <c r="M640" s="3"/>
      <c r="N640" s="3"/>
      <c r="O640" s="3"/>
      <c r="P640" s="3"/>
      <c r="Q640" s="3"/>
      <c r="R640" s="3"/>
      <c r="S640" s="3"/>
      <c r="T640" s="3"/>
      <c r="U640" s="3"/>
      <c r="AA640" s="1"/>
    </row>
    <row r="641" spans="7:27" ht="15.75" customHeight="1" x14ac:dyDescent="0.2">
      <c r="G641" s="2"/>
      <c r="K641" s="3"/>
      <c r="L641" s="3"/>
      <c r="M641" s="3"/>
      <c r="N641" s="3"/>
      <c r="O641" s="3"/>
      <c r="P641" s="3"/>
      <c r="Q641" s="3"/>
      <c r="R641" s="3"/>
      <c r="S641" s="3"/>
      <c r="T641" s="3"/>
      <c r="U641" s="3"/>
      <c r="AA641" s="1"/>
    </row>
    <row r="642" spans="7:27" ht="15.75" customHeight="1" x14ac:dyDescent="0.2">
      <c r="G642" s="2"/>
      <c r="K642" s="3"/>
      <c r="L642" s="3"/>
      <c r="M642" s="3"/>
      <c r="N642" s="3"/>
      <c r="O642" s="3"/>
      <c r="P642" s="3"/>
      <c r="Q642" s="3"/>
      <c r="R642" s="3"/>
      <c r="S642" s="3"/>
      <c r="T642" s="3"/>
      <c r="U642" s="3"/>
      <c r="AA642" s="1"/>
    </row>
    <row r="643" spans="7:27" ht="15.75" customHeight="1" x14ac:dyDescent="0.2">
      <c r="G643" s="2"/>
      <c r="K643" s="3"/>
      <c r="L643" s="3"/>
      <c r="M643" s="3"/>
      <c r="N643" s="3"/>
      <c r="O643" s="3"/>
      <c r="P643" s="3"/>
      <c r="Q643" s="3"/>
      <c r="R643" s="3"/>
      <c r="S643" s="3"/>
      <c r="T643" s="3"/>
      <c r="U643" s="3"/>
      <c r="AA643" s="1"/>
    </row>
    <row r="644" spans="7:27" ht="15.75" customHeight="1" x14ac:dyDescent="0.2">
      <c r="G644" s="2"/>
      <c r="K644" s="3"/>
      <c r="L644" s="3"/>
      <c r="M644" s="3"/>
      <c r="N644" s="3"/>
      <c r="O644" s="3"/>
      <c r="P644" s="3"/>
      <c r="Q644" s="3"/>
      <c r="R644" s="3"/>
      <c r="S644" s="3"/>
      <c r="T644" s="3"/>
      <c r="U644" s="3"/>
      <c r="AA644" s="1"/>
    </row>
    <row r="645" spans="7:27" ht="15.75" customHeight="1" x14ac:dyDescent="0.2">
      <c r="G645" s="2"/>
      <c r="K645" s="3"/>
      <c r="L645" s="3"/>
      <c r="M645" s="3"/>
      <c r="N645" s="3"/>
      <c r="O645" s="3"/>
      <c r="P645" s="3"/>
      <c r="Q645" s="3"/>
      <c r="R645" s="3"/>
      <c r="S645" s="3"/>
      <c r="T645" s="3"/>
      <c r="U645" s="3"/>
      <c r="AA645" s="1"/>
    </row>
    <row r="646" spans="7:27" ht="15.75" customHeight="1" x14ac:dyDescent="0.2">
      <c r="G646" s="2"/>
      <c r="K646" s="3"/>
      <c r="L646" s="3"/>
      <c r="M646" s="3"/>
      <c r="N646" s="3"/>
      <c r="O646" s="3"/>
      <c r="P646" s="3"/>
      <c r="Q646" s="3"/>
      <c r="R646" s="3"/>
      <c r="S646" s="3"/>
      <c r="T646" s="3"/>
      <c r="U646" s="3"/>
      <c r="AA646" s="1"/>
    </row>
    <row r="647" spans="7:27" ht="15.75" customHeight="1" x14ac:dyDescent="0.2">
      <c r="G647" s="2"/>
      <c r="K647" s="3"/>
      <c r="L647" s="3"/>
      <c r="M647" s="3"/>
      <c r="N647" s="3"/>
      <c r="O647" s="3"/>
      <c r="P647" s="3"/>
      <c r="Q647" s="3"/>
      <c r="R647" s="3"/>
      <c r="S647" s="3"/>
      <c r="T647" s="3"/>
      <c r="U647" s="3"/>
      <c r="AA647" s="1"/>
    </row>
    <row r="648" spans="7:27" ht="15.75" customHeight="1" x14ac:dyDescent="0.2">
      <c r="G648" s="2"/>
      <c r="K648" s="3"/>
      <c r="L648" s="3"/>
      <c r="M648" s="3"/>
      <c r="N648" s="3"/>
      <c r="O648" s="3"/>
      <c r="P648" s="3"/>
      <c r="Q648" s="3"/>
      <c r="R648" s="3"/>
      <c r="S648" s="3"/>
      <c r="T648" s="3"/>
      <c r="U648" s="3"/>
      <c r="AA648" s="1"/>
    </row>
    <row r="649" spans="7:27" ht="15.75" customHeight="1" x14ac:dyDescent="0.2">
      <c r="G649" s="2"/>
      <c r="K649" s="3"/>
      <c r="L649" s="3"/>
      <c r="M649" s="3"/>
      <c r="N649" s="3"/>
      <c r="O649" s="3"/>
      <c r="P649" s="3"/>
      <c r="Q649" s="3"/>
      <c r="R649" s="3"/>
      <c r="S649" s="3"/>
      <c r="T649" s="3"/>
      <c r="U649" s="3"/>
      <c r="AA649" s="1"/>
    </row>
    <row r="650" spans="7:27" ht="15.75" customHeight="1" x14ac:dyDescent="0.2">
      <c r="G650" s="2"/>
      <c r="K650" s="3"/>
      <c r="L650" s="3"/>
      <c r="M650" s="3"/>
      <c r="N650" s="3"/>
      <c r="O650" s="3"/>
      <c r="P650" s="3"/>
      <c r="Q650" s="3"/>
      <c r="R650" s="3"/>
      <c r="S650" s="3"/>
      <c r="T650" s="3"/>
      <c r="U650" s="3"/>
      <c r="AA650" s="1"/>
    </row>
    <row r="651" spans="7:27" ht="15.75" customHeight="1" x14ac:dyDescent="0.2">
      <c r="G651" s="2"/>
      <c r="K651" s="3"/>
      <c r="L651" s="3"/>
      <c r="M651" s="3"/>
      <c r="N651" s="3"/>
      <c r="O651" s="3"/>
      <c r="P651" s="3"/>
      <c r="Q651" s="3"/>
      <c r="R651" s="3"/>
      <c r="S651" s="3"/>
      <c r="T651" s="3"/>
      <c r="U651" s="3"/>
      <c r="AA651" s="1"/>
    </row>
    <row r="652" spans="7:27" ht="15.75" customHeight="1" x14ac:dyDescent="0.2">
      <c r="G652" s="2"/>
      <c r="K652" s="3"/>
      <c r="L652" s="3"/>
      <c r="M652" s="3"/>
      <c r="N652" s="3"/>
      <c r="O652" s="3"/>
      <c r="P652" s="3"/>
      <c r="Q652" s="3"/>
      <c r="R652" s="3"/>
      <c r="S652" s="3"/>
      <c r="T652" s="3"/>
      <c r="U652" s="3"/>
      <c r="AA652" s="1"/>
    </row>
  </sheetData>
  <autoFilter ref="Z1:Z652" xr:uid="{00000000-0009-0000-0000-000000000000}"/>
  <pageMargins left="0.7" right="0.7" top="0.75" bottom="0.75" header="0" footer="0"/>
  <pageSetup paperSize="9" orientation="portrait"/>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Courtin,E</dc:creator>
  <cp:keywords/>
  <dc:description/>
  <cp:lastModifiedBy>Wang, Mengyao</cp:lastModifiedBy>
  <cp:revision/>
  <dcterms:created xsi:type="dcterms:W3CDTF">2025-05-21T08:52:51Z</dcterms:created>
  <dcterms:modified xsi:type="dcterms:W3CDTF">2026-04-03T01:44:26Z</dcterms:modified>
  <cp:category/>
  <cp:contentStatus/>
</cp:coreProperties>
</file>