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20/02/relationships/classificationlabels" Target="docMetadata/LabelInfo.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30"/>
  <workbookPr/>
  <mc:AlternateContent xmlns:mc="http://schemas.openxmlformats.org/markup-compatibility/2006">
    <mc:Choice Requires="x15">
      <x15ac:absPath xmlns:x15ac="http://schemas.microsoft.com/office/spreadsheetml/2010/11/ac" url="https://liveuclac-my.sharepoint.com/personal/rmjldba_ucl_ac_uk/Documents/ideas/policy/abstract_analysis/paper/anonymised_aje/additional validation checks/"/>
    </mc:Choice>
  </mc:AlternateContent>
  <xr:revisionPtr revIDLastSave="1118" documentId="11_65316A595343D40E62355476585DCE3A874BFBD5" xr6:coauthVersionLast="47" xr6:coauthVersionMax="47" xr10:uidLastSave="{36652F88-651B-4E04-B78D-9FAA1E3757BC}"/>
  <bookViews>
    <workbookView xWindow="-7120" yWindow="-21100" windowWidth="38400" windowHeight="21100" xr2:uid="{00000000-000D-0000-FFFF-FFFF00000000}"/>
  </bookViews>
  <sheets>
    <sheet name="Sheet1" sheetId="1" r:id="rId1"/>
  </sheets>
  <definedNames>
    <definedName name="_xlnm._FilterDatabase" localSheetId="0" hidden="1">Sheet1!$L$1:$L$401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401" i="1" l="1"/>
  <c r="O388" i="1"/>
  <c r="O367" i="1"/>
  <c r="O357" i="1"/>
  <c r="O318" i="1"/>
  <c r="O313" i="1"/>
  <c r="O302" i="1"/>
  <c r="O264" i="1"/>
  <c r="O233" i="1"/>
  <c r="O227" i="1"/>
  <c r="O212" i="1"/>
  <c r="O204" i="1"/>
  <c r="O202" i="1"/>
  <c r="O192" i="1"/>
  <c r="O175" i="1"/>
  <c r="O123" i="1"/>
  <c r="O97" i="1"/>
  <c r="O37" i="1"/>
  <c r="O28"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2" i="1"/>
</calcChain>
</file>

<file path=xl/sharedStrings.xml><?xml version="1.0" encoding="utf-8"?>
<sst xmlns="http://schemas.openxmlformats.org/spreadsheetml/2006/main" count="3425" uniqueCount="2288">
  <si>
    <t>review_id</t>
  </si>
  <si>
    <t>scopus_id</t>
  </si>
  <si>
    <t>doi</t>
  </si>
  <si>
    <t>title</t>
  </si>
  <si>
    <t>journal</t>
  </si>
  <si>
    <t>keywords</t>
  </si>
  <si>
    <t>abstract</t>
  </si>
  <si>
    <t>DB_policy_claim</t>
  </si>
  <si>
    <t>db notes</t>
  </si>
  <si>
    <t>EC_policy_claim</t>
  </si>
  <si>
    <t>ec notes</t>
  </si>
  <si>
    <t>concordance</t>
  </si>
  <si>
    <t>db_double_checked</t>
  </si>
  <si>
    <t>S400-001</t>
  </si>
  <si>
    <t>SCOPUS_ID:0031968704</t>
  </si>
  <si>
    <t>10.2105/AJPH.88.3.364</t>
  </si>
  <si>
    <t>Insurance or a regular physician: Which is the most powerful predictor of health care?</t>
  </si>
  <si>
    <t>American Journal Of Public Health</t>
  </si>
  <si>
    <t>[]</t>
  </si>
  <si>
    <t>Objectives. This study compared the relative effects on access to health care of relationship with a regular physician and insurance status. Methods. The subjects were 1952 nonretired, non-Medicare patients aged 18 to 64 years who presented with 1 of 6 chief complaints to 5 academic hospital emergency departments in Boston and Cambridge, Mass, during a 1-month study period in 1995. Access to care was evaluated by 3 measures: delay in seeking care for the current complaint, no physician visit in the previous year, and no emergency department visit in the previous year. Results. After clinical and socioeconomic characteristics were controlled, lacking a regular physician was a stronger, more consistent predictor than insurance status of delay in seeking care (odds ratio [OR] = 1.6, 95% confidence interval [CI] = 1.2, 2.1), no physician visit (OR = 4.5, 95% CI = 3.3, 6.1), and no emergency department visit (OR = 1.8, 95% CI = 1.4, 2.4). For patients with a regular physician, access was no different between the uninsured and the privately insured. For privately insured patients, those with no regular physician had worse access than those with a regular physician. Conclusions. Among patients presenting to emergency departments, relationship with a regular physician is a stronger predictor than insurance status of access to care.</t>
  </si>
  <si>
    <t>S400-002</t>
  </si>
  <si>
    <t>SCOPUS_ID:84938780031</t>
  </si>
  <si>
    <t>10.1093/aje/kwv064</t>
  </si>
  <si>
    <t>Analyzing seasonal variations in suicide with fourier poisson time-series regression: A registry-based study from Norway, 1969-2007</t>
  </si>
  <si>
    <t>American Journal Of Epidemiology</t>
  </si>
  <si>
    <t>['seasonal variation', 'suicide']</t>
  </si>
  <si>
    <t>Seasonal variation in the number of suicides has long been acknowledged. It has been suggested that this seasonality has declined in recent years, but studies have generally used statistical methods incapable of confirming this. We examined all suicides occurring in Norway during 1969-2007 (more than 20,000 suicides in total) to establish whether seasonality decreased over time. Fitting of additive Fourier Poisson time-series regression models allowed for formal testing of a possible linear decrease in seasonality, or a reduction at a specific point in time, while adjusting for a possible smooth nonlinear long-term change without having to categorize time into discrete yearly units. The models were compared using Akaike's Information Criterion and analysis of variance. A model with a seasonal pattern was significantly superior to a model without one. There was a reduction in seasonality during the period. Both the model assuming a linear decrease in seasonality and the model assuming a change at a specific point in time were both superior to a model assuming constant seasonality, thus confirming by formal statistical testing that the magnitude of the seasonality in suicides has diminished. The additive Fourier Poisson time-series regression model would also be useful for studying other temporal phenomena with seasonal components.</t>
  </si>
  <si>
    <t>S400-003</t>
  </si>
  <si>
    <t>SCOPUS_ID:7644239491</t>
  </si>
  <si>
    <t>10.1016/j.ypmed.2004.05.013</t>
  </si>
  <si>
    <t>A breast-feeding promotion and support program a randomized trial in the Netherlands</t>
  </si>
  <si>
    <t>Preventive Medicine</t>
  </si>
  <si>
    <t>['Attitude', 'Breast-feeding', 'I-change model', 'Self-efficacy', 'Social influences', 'Weaning']</t>
  </si>
  <si>
    <t>Background. In the Netherlands, the initiation rate of breast-feeding (BF) was 80% in 2002, but only 35% of the mothers continued to breast-feed for 3 months. This study examined the effectiveness of a breast-feeding promotion program to increase the continuation of breast-feeding. Methods. A cluster-randomized intervention trial was used. Ten child health care centers in three regions of the home health care were randomly allocated to the program or usual care. Elements in the program were health counseling, measures to enhance cooperation, early signaling of breast-feeding problems and continuity of care, and lactation consultancy. Pregnant mothers who applied for home health care in the intervention or usual care regions were enrolled and were followed up from pregnancy until 6 months postpartum (n = 683). The primary outcome measure was the continuation of breast-feeding until at least 3 months. Results. The 3-month breast-feeding rate was 32% in the intervention and 38% in the control groups (OR = 0.79, 95% CI = 0.58-1.08). Conclusion. The program was not effective. We discuss possible explanations from the design and execution of the trial and give some points for improvement of our program, such as the categories of caregivers involved and the number and duration of contacts after parturition. © 2004 The Institute For Cancer Prevention and Elsevier Inc. All rights reserved.</t>
  </si>
  <si>
    <t>S400-004</t>
  </si>
  <si>
    <t>SCOPUS_ID:0037764712</t>
  </si>
  <si>
    <t>10.1093/eurpub/13.2.138</t>
  </si>
  <si>
    <t>On the use of administrative databases to support planning activities: The case of the evaluation of neonatal case-mix in the Emilia-Romagna region using DRG and APR-DRG classification systems</t>
  </si>
  <si>
    <t>European Journal Of Public Health</t>
  </si>
  <si>
    <t>['Administrative data', 'DRG', 'Neonatal intensive care', 'Planning']</t>
  </si>
  <si>
    <t>There are several versions of the Diagnosis Related Group (DRG) classification systems that are used for case-mix analysis, utilization review, prospective payment, and planning applications. The objective of this study was to assess the adequacy of two of these DRG systems - Medicare DRG and All Patient Refined DRG - to classify neonatal patients. The first part of the paper contains a descriptive analysis that outlines the major differences between the two systems in terms of classification logic and variables used in the assignment process. The second part examines the statistical performance of each system on the basis of the administrative data collected in all public hospitals of the Emilia-Romagna region relating to neonates discharged in 1997 and 1998. The Medicare. DRG are less developed in terms of classification structure and yield a poorer statistical performance in terms of reduction in variance for length of stay. This is important because, for specific areas, a more refined system can prove useful at regional level to remove systematic biases in the measurement of case-mix due to the structural characteristics of the Medicare DRGs classification system.</t>
  </si>
  <si>
    <t>S400-005</t>
  </si>
  <si>
    <t>SCOPUS_ID:0035873404</t>
  </si>
  <si>
    <t>10.1093/aje/153.10.969</t>
  </si>
  <si>
    <t>Trends in nutrient intake of 10-year-old children over two decades (1973-1994): The Bogalusa heart study</t>
  </si>
  <si>
    <t>['Child nutrition', 'Diet', 'Energy intake', 'Fats', 'Nutrition surveys']</t>
  </si>
  <si>
    <t>Dietary intakes of 10-year-old children were examined in seven cross-sectional surveys to observe secular trends in nutrient intake and food consumption patterns over 2 decades (1973-1994). Total energy intake remained unchanged from 1973 to 1994. However, when expressed as energy per kilogram body weight, intake decreased from 65.5 kcal in 1973 to 55.4 kcal in 1994 because children's weight increased. A significant trend was noted in ponderal index, which increased from 12.31 (1973-1974) to 13.71 (1992-1994), with an actual weight gain of 1.45 kg from 1973 to 1979 and 2.71 kg from 1981 to 1994. Linear trends also were noted for total fat (negative), saturated fat (negative), dietary cholesterol (negative), polyunsaturated fat (positive), and total carbohydrate (positive). There was a significant increase in percent energy from protein and carbohydrate and a significant decrease in percent energy from fat, primarily saturated and monounsaturated fat. Trends in nutrient intakes of children reflected trends in food consumption. The percentage of total fat from fats/oils, mixed meats, eggs, milk, pork, and desserts decreased, while that from poultry, cheese, and snacks increased. Although more children met dietary recommendations for total fat, saturated fat, and dietary cholesterol, the vast majority continued to exceed prudent diet recommendations.</t>
  </si>
  <si>
    <t>FALSE</t>
  </si>
  <si>
    <t>S400-006</t>
  </si>
  <si>
    <t>SCOPUS_ID:0032523785</t>
  </si>
  <si>
    <t>10.1093/oxfordjournals.aje.a009383</t>
  </si>
  <si>
    <t>Exposure to environmental tobacco smoke and risk factors for heart disease among never smokers in the Third National Health and Nutrition Examination Survey</t>
  </si>
  <si>
    <t>['Cardiovascular diseases', 'Cotinine', 'Environmental pollution, tobacco smoke', 'Heart diseases', 'Lipoproteins, HDL cholesterol', 'Risk factors']</t>
  </si>
  <si>
    <t>The relative risk of coronary artery disease among never smokers exposed to environmental tobacco smoke (ETS) versus never smokers not exposed to ETS is approximately 1.2 based on more than a dozen epidemiologic studies. Most of these studies have controlled for the major heart disease risk factors, but residual or uncontrolled confounding remains a possible explanation for the epidemiologic findings. The authors studied 3,338 never-smoking adults aged 17 years or older, who are representative of all US never smokers, in the 1988-1991 Third National Health and Nutrition Examination Survey (NHANES III) to determine whether selected risk factors for heart disease differ between ETS-exposed and -nonexposed persons. Both selfreported ETS exposure (at home and at work) and serum cotinine levels were available, the latter reflecting recent ETS exposure. After adjustments were made for age, sex, race, and education among adults aged 17 years or older, no significant differences were found between the ETS exposed and the nonexposed for any of 13 cardiovascular risk factors with the exception of dietary carotene, which was lower among the exposed. On the other hand, significant positive linear trends were found between serum cotinine and two risk factors (body mass index and alcohol consumption), and significant inverse trends were found with dietary carotene. There were also few differences between exposed and nonexposed never smokers among adults aged 40 years or older, who are most at risk of heart disease. In this group, however, there was an inverse linear trend between serum cotinine and high density lipoprotein cholesterol (p &lt; 0.001). This finding could result from ETS exposure rather than be an indication of confounding; a similar inverse trend was found for children, confirming other results in the literature. Overall, these data suggest little potential for confounding by the heart disease risk factors studied here when ETS exposure is determined by self-report.</t>
  </si>
  <si>
    <t>S400-007</t>
  </si>
  <si>
    <t>SCOPUS_ID:85121733067</t>
  </si>
  <si>
    <t>10.1016/j.ypmed.2021.106934</t>
  </si>
  <si>
    <t>Family's socioeconomic profile at birth and offspring mortality until midlife – The Northern Finland Birth Cohort 1966 study</t>
  </si>
  <si>
    <t>['Birth cohort', 'Cohort studies', 'Latent class analysis', 'Mortality', 'Parent-offspring linkage', 'Socioeconomic status']</t>
  </si>
  <si>
    <t>Family's socioeconomic profile collected prenatally is known to predict offspring mortality during early life, but it remains unclear whether it has the potential to predict offspring mortality until later life. In this study, 12,063 individuals belonging to the Northern Finland Birth Cohort 1966 were followed up from mid-pregnancy for 52 years (570,000 person years). Five distinct socioeconomic profiles were identified by latent class analysis based on mother's marital status, education, and occupation; father's occupation; number of family members; location of residence, room count, and utilities; and family's wealth. The classes were highest status families (15.4% of the population), small families (22.1%), larger families (15.4%), average wealth families (23.4%), and rural families (23.3%). Their associations to offspring mortality, via linkage to national offspring death records, were analysed by Cox regression, stratified by sex and age groups (0—19, 20—38 and 40–52 years). In total, mortality was 9.2% among male and 5.0% among female offspring. Risk for midlife mortality was higher among male offspring from larger families (hazard ratio 2.19, 95% confidence interval 1.32—3.63), average wealth families (1.66, 1.02—2.73) and rural families (1.63, 1.00—2.68), relative to offspring from highest status families. It seems that family's socioeconomic profile constructed prenatally has predictive value for midlife mortality among male offspring. Premature mortality of men and women seem to be two distinct phenomena with differing underlying factors as socioeconomic profile was not associated with mortality among female offspring.</t>
  </si>
  <si>
    <t>S400-008</t>
  </si>
  <si>
    <t>SCOPUS_ID:85087724115</t>
  </si>
  <si>
    <t>10.1016/j.ypmed.2020.106176</t>
  </si>
  <si>
    <t>History of child maltreatment and excessive dietary and screen time behaviors in young adults: Results from a nationally representative study</t>
  </si>
  <si>
    <t>['African Americans', 'Child abuse', 'Diet', 'Hispanic Americans', 'Obesity', 'Screen time', 'Stress']</t>
  </si>
  <si>
    <t>Child maltreatment is common and has been associated with substance use addictions, yet few studies have examined associations with potentially addictive dietary and screen time behaviors. The goal of this study was to assess associations between retrospectively self-reported child maltreatment (sexual abuse, physical abuse, emotional abuse, and neglect) and excessive self-reported dietary (sugar sweetened beverage and fast food consumption) and screen time behaviors (television/video watching and leisure time computer use) in early adulthood, overall and by sex and race/ethnicity. Associations were examined using data from 10,813 participants 24–32 years old from the National Longitudinal Study of Adolescent to Adult Health. We used predicted marginal proportions accounting for the complex sample design to obtain prevalence ratios (PRs) and adjusted for demographic characteristics and physical activity. In females, exposure to poly-maltreatment (2+ types of child maltreatment) was associated with excessive sugar sweetened beverage consumption, television/video watching, and leisure time computer use; in males, exposure to poly-maltreatment was associated with excessive sugar sweetened beverage consumption, television/video watching, and fast food consumption. Some associations were particularly strong in racial/ethnic minorities, especially Latina females (poly-maltreatment-sugar sweetened beverage association: aPR = 6.14, 95% CI:2.12, 17.75; poly-maltreatment-computer use association: aPR = 3.08, 95% CI:1.44, 6.58). These findings show that child maltreatment is associated with excessive dietary and screen time behaviors into adulthood, and these associations are present in racial/ethnic groups at high risk of cardiometabolic disease. Extension of an addiction paradigm to include dietary and screen time behaviors may inform health risks and disease prevention efforts in child maltreatment survivors.</t>
  </si>
  <si>
    <t>TRUE</t>
  </si>
  <si>
    <t>S400-009</t>
  </si>
  <si>
    <t>SCOPUS_ID:0242464932</t>
  </si>
  <si>
    <t>10.1093/ije/dyg004</t>
  </si>
  <si>
    <t>Relation of plasma folate and methylenetetrahydrofolate reductase C677T polymorphism to colorectal adenomas</t>
  </si>
  <si>
    <t>International Journal Of Epidemiology</t>
  </si>
  <si>
    <t>['Genetic polymorphism colorectal adenomas', 'Methylenetetrahydrofolate reductase', 'Plasma folate']</t>
  </si>
  <si>
    <t>Background. Folate intake may be related to decreased risk of colorectal cancer and adenomas. Methylenetetrahydrofolate reductase (MTHFR) is a key regulatory enzyme in folate metabolism. We examined the relation between plasma folate status and colorectal adenomas with reference to effect modification by the genetic polymorphism (C677T) of MTHFR. Methods. Study subjects were middle-aged Japanese men: 177 cases of colorectal adenomas and 192 controls with normal total colonoscopy. Statistical adjustment was made for hospital, rank in the Self Defense Forces, alcohol use, smoking, and body mass index. Results. Plasma folate levels were slightly lower in adenoma cases than in controls. Adjusted odds ratio (OR) for high (&gt;5.50 ng/ml) versus low plasma folate levels was 0.72 (95% CI: 0.46-1.14). As compared with subjects with the CC or CT genotype having low plasma folate levels, those with the TT genotype showed a decreased risk of colorectal adenomas when they had high levels of plasma folate (adjusted OR = 0.58, 95% CI: 0.21-1.61), and an increased risk when they had low folate levels (adjusted OR = 2.13, 95% CI: 0.82-5.54). There was no clear relation between plasma folate and colorectal adenomas among those with the CC or CT genotype. Conclusions. The findings suggest an interaction between folate and the MTHFR genotype on colorectal adenomas.</t>
  </si>
  <si>
    <t>S400-010</t>
  </si>
  <si>
    <t>SCOPUS_ID:0025848976</t>
  </si>
  <si>
    <t>10.2105/AJPH.81.5.592</t>
  </si>
  <si>
    <t>Benzodiazepine anti-anxiety agents: Prevalence and correlates of use in a southern community</t>
  </si>
  <si>
    <t>Background: Benzodiazepine anti-anxiety agents are the most widely prescribed psychotherapeutic drugs in the United States today. Recent evidence, however, suggests that their use may be decreasing. Methods: We examine the population prevalence and correlates of use of benzodiazepine anxiolytics at the Duke site of the NIMH-sponsored Epidemiologic Catchment Area project. Results: Bivariate analysis of use patterns for the drugs revealed demographic predictors similar to those reported in previous studies: increased likelihood of use by the elderly, Whites, women, the less educated, and the separated or divorced. Use is also associated with symptoms of psychic distress, negative life events, use of health care services, and diagnoses of affective disorder, agoraphobia with panic, and panic disorder. Age, sex, race, education, and marital status remain associated with non-hypnotic benzodiazepine use in a logistic regression analysis. Conclusions: Multivariate analyses of these data indicate that when potential confounding factors are controlled, age, sex, race, education, and marital status are significantly related to benzodiazepine anxiolytic use but the effects of sex and education are mediated by intervening variables. Implications of these findings are discussed particularly in relation to high levels of use in the elderly.</t>
  </si>
  <si>
    <t>S400-011</t>
  </si>
  <si>
    <t>SCOPUS_ID:84907339427</t>
  </si>
  <si>
    <t>10.1016/j.ypmed.2014.07.019</t>
  </si>
  <si>
    <t>Multilevel evaluation of 'China Healthy Lifestyles for All', a nationwide initiative to promote lower intakes of salt and edible oil</t>
  </si>
  <si>
    <t>['China', 'Edible oil', 'Geographic variations', 'Health literacy', 'Multilevel modelling', 'Preventive health', 'Salt']</t>
  </si>
  <si>
    <t>Objective: To evaluate the impact of 'China Healthy Lifestyle for All' on levels of knowledge, taste and intentions to modify future consumption of salt and edible oil. Methods: Between May and August 2012, a face-to-face survey carried out in all 31 provinces, autonomous regions, and municipalities in mainland China, achieved a 98.1% response. Intention-To-Treat analysis via multilevel logistic regression was used to examine differences in outcomes between 31,396 non-institutionalised individuals aged &gt;18. years from 31 'intervention' (i.e. participating) and 26 'control' (i.e. non-participating) counties respectively. Results: Adjusting for socioeconomic confounders, participants in 'intervention' counties were more likely to know the limit of salt (Odds Ratio 3.14, 95% Confidence Interval (95% CI) 1.98, 4.96) and oil consumption (3.67, 95% CI 2.31, 5.82), and were more intent to modify their consumption (salt 1.98, 95% CI 1.41, 2.76; oil OR 1.99, 95% CI 1.41, 2.81) and to report a change in taste (salt 1.90, 95% CI 1.31, 2.75; oil 2.07, 95% CI 1.38, 3.10). 'Intervention' effects were consistent regardless of income or education, but women and older participants benefited disproportionately. Outcomes were 2.8 and 4.7 times more likely among those with better recall. Conclusion: Place-based health promotion interventions have an important role to play in addressing non-communicable disease in China. © 2014 Elsevier Inc.</t>
  </si>
  <si>
    <t>S400-012</t>
  </si>
  <si>
    <t>SCOPUS_ID:85017184849</t>
  </si>
  <si>
    <t>10.1093/ije/dyw314</t>
  </si>
  <si>
    <t>Triangulation in aetiological epidemiology</t>
  </si>
  <si>
    <t>['Negative control studies', 'Aetiological epidemiology', 'Causality', 'Instrumental variables', 'Mendelian randomization', 'Natural experiments', 'RCTs', 'Triangulation', 'Within-sibships studies']</t>
  </si>
  <si>
    <t>Triangulation is the practice of obtaining more reliable answers to research questions through integrating results from several different approaches, where each approach has different key sources of potential bias that are unrelated to each other. With respect to causal questions in aetiological epidemiology, if the results of different approaches all point to the same conclusion, this strengthens confidence in the finding. This is particularly the case when the key sources of bias of some of the approaches would predict that findings would point in opposite directions if they were due to such biases. Where there are inconsistencies, understanding the key sources of bias of each approach can help to identify what further research is required to address the causal question. The aim of this paper is to illustrate how triangulation might be used to improve causal inference in aetiological epidemiology. We propose a minimum set of criteria for use in triangulation in aetiological epidemiology, summarize the key sources of bias of several approaches and describe how these might be integrated within a triangulation framework. We emphasize the importance of being explicit about the expected direction of bias within each approach, whenever this is possible, and seeking to identify approaches that would be expected to bias the true causal effect in different directions. We also note the importance, when comparing results, of taking account of differences in the duration and timing of exposures. We provide three examples to illustrate these points.</t>
  </si>
  <si>
    <t>S400-013</t>
  </si>
  <si>
    <t>SCOPUS_ID:77958157041</t>
  </si>
  <si>
    <t>10.1016/j.amepre.2010.07.009</t>
  </si>
  <si>
    <t>Adoption of policies to treat tobacco dependence in U.S. medical groups</t>
  </si>
  <si>
    <t>American Journal Of Preventive Medicine</t>
  </si>
  <si>
    <t>Background There remains an ongoing need to reduce tobacco use in the U.S. Physician organizations, such as medical groups, can support healthcare providers to be more effective in their delivery of tobacco cessation by adopting practices recommended in the Public Health Service Clinical Practice Guideline for Treating Tobacco Use and Dependence (PHS Guideline). Purpose To document the extent to which activities to reduce tobacco use, as recommended in the PHS Guideline as system-level interventions, are provided within large medical groups in the U.S. Methods During 20062007, data were collected on 339 medical groups operating in the U.S., with 20 or more physicians treating at least one of four chronic conditions. Organizations were surveyed regarding activities to reduce tobacco use as recommended in the PHS Guideline as system-level interventions (i.e., tobacco-use status documentation, policies to promote provider interventions, and staff dedicated to treating tobacco dependence). Between 2008 and 2009, bivariate associations and multivariate logistic regression models assessed the relationship of organizational characteristics and external incentives with adoption of systems strategies for treating tobacco dependence. Results Nearly 83% of medical groups with 20 or more physicians operating in the U.S. in 20062007 have adopted one or more strategies recommended as effective to support the treatment of tobacco dependence. However, only 5.6% of medical groups engage in all eight tobacco control activities examined in this study. The two factors that were associated most consistently with medical group policies to treat tobacco dependence were the patient-centeredness of the organization and participation in a quality demonstration program. Conclusions There is much room for improvement in increasing medical group adoption of systems strategies to reduce tobacco use. The findings in this paper suggest recommendations to achieve these improvements. © 2010 American Journal of Preventive Medicine.</t>
  </si>
  <si>
    <t>the authors do not give specific recommendations though, so on the fence here</t>
  </si>
  <si>
    <t>S400-014</t>
  </si>
  <si>
    <t>SCOPUS_ID:34548386735</t>
  </si>
  <si>
    <t>10.1093/eurpub/ckl245</t>
  </si>
  <si>
    <t>Trends in vigorous physical activity and TV watching of adolescents from 1986 to 2002 in seven European Countries</t>
  </si>
  <si>
    <t>['Adolescents', 'Europe', 'Physical activity', 'Trends', 'TV watching']</t>
  </si>
  <si>
    <t>Background: The aim is to study trends in physical activity and TV viewing in seven European countries in the period 1985-2002. Methods: The data are collected through questionnaires in the survey 'Health Behaviour in School-aged Children. A WHO Cross-national study', using nationally representative samples of 11-, 13-, and 15-year-olds. Between 1985/86 and 2001/02, a standard set of items was used to measure vigorous physical activity and TV watching in the study. Austria, Finland, Hungary, Norway, Scotland, Sweden, and Wales used these measures in all surveys. Results: Between 1985/86 and 2001/02, there was a slight increase in Finland in the proportions reporting vigorous physical activity 4 or more times a week, whereas as pattern of stability was observed for the other countries. Across all surveys and countries boys were more likely to report regular vigorous physical activity than girls. No clear pattern emerges when examining trends over time in TV watching. Boys reported spending more time watching TV than girls in all countries. The correlation between the two behaviours at the 1986 and 1998 measurement points was non-significant. Conclusion: The finding that boys were more likely to report regular vigorous physical activity and TV watching confirms results of previous studies. The present study of seven European countries generally indicates stability or a small increase in physical activity of boys and girls aged 11-15 from the mid-1980s to the early 2000s. © 2006. The Author(s).</t>
  </si>
  <si>
    <t>S400-015</t>
  </si>
  <si>
    <t>SCOPUS_ID:0032794564</t>
  </si>
  <si>
    <t>10.1097/00001648-199909000-00011</t>
  </si>
  <si>
    <t>Menstrual and reproductive factors for salivary gland cancer risk in women</t>
  </si>
  <si>
    <t>Epidemiology</t>
  </si>
  <si>
    <t>['Menstrual factors', 'Reproductive factors', 'Risk factors', 'Salivary gland cancer', 'Women']</t>
  </si>
  <si>
    <t>Several observations suggest that salivary gland cancer may be, in part, a hormonally dependent disease. We examined associations between hormonally mediated life events and salivary gland cancer risk in a population-based case-control study. Of 76 women diagnosed between 1989 and 1993, 63 (83%) were interviewed. Of 111 population controls, 83 (75%) were interviewed. Early menarche (OR = 4.1, 95% CI = 1.4-12.1) and nulliparity (OR = 2.6, 95% CI = 1.0-6.7) were associated with increased risk whereas late age at first full-term pregnancy (OR = 0.19, 95% CI = 0.3-1.2) and longer duration of oral contraceptive use (OR = 0.31, 95% CI = 0.10-1.0) were associated with diminished risk. These findings are consistent with a hormonal component in salivary gland cancer risk.</t>
  </si>
  <si>
    <t>S400-016</t>
  </si>
  <si>
    <t>SCOPUS_ID:85061033867</t>
  </si>
  <si>
    <t>10.1097/EDE.0000000000000945</t>
  </si>
  <si>
    <t>Comparison of Methods for Algorithmic Classification of Dementia Status in the Health and Retirement Study</t>
  </si>
  <si>
    <t>['Algorithms', "Alzheimer's disease", 'Dementia', 'Health and Retirement Study']</t>
  </si>
  <si>
    <t>Dementia ascertainment is time-consuming and costly. Several algorithms use existing data from the US-representative Health and Retirement Study (HRS) to algorithmically identify dementia. However, relative performance of these algorithms remains unknown. Methods: We compared performance across five algorithms (Herzog-Wallace, Langa-Kabeto-Weir, Crimmins, Hurd, Wu) overall and within sociodemographic subgroups in participants in HRS and Wave A of the Aging, Demographics, and Memory Study (ADAMS, 2000-2002), an HRS substudy including in-person dementia ascertainment. We then compared algorithmic performance in an internal (time-split) validation dataset including participants of HRS and ADAMS Waves B, C, and/or D (2002-2009). Results: In the unweighted training data, sensitivity ranged from 53% to 90%, specificity ranged from 79% to 97%, and overall accuracy ranged from 81% to 87%. Though sensitivity was lower in the unweighted validation data (range: 18%-62%), overall accuracy was similar (range: 79%-88%) due to higher specificities (range: 82%-98%). In analyses weighted to represent the age-eligible US population, accuracy ranged from 91% to 94% in the training data and 87% to 94% in the validation data. Using a 0.5 probability cutoff, Crimmins maximized sensitivity, Herzog-Wallace maximized specificity, and Wu and Hurd maximized accuracy. Accuracy was higher among younger, highly-educated, and non-Hispanic white participants versus their complements in both weighted and unweighted analyses. Conclusion: Algorithmic diagnoses provide a cost-effective way to conduct dementia research. However, naïve use of existing algorithms in disparities or risk factor research may induce nonconservative bias. Algorithms with more comparable performance across relevant subgroups are needed.</t>
  </si>
  <si>
    <t>S400-017</t>
  </si>
  <si>
    <t>SCOPUS_ID:0025975542</t>
  </si>
  <si>
    <t>10.2105/AJPH.81.1.101</t>
  </si>
  <si>
    <t>The status of restrictive smoking policies: A survey of medical schools in the United States and Canada</t>
  </si>
  <si>
    <t>All schools of medicine in the United States (N = 128) and Canada (N = 16) were surveyed by telephone to determine if they had instituted policies to restrict smoking. Some policy restricting smoking was reported by 80.56 percent of US schools (N = 103) and by 93.8 percent of Canadian schools (N = 15). However, only 52.3 percent of US (N = 67) and 56.3 percent of Canadian medical schools (N = 9) indicated they had formal written policy statements. Only 13 percent of US schools and 19 percent of Canadian schools had banned smoking totally.</t>
  </si>
  <si>
    <t>S400-018</t>
  </si>
  <si>
    <t>SCOPUS_ID:85138127378</t>
  </si>
  <si>
    <t>10.1016/j.ypmed.2022.107223</t>
  </si>
  <si>
    <t>Rural and urban disparities in potentially preventable hospitalizations among US patients with Alzheimer's Disease and Related Dementias: Evidence of hospital-based telehealth and enabling services</t>
  </si>
  <si>
    <t>["Alzheimer's disease and related dementias", 'Enabling services', 'Preventable hospitalizations', 'Telehealth']</t>
  </si>
  <si>
    <t>We examined urban and rural disparities in potentially preventable hospitalizations (PPHs) among US patients with Alzheimer's Disease and Related Dementias (ADRD) and the use of telehealth post-discharge and enabling services as mediators. We merged 2017 100% Medicare Fee-For-Service (FFS) claims with the Medicare Beneficiary Summary File, along with population and hospital-based characteristics. Logistic regression models were employed to examine differences in PPHs by telehealth and enabling services. The rates of PPHs related to acute and chronic conditions for patients with ADRD living in rural and micropolitan areas were significantly higher compared to patients with ADRD in urban areas. Telehealth post-discharge combined with enabling services significantly decreased the odds of PPHs associated with acute (OR: 0.93, 95% CI: 0.89–0.98, P-value &lt;0.01) and chronic conditions (OR: 0.96, 95% CI: 0.92–1.00, P-value = 0.07). In addition, telehealth post-discharge combined with enabling services significantly decreased the odds of PPHs in patients with ADRD in rural (acute PPHs OR: 0.56, 95% CI: 0.41–0.77, P-value &lt;0.01; chronic PPHs OR: 0.73, 95% CI: 0.55–0.97, P-value = 0.03) and micropolitan (acute PPHs OR: 0.65, 95% CI: 0.57–0.73, P-value &lt;0.01; chronic PPHs OR: 0.83, 95% CI: 0.74–0.93, P-value &lt;0.01) areas. Our results suggest that the combinations of telehealth post-discharge and enabling services are important interventions in helping to reduce preventable hospitalizations among patients with ADRD living in rural and micropolitan areas.</t>
  </si>
  <si>
    <t>S400-019</t>
  </si>
  <si>
    <t>SCOPUS_ID:85026467281</t>
  </si>
  <si>
    <t>10.1093/eurpub/ckx042</t>
  </si>
  <si>
    <t>Whether people believe that overweight is unhealthy depends on their BMI</t>
  </si>
  <si>
    <t>An online experiment with 536 participants was conducted to investigate how people who differ in body weight perceive scientific information on body weight and mortality. The results showed that individuals who were aware that they are overweight were more inclined to trust a study that showed that overweight reduces mortality (P &lt; 0.001). This finding is relevant as the BMI-mortality association remains a matter of scientific and public debate and people's risk perceptions influences their willingness to change behaviour.</t>
  </si>
  <si>
    <t>S400-020</t>
  </si>
  <si>
    <t>SCOPUS_ID:0034049918</t>
  </si>
  <si>
    <t>10.1006/pmed.2000.0665</t>
  </si>
  <si>
    <t>Total Quality Leadership in the U.S. Navy: Effective for health promotion activities?</t>
  </si>
  <si>
    <t>['Disease prevention', 'Health survey', 'Military', 'Navy', 'Total Quality Leadership', 'Worksite health promotion']</t>
  </si>
  <si>
    <t>Background. Although the U.S. Navy mandated Total Quality Leadership (TQL) as a management strategy throughout its medical department in the early 1990s, it was unknown to what extent it was being used for health promotion activities and, if so, how effectively. Methods. A brief mail survey of 204 Navy commands supplemented by 97 telephone interviews to TQL-for-health- promotion-using commands and nonusing controls provided worksite information on TQL implementation. Responses from a Navywide health and fitness survey provided perceptions and health behavior attitudes from the individuals at commands. Results. A total of 32% of commands surveyed had used TQL specifically for improving health- and fitness-related processes and outcomes between 1991 and 1995. Participants at commands that had used TQL for health- and fitness-related processes reported a higher importance of good health (P &lt; 0.05) and were more certain that they would reach and or maintain their ideal weight (P &lt; 0.05) than participants at non-TQL commands. However, there were no significant differences in perceptions of command support for health and fitness between TQL and non-TQL commands. Conclusions. Several factors and organizational arrangements that were pertinent to the development and practice of TQL in the Navy were identified. The use of TQL specifically for health promotion was not consistently related to health-related perceptions or health behavior attitudes.</t>
  </si>
  <si>
    <t>S400-021</t>
  </si>
  <si>
    <t>SCOPUS_ID:77952306138</t>
  </si>
  <si>
    <t>10.1093/ije/dyp229</t>
  </si>
  <si>
    <t>Resting heart rate and blood pressure, independent of each other, proportionally raise the risk for type-2 diabetes mellitus</t>
  </si>
  <si>
    <t>['Blood pressure', 'Diabetes', 'Follow-up study', 'Heart rate', 'Risk factors']</t>
  </si>
  <si>
    <t>Background: Fast heart rate and high blood pressure (BP) at rest may raise risk for the development of type-2 diabetes mellitus (DM). We therefore investigated dose-response and interactive effects of resting heart rate and BP on the incidence of DM in a Japanese population. Methods: A follow-up study was conducted for 16 828 men and 8368 women aged 30-59 years and apparently healthy at baseline. Incident DM was identified by 'fasting serum glucose &gt;7.00 mmol/l (126 mg/dl)' or/and 'under medical treatment for DM'. Using Cox proportional hazard models, hazard ratio (HR) for incident DM were estimated according to the quartiles of heart rate, systolic or diastolic BP (SBP, DBP), and its linear trends were checked by computing the three indices as continuous variables. Subsequently, interactive effects of slow/fast heart rate (dichotomized by the median) and low/high SBP or DBP (dichotomized by the median) on HR were examined. Baseline age, body mass index, smoking, drinking, exercise and education were computed as conventional confounders. Results: During the follow-up of 125 106 person-years for men and 59 616 person-years for women, 869 men and 224 women developed DM. The multivariate-adjusted HR for incident DM increased across quartiles of heart rate, SBP and DBP in both sexes (linear trend P&lt;0.001 for all). Neither sex showed any significant interactive effects of heart rate and SBP or DBP on HR. Conclusions: Resting heart rate and BP proportionally raise the risk for DM in middle-aged healthy men and women. Moreover, the adverse effects of fast heart rate and high BP are independent of each other as well as of the influences of conventional confounders. © The Author 2009; all rights reserved. Published by Oxford University Press on behalf of the International Epidemiological Association.</t>
  </si>
  <si>
    <t>S400-022</t>
  </si>
  <si>
    <t>SCOPUS_ID:0031863645</t>
  </si>
  <si>
    <t>10.1023/A:1007427925583</t>
  </si>
  <si>
    <t>Prevalence of bovine verotoxin-producing Escherichia coli in Argentina</t>
  </si>
  <si>
    <t>European Journal Of Epidemiology</t>
  </si>
  <si>
    <t>['Cattle', 'Escherichia coli', 'Intimin', 'Shiga-like toxins', 'Verotoxins']</t>
  </si>
  <si>
    <t>Faecal swabs obtained from 126 calves and 118 cows in Argentina were investigated for the presence of verotoxin-producing Escherichia coli (VTEC). VTEC strains were recovered from 10 (23%) of 43 calves with diarrhoea, from 24 (29%) of 83 healthy calves, from 40 (44%) of 91 healthy cows waiting at the slaughterhouse, and from 6 (22%) of 27 healthy grazing cattle. PCR showed that 21 (9%) of animals carried VT1+ strains, 49 (20%) VT2+ strains and 10 (4%) VT1+ VT2+ strains. VT1+ strains predominated among calves (16% versus 0.8%; p &lt; 0.001). The presence of eae gene was significantly more frequent among VTEC strains isolated from calves (78%; 46/59) than from cows (2%; 1/65) (p &lt; 0.001). Furthermore, eae gene was more prevalent in VT1+ strains (97%; 32/33) than in VT2+ strains (14%; 10/70) (p &lt; 0.001) and in VT1+ VT2+ strains (24%; 5/21) (p &lt; 0.001). Sorbitol negative high virulent strains sero-groups O157 were not detected. This study indicates that cattle are a reservoir of VTEC strains, and that eae gene is associated with VT1+ strains that are predominating among young animals. Fortunately, only adult animals are taken to the slaughterhouse, among which VTEC strains negative for eae gen are predominating.</t>
  </si>
  <si>
    <t>not a human study, surprised it's even included</t>
  </si>
  <si>
    <t>S400-023</t>
  </si>
  <si>
    <t>SCOPUS_ID:0006096230</t>
  </si>
  <si>
    <t>10.1093/eurpub/3.4.290</t>
  </si>
  <si>
    <t>A case-control assessment of risk factors for Haemophilus influenzae type b meningitis</t>
  </si>
  <si>
    <t>['Children', 'Haemophilis influenzae type b', 'Meningitis', 'Risk factors']</t>
  </si>
  <si>
    <t>A matched-pair comparison of 50 cases of Haemophilis influenzae type b meningitis and healthy controls in Seattle, Washington, USA identified daycare attendance as a significant risk factor (0.01-3 eight hour days per week, OR=2.69; &gt;3 eight hour days per week, OR=4.72) and breast-feeding (1-9 months OR=0.38; &gt;9 months OR=0.12) as protective against this disease. In view of lack of accessibility of the new efficacious vaccine to some populations, awareness of the risk factors for this disease is still important for the development of alternative health care strategies. © 1993 European Journal of Public Health.</t>
  </si>
  <si>
    <t>S400-024</t>
  </si>
  <si>
    <t>SCOPUS_ID:85184817755</t>
  </si>
  <si>
    <t>10.1016/j.ypmed.2024.107892</t>
  </si>
  <si>
    <t>Identifying overlaps and disconnects between media reports and official records of nonfatal firearm injuries in Indianapolis, Indiana, 2021–2022</t>
  </si>
  <si>
    <t>['Communities', 'Data linkage', 'Firearm injuries', 'Media', 'Structural disadvantage']</t>
  </si>
  <si>
    <t>Objective: Open-source data systems, largely drawn from media sources, are commonly used by scholars due to the lack of a comprehensive national data system. It is unclear if these data provide an accurate and complete representation of firearm injuries and their context. The study objectives were to compare firearm injuries in official police records with media reports to better identify the characteristics associated with media reporting. Methods: Firearm injuries were identified in open-source media reports and compared to nonfatal firearm injury (n = 1642) data from official police records between January 1, 2021 to December 31, 2022 in Indianapolis, Indiana. Events were matched on date, location, and event circumstances. Four multivariate, multi-level mixed effects logistic regression models were conducted to assess which survivor, event, and community characteristics were associated with media reporting. Data were analyzed 2023 – January 2024. Results: Media reported 41% of nonfatal shootings in 2021 and 45% in 2022(p &lt; 0.05), which is approximately two out of every five shootings. Shootings involving multiple survivors, children, and self-defense were more likely to be reported, whereas unintentional shootings and shootings that occurred in structurally disadvantaged communities were less likely to be reported. Conclusions: Findings suggest that relying on media reports of firearm injuries alone may misrepresent the numbers and contexts of shootings. Public health interventions that educate journalists about these important issues may be an impactful firearm violence prevention strategy. Also, it is critical to link data systems at the local level to ensure interventions are designed and evaluated using accurate data.</t>
  </si>
  <si>
    <t>S400-025</t>
  </si>
  <si>
    <t>SCOPUS_ID:84866321529</t>
  </si>
  <si>
    <t>10.2105/AJPH.2012.300934</t>
  </si>
  <si>
    <t>Effects of home visiting on adolescent mothers' parenting attitudes</t>
  </si>
  <si>
    <t>We examined the impact of a home visiting intervention on 227 adolescent mothers' parenting attitudes. At enrollment, half of mothers were at risk for child maltreatment. Mothers assigned to intervention (n = 161) received home visits and case management. Intervention and comparison mothers (n = 66) participated in monthly peer group meetings. Regression analyses controlling for enrollment differences indicated that intervention group mothers had significant improvements in 3 of 5 subscales and in total Adult-Adolescent Parenting Inventory-2 scores relative to the comparison group.</t>
  </si>
  <si>
    <t>didn't extract full abstract</t>
  </si>
  <si>
    <t>https://ajph.aphapublications.org/doi/full/10.2105/AJPH.2012.300934</t>
  </si>
  <si>
    <t>S400-026</t>
  </si>
  <si>
    <t>SCOPUS_ID:33645464863</t>
  </si>
  <si>
    <t>10.1093/eurpub/cki199</t>
  </si>
  <si>
    <t>Breastfeeding duration is determined by only a few factors</t>
  </si>
  <si>
    <t>['Breastfeeding', 'Influencing factors', 'Outcome prognosis', 'Resource allocation']</t>
  </si>
  <si>
    <t>Background: According to a representative German study prepared between 1996 and 1998 (SuSe-Study) 90% of the mothers were willing to breastfeed, but only 33% (10%) of the babies were exclusively breastfed up to 4 (6) months of age. Bearing in mind that the period currently recommended for breastfeeding is 6 months, this discrepancy highlights the need for action to identify the causes. The present study investigates the behavioural pattern of mothers 4-5 months after delivery. Methods: The investigation was carried out as a cross-sectional study of mothers who intended to breastfeed their babies (n = 52). All mothers delivered in a hospital, with maximum medical care, and were interviewed later by telephone using a semi-standardised questionnaire. The differences between actual breastfeeding mothers (BF, n = 30) and non-breastfeeding mothers (not BF, n = 22) were identified. The factors influencing decision-making were determined. Results: Significant differences between the two groups tested (BF and not BF) were identified as the perception of the simplicity of breastfeeding, planned pregnancy, marital status, as well as participation at birth preparation classes. If only factors known prior to birth are applied, the decision to breastfeed can be correctly forecast as being 81%. Conclusion: In order to allocate consulting resources more effectively, appropriate concepts need to be developed and promoted. If the present results could be verified by a study with a larger sample, the practical use for resource optimisation in breastfeeding consultations would be very beneficial. © The Author 2005. Published by Oxford University Press on behalf of the European Public Health Association. All rights reserved.</t>
  </si>
  <si>
    <t>although they do say that their findings need to be confrimed</t>
  </si>
  <si>
    <t>S400-027</t>
  </si>
  <si>
    <t>SCOPUS_ID:20544447667</t>
  </si>
  <si>
    <t>10.1093/aje/kwi141</t>
  </si>
  <si>
    <t>Large-scale comparative analysis of pertussis population dynamics: Periodicity, synchrony, and impact of vaccination</t>
  </si>
  <si>
    <t>['Comparative analysis', 'Periodicity', 'Population surveillance', 'Vaccination', 'Wavelet methods', 'Whooping cough']</t>
  </si>
  <si>
    <t>Pertussis is a worldwide infectious disease which persists despite massive vaccination campaigns that have gone on for several decades. To obtain an overall view of pertussis dynamics and the impact of vaccination, the authors performed, using the wavelet method, a comparative analysis of pertussis time series in 12 countries to detect and quantify periodicity and synchrony between them. Results showed a clear 3- to 4-year cycle in all countries, but the main finding was that this periodicity was transient. No global pattern in the effect of vaccination on pertussis dynamics was observed, but some spatial synchrony between countries was detected. This large-scale comparative analysis of pertussis dynamics sheds light on the complexity of the multiple interactions involved in global pertussis spatial dynamic patterns. It suggests a need to perform a global survey of human infectious diseases over the long term, which would permit better assessment of the risk of disease outbreaks in the future. Copyright © 2005 by the Johns Hopkins Bloomberg School of Public Health. All rights reserved.</t>
  </si>
  <si>
    <t>to me, they suggest further research rather than a policy implication?</t>
  </si>
  <si>
    <t>S400-028</t>
  </si>
  <si>
    <t>SCOPUS_ID:0035148770</t>
  </si>
  <si>
    <t>10.1136/jech.55.2.80</t>
  </si>
  <si>
    <t>An explanation of the persistent doctor-mortality association</t>
  </si>
  <si>
    <t>Journal Of Epidemiology And Community Health</t>
  </si>
  <si>
    <t>Study objective - The aim of the study is to explain the persistent but puzzling positive correlation of physicians per capita and mortality rates, when income is controlled, which has been reported many times since it was first observed in 1978. The explanation that is proposed and tested is that expanding urban-industrial regions attract an oversupply of doctors. Also, but independently, rural people migrate to urban-industrial areas where they suffer from the stress of adapting to urban-industrial life. Consequently, their death rates rise. Source material - Using data from the 47 Japanese prefectures, the 3000+ counties of the USA and a set of 29 mostly European countries, the explanation was examined by adding the appropriate test variable to a basic equation linking physicians per capita to mortality, net of income. Results - The test variables dissolved or reduced the original correlation in two of the three samples, but the signs did not change from positive to negative, as would be expected on the basis of conventional biomedical theory. The available test variable (refugees) did not reduce the correlation for the 29 countries but a particular subset of countries was identified that did. Conclusion - The conceptual and empirical analysis exposed the positive correlation as spurious, but the availability of medical specialists had little impact on mortality rates in competition with the social and economic variables that were used as controls.</t>
  </si>
  <si>
    <t>S400-029</t>
  </si>
  <si>
    <t>SCOPUS_ID:0034535398</t>
  </si>
  <si>
    <t>10.1023/A:1026793615987</t>
  </si>
  <si>
    <t>Childhood cancer survival in Cuba</t>
  </si>
  <si>
    <t>['Cancer Registry', 'Childhood cancer', 'Survival']</t>
  </si>
  <si>
    <t>Reports dealing with childhood cancer population-based survival have not yet been published in Cuba. A survival study including cases reported to the National Cancer Registry in the period 1988-1989 have been accomplished in the National Cancer Registry of Cuba. A comprehensive view of its results in childhood cancer is intended to be shown in this paper. All sites childhood cancer cases aged below 15 years (400) and reported in this period were included derived from a total of 578 incident cases. Vital status of cases was checked-up to December of 1994 by a mixed follow-up. Survival analysis was achieved by the life-table method using the SPSS for Windows software. Relative survival rates were not included because no differences were appreciated with the observed ones. Cases between 0-4 years and females account for the highest frequencies. Leukaemia accounts for 27% of the cases, followed by lymphomas and tumours of the central nervous system. Lymphoid and non-lymphoid acute leukaemia had 41 and 9% 5-year survival rate respectively being the latter comparable with Bangalore, India (10%). For lymphomas, Hodgkin's disease present better prognosis compared with non-Hodgkin lymphoma with 73 and 35% 5-year survival rates, respectively. Figures are comparable to the corresponding to Bangalore, India (72 and 33%, respectively). For time trends survival distribution were compared by period of diagnosis (1982/1988-1989). In all cases differences resulted statistically non-significant with lower rates for 1988-1989 except for lymphomas. International reports show increasing time trends for childhood cancer. Nevertheless, these results may serve as a milestone for future comparisons, corresponding with the creation of the National Program for Childhood Cancer Control and future studies will confirm the success of its measures.</t>
  </si>
  <si>
    <t>S400-030</t>
  </si>
  <si>
    <t>SCOPUS_ID:57149102085</t>
  </si>
  <si>
    <t>10.2105/AJPH.2008.137018</t>
  </si>
  <si>
    <t>Anabolic-androgenic steroid use and involvement in violent behavior in a nationally representative sample of young adult males in the United States</t>
  </si>
  <si>
    <t>We examined the effects of anabolic-androgenic steroid use on serious violent behavior. Multivariate models based on data from the National Longitudinal Study of Adolescent Health (N=6823) were used to examine the association between lifetime and past-year self-reported anabolic-androgenic steroid use and involvement in violent acts. Compared with individuals who did not use steroids, young adult males who used anabolic-androgenic steroids reported greater involvement in violent behaviors after we controlled for the effects of key demographic variables, previous violent behavior, and polydrug use.</t>
  </si>
  <si>
    <t>S400-031</t>
  </si>
  <si>
    <t>SCOPUS_ID:0029557074</t>
  </si>
  <si>
    <t>10.1136/jech.49.6.575</t>
  </si>
  <si>
    <t>Seasonal variation in coronary heart disease in Scotland</t>
  </si>
  <si>
    <t>Study objective - Seasonality of coronary heart disease (CHD) was examined to determine whether fatal and non-fatal disease have the same annual rhythm. Design - Time series analysis was carried out on retrospective data over a 10 year period and analysed by age groups (&lt;45 to gt;75 years) and gender. Setting - Data by month were obtained for the years 1962-71. The Registrar General provided information on deaths and the Research and Intelligence Unit of the Scottish Home and Health Department on hospital admissions. Subjects - In Scotland, between 1962 and 1971, 123 000 patients were admitted to hospital for CHD, of whom 29000 died. There were a further 97 000 CHD deaths outside hospital. These two groups were also examined as one (coronary incidence) - that is, all coronary deaths and coronary admissions discharged alive. Statistical analysis and main results - Where there was a single annual peak, the sine curve was analysed by cosinor analysis. When there were two peaks the analysis was by normal approximation to Poisson distribution. In younger men (under 45 years) admitted to hospital there was a dominant spring peak and an autumn trough. A bimodal pattern of spring and winter peaks was evident for hospital admissions in older male age groups: with increasing age the spring peak diminished and the winter peak increased. In contrast, female hospital admissions showed a dominant winter/summer pattern of seasonal variation. In male and female CHD deaths seasonal variation showed a dominant pattern of winter peaks and summer troughs, with the winter peak spreading into spring in the two youngest male age groups. CHD incidence in women showed a winter/summer rhythm, but in men the spring peak was dominant up to the age of 55. Conclusions - The male, age related spring peak in CHD hospital admissions suggests there is an androgenic risk factor for myocardial infarction operating through an unknown effector mechanism. As age advances and reproduction becomes less important, the well defined winter/summer pattern of seasonal variation in CHD is superimposed, and shows a close relationship with the environment, especially temperature, or the autumn and early winter fall in temperature.</t>
  </si>
  <si>
    <t>S400-032</t>
  </si>
  <si>
    <t>SCOPUS_ID:0036876412</t>
  </si>
  <si>
    <t>10.1016/S0749-3797(02)00513-5</t>
  </si>
  <si>
    <t>Seatbelt use, attitudes, and changes in legislation - An international study</t>
  </si>
  <si>
    <t>['Attitude', 'Motor vehicles', 'Public health', 'Seat belts', 'Students', 'Wounds and injuries']</t>
  </si>
  <si>
    <t>Background: The use of seat belts is among the most effective methods of reducing injury in motor vehicle crashes. We examined trends in seat belt use by university students from 13 European countries between 1990 and 2000, in relation to changes in legislation, attitudes, and hazardous driver behaviors. Methods: Data were collected via an anonymous standardized questionnaire from university students in Belgium, England, France, Germany, Greece, Hungary, Iceland, Ireland, Italy, the Netherlands, Poland, Portugal, and Spain. There were 10,576 respondents in 1990, and 10,294 in 2000. Data were also collected from 1672 students in the United States in 2000. Analyses were performed in early 2002. Results: Reported seat belt use increased from 63% to 73% in male students, and from 66% to 77% in female students over the decade. There were marked increases in seat belt use in countries with changes in legislation or enforcement from 1990 to 2000, with 24% to 64% more respondents reporting seat belt use in 2000. The prevalence of use and noted changes during this period correlated with findings from national surveys (r= 0.91). Attitudes to seat belt use were associated with behavior both within and between countries. Nonuse of seat belts was positively related to alcohol-impaired driving and failure to obey speed limits. Conclusions: Legislation has a substantial impact on the use of vehicle seat belts, but additional gains require efforts to change attitudes within the university student population. © 2002 American Journal of Preventive Medicine.</t>
  </si>
  <si>
    <t>S400-033</t>
  </si>
  <si>
    <t>SCOPUS_ID:74549114742</t>
  </si>
  <si>
    <t>10.1097/EDE.0b013e3181b5f3b0</t>
  </si>
  <si>
    <t>Mental vulnerability and survival after cancer</t>
  </si>
  <si>
    <t>Background: It has been hypothesized that personality traits affect survival after cancer, but studies have produced inconsistent results. This study examined the association between mental vulnerability and survival after cancer in Denmark in a prospective cohort study. Methods: Between 1976 and 2001, 12733 residents of Copenhagen completed a questionnaire eliciting information on a 12-item mental vulnerability scale, as well as various personal data. Follow-up in the Danish Cancer Registry until 2003 identified 884 incident cases of primary cancer and follow-up for death from the date of cancer diagnosis until 2003 identified 382 deaths. Mental vulnerability scores were divided into 4 approximately equal-sized groups. Cox proportional hazards regression models were used to estimate the hazard ratio (HR) of all-cause mortality. Results: Multivariate HR for all-cause mortality for persons in the highest category of mental vulnerability compared with those at the lowest was 1.1 (95% confidence interval = 0.9-1.5). Conclusion: We found no support for the hypothesis that mental vulnerability is associated with survival aller cancer diagnosis. Copyright © 2009 by Lippincott Williams &amp; Wilkins.</t>
  </si>
  <si>
    <t>S400-034</t>
  </si>
  <si>
    <t>SCOPUS_ID:84960395680</t>
  </si>
  <si>
    <t>10.1093/aje/kwv299</t>
  </si>
  <si>
    <t>The potential trajectory of carbapenem-resistant enterobacteriaceae, an emerging threat to health-care facilities, and the impact of the centers for disease control and prevention toolkit</t>
  </si>
  <si>
    <t>['carbapenem-resistant Enterobacteriaceae', 'control measures', 'coordinated responses', 'regional spread', 'surveillance']</t>
  </si>
  <si>
    <t>Carbapenem-resistant Enterobacteriaceae (CRE), a group of pathogens resistant to most antibiotics and associated with high mortality, are a rising emerging public health threat. Current approaches to infection control and prevention have not been adequate to prevent spread. An important but unproven approach is to have hospitals in a region coordinate surveillance and infection control measures. Using our Regional Healthcare Ecosystem Analyst (RHEA) simulation model and detailed Orange County, California, patient-level data on adult inpatient hospital and nursing home admissions (2011-2012), we simulated the spread of CRE throughout Orange County health-care facilities under 3 scenarios: no specific control measures, facility-level infection control efforts (uncoordinated control measures), and a coordinated regional effort. Aggressive uncoordinated and coordinated approaches were highly similar, averting 2,976 and 2,789 CRE transmission events, respectively (72.2% and 77.0% of transmission events), by year 5. With moderate control measures, coordinated regional control resulted in 21.3% more averted cases (n = 408) than did uncoordinated control at year 5. Our model suggests that without increased infection control approaches, CRE would become endemic in nearly all Orange County health-care facilities within 10 years. While implementing the interventions in the Centers for Disease Control and Prevention's CRE toolkit would not completely stop the spread of CRE, it would cut its spread substantially, by half.</t>
  </si>
  <si>
    <t>S400-035</t>
  </si>
  <si>
    <t>SCOPUS_ID:0036230530</t>
  </si>
  <si>
    <t>10.1097/00001648-200205000-00020</t>
  </si>
  <si>
    <t>The urban spread of visceral leishmaniasis: Clues from spatial analysis</t>
  </si>
  <si>
    <t>['Brazil', 'Clustering', 'Geographic information systems', 'Infectious disease', 'Smoothing', 'Spatial analysis', 'Visceral leishmaniasis']</t>
  </si>
  <si>
    <t>Background. The pattern of spread of visceral leishmaniasis in Brazilian cities is poorly understood. Methods. We used geographic information systems and spatial statistics to evaluate the distribution of 1061 cases of visceral leishmaniasis in Teresina, Brazil, in 1993 through 1996. Results. A locally weighted (LOESS) regression model, which was fit as a smoothed function of spatial coordinates, demonstrated large-scale variation, with high incidence rates in peripheral neighborhoods that bordered forest land and pastures. Moran's I indicated small-scale variation and clustering up to 300 m, roughly the flight range of the sand fly vector. Conclusions. Spatial analytical techniques can identify high-risk areas for targeting control interventions.</t>
  </si>
  <si>
    <t>S400-036</t>
  </si>
  <si>
    <t>SCOPUS_ID:35648998938</t>
  </si>
  <si>
    <t>10.1093/eurpub/ckl262</t>
  </si>
  <si>
    <t>Diet and exercise intervention in a general population - Mediators of participation and adherence: The Inter99 study</t>
  </si>
  <si>
    <t>['Community participation', 'Diet', 'Exercise', 'Intervention study', 'Mediators']</t>
  </si>
  <si>
    <t>Background: Drop-out rates are high in many lifestyle programmes. To promote adherence, the aim of this study was to identify mediators of participation in a diet and exercise (DE) intervention in a general population. Methods: Data were baseline data from a randomized non-pharmacological clinical trial in Copenhagen during 1999-2001. The participation rate was 53.3%. Participants at high risk of ischaemic heart disease (IHD) and who were offered participation in a DE counselling group intervention were included (N = 2022). Clinical characteristics, and demographic, psychosocial and lifestyle factors were measured. Results: Mediators of acceptance of participation were awareness of an unhealthy lifestyle or a bad health, low self-rated care of own health, perceived susceptibility of cardiovascular disease (CVD; overall and associated with lifestyle), high degree of motivation towards dietary changes and low self-efficacy about increasing physical activity. Overweight and impaired glucose tolerance (IGT)/screen-detected diabetes predicted acceptance whereas an absolute risk score for IHD was inverse associated with acceptance. Mediators of high adherence were low self-efficacy about changing dietary habits and perceived susceptibility of CVD and furthermore screen-detected diabetes and overweight predicted high adherence. Conclusion: Awareness of unhealthy lifestyle, perceived susceptibility of disease and motivation towards lifestyle changes were important mediators of participation. Screen-detected diabetes/IGT predicted participation and adherence whereas overweight individuals were more likely to accept but also to drop out of the course. The use of an absolute risk score in health promotion should be further evaluated. © The Author 2006. Published by Oxford University Press on behalf of the European Public Health Association. All rights reserved.</t>
  </si>
  <si>
    <t>They seem to ask for more research?</t>
  </si>
  <si>
    <t>S400-037</t>
  </si>
  <si>
    <t>SCOPUS_ID:0033024558</t>
  </si>
  <si>
    <t>10.1023/A:1007535722726</t>
  </si>
  <si>
    <t>How do general practitioners approach hepatitis C virus screening in France?</t>
  </si>
  <si>
    <t>['Anti-HCV testing', 'Blood transfusion', 'France', 'General practice', 'Sentinel network']</t>
  </si>
  <si>
    <t>To estimate the prevalence of infection by hepatitis C virus (HCV) in general practice, and to investigate attitudes to screening for HCV, a specific questionnaire was sent to the sentinel general practitioners (SGPs) of the French Sentinel Network. From the figures reported by SGPs, the number of anti-HCV tests performed in general practice during the six months before the survey (July-December 1994) was extrapolated to about 350,000 tests for the whole of France during all of 1994 (95% CI: 314,000-382,000). Of the 312 participating SGPs, 224 (72%) had prescribed at least one anti-HCV test during these six months, and 217 (70%) knew of at least one anti-HCV-positive patient in their practice. With regard to their screening attitudes, 244 SGPs (78%) said they had prescribed anti-HCV tests for patients with no signs of previous or recent hepatitis infection; SGPs who had at least two HCV- positive patients in their practice were more likely to screen for anti-HCV than SGPs who did not (94% vs. 72%, p &lt; 0.001). The main reason for prescription were that patients had an anti-HIV-positive status, were intravenous drug users and/or were blood transfusion recipients. For the 88 SGPS who had not prescribed any anti-HCV test during the six months before the study, the main reasons given were that few patients were at risk in their practice (81 SGPs) and that the risk factors for HCV infection were not well known (12 SGPs). Only 6 SGPs gave the absence of effective treatment as a reason for non-prescription. From the figures reported by SGPs, we extrapolated to 100,000 (95% CI: 90,000-110,000) the number of anti-HCV- positive patients known by the 52,000 French general practitioners in 1994. These results indicate that the sentinel network may be a useful tool for assessing the evolution of attitudes to HCV screening in general practice.</t>
  </si>
  <si>
    <t>S400-038</t>
  </si>
  <si>
    <t>SCOPUS_ID:85028983494</t>
  </si>
  <si>
    <t>10.1007/s10654-017-0298-z</t>
  </si>
  <si>
    <t>Relationship of very low serum 25-hydroxyvitamin D&lt;inf&gt;3&lt;/inf&gt; levels with long-term survival in a large cohort of colorectal cancer patients from Germany</t>
  </si>
  <si>
    <t>['Colorectal cancer', 'Dose–response relationship', 'Survival', 'Vitamin D']</t>
  </si>
  <si>
    <t>To investigate the association of serum 25-hydroxyvitamin D (25(OH)D3) with survival in a large prospective cohort study of colorectal cancer (CRC) patients. The study population consisted of 2,910 patients diagnosed with CRC between 2003 and 2010 who participated in the DACHS study, a multicenter study from Germany with comprehensive long-term follow-up. 25(OH)D3 was determined in serum samples collected shortly after cancer diagnosis by High Performance Liquid Chromatography-Electro Spray Ionization-Mass Spectrometry. Analyses of survival outcomes were performed using Cox regression with comprehensive adjustment for relevant confounders. The majority (59%) of CRC patients were vitamin D deficient (serum 25(OH)D3 levels &lt;30 nmol/L). During a median follow-up of 4.8 years, 787 deaths occurred, 573 of which were due to CRC. Compared to patients in the highest 25(OH)D3 quintile (&gt;45.20 nmol/L), those in the lowest 25(OH)D3 quintile (&lt;11.83 nmol/L) had a strongly increased mortality. Adjusted hazard ratios (95% Confidence Interval) were 1.78 (1.39–2.27), 1.65 (1.24–2.21), 1.32 (1.03–1.71) and 1.48 (1.18–1.85) for all-cause mortality, CRC-specific mortality, recurrence-free and disease-free survival, respectively. Subgroup analyses did not show any significant effect modification across strata defined by sex, age, stage, body mass index, or the late entry. Dose–response analyses showed a strong inverse relationship between serum 25(OH)D3 levels and survival endpoints at 25(OH)D3 levels &lt;30 nmol/L, and no association with mortality at higher 25(OH)D3 levels. Vitamin D deficiency is highly prevalent in CRC patients and a strong independent predictor of poor prognosis. The possibility of enhancing CRC prognosis by vitamin D supplementation, ideally combined with outdoor physical activity, should be evaluated by randomized controlled trials focusing on patients with vitamin D deficiency.</t>
  </si>
  <si>
    <t>borderline</t>
  </si>
  <si>
    <t>S400-039</t>
  </si>
  <si>
    <t>SCOPUS_ID:34548309485</t>
  </si>
  <si>
    <t>10.1016/j.ypmed.2007.06.014</t>
  </si>
  <si>
    <t>The effectiveness of brief advice and extended smoking cessation counseling programs when implemented routinely in hospitals</t>
  </si>
  <si>
    <t>['Brief intervention', 'Counseling', 'Hospital', 'Implementation', 'In-patient', 'Smoking cessation']</t>
  </si>
  <si>
    <t>Objective.: To evaluate the effectiveness of two in-hospital smoking cessation interventions - brief advice and extended counseling with follow-up. Methods.: The subjects (n = 770) were in-patients who were daily smokers or had stopped smoking 30 days preceding admission to 15 wards in five Swedish hospitals. All wards started with a control period. Thereafter, eight wards treated patients with brief advice by a nurse and seven provided bedside support by a trained counselor plus telephone support for up to 30 days after discharge. Results.: The one-year point prevalence self-reported cessation rate of 22% for brief advice and 28% for extended counseling was not significantly better than usual care. The odds ratios were 1.12 (95% CI 0.63, 2.01) and 1.25 (95% CI 0.80, 1.98) respectively. The response rate was 79%. Brief advice was refused by 17% of the patients and extended counseling by 34%. Only half of the brief advice and one third of counseled patients received the complete program, and cessation rates among them were 25% and 38% respectively. Conclusion.: In a hospital setting, neither brief advice nor extended counseling significantly increased cessation rates. However, patients who received the entire intervention were more successful at quitting. Effective implementation of current interventions may be more productive in reducing smoking than a search for better treatments. © 2007 Elsevier Inc. All rights reserved.</t>
  </si>
  <si>
    <t>S400-040</t>
  </si>
  <si>
    <t>SCOPUS_ID:0034880586</t>
  </si>
  <si>
    <t>10.1016/S0091-7435(01)80002-5</t>
  </si>
  <si>
    <t>Factors associated with daily smoking among Israeli adolescents: A prospective cohort study with a 3-year follow-up</t>
  </si>
  <si>
    <t>['Adolescents', 'Predictor variables', 'Smoking']</t>
  </si>
  <si>
    <t>Background. A prospective, 3-year cohort study of smoking habits was conducted among 9th grade pupils in Israel. Methods. A self-administered questionnaire was answered by pupils in the 9th grade and again in the 11th and 12th grades. Results. The baseline questionnaire was answered by 748 9th graders. In the 11th grade 448 (60%) completed the questionnaire for the second time, and in the 12th grade 388 (52%) completed the questionnaire. In all, 312 pupils (42% of the original cohort) completed all three questionnaires. There were no significant sociodemographic differences between these 312 and the original 748. Eight 9th graders (2.6%) were active smokers (at least one cigarette daily for the last month) compared with 64 (20.5%) in the 11th grade (P &lt; 0.0001 vs 9th grade) and 70 (22.4%) in the 12th grade (P = 0.34 vs 11th grade). Most pupils knew the health hazards of smoking. Variables associated with smoking in the 11th grade included religiosity (religion was associated with lower smoking rates, P = 0.07), past experimentation with smoking (P &lt; 0.0001), smoking among family members (P &lt; 0.01), perceived future smoking status (P &lt; 0.001), self-image (P &lt; 0.001), influence of a teacher (P = 0.07) or celebrity (P &lt; 0.05), and effect of peer pressure (P &lt; 0.01). These results were similar for the 12th grade students except for active or previous smoking by gender (a significantly greater proportion of females than males, P = 0.04). Conclusions. The study design reduces the potential bias of follow-up attrition on assessment of predictors for smoking initiation. Gender, social modeling and peer pressure, past experimentation with smoking, smoking among family members, role models, and self-image were associated with smoking. These factors should be emphasized in intervention programs. © 2001 American Health Foundation and Academic Press.</t>
  </si>
  <si>
    <t>S400-041</t>
  </si>
  <si>
    <t>SCOPUS_ID:33751575201</t>
  </si>
  <si>
    <t>10.2105/AJPH.2005.071035</t>
  </si>
  <si>
    <t>Racial/ethnic disparities in report of physician-provided smoking cessation advice: Analysis of the 2000 National Health Interview Survey</t>
  </si>
  <si>
    <t>Objectives. We explored racial/ethnic disparities in reports of smoking cessation advice among smokers who had visited a physician in the previous year. Also, we examined the likelihood of receipt of such advice across Hispanic subgroups and levels of English proficiency. Methods. We analyzed data from the 2000 National Health Interview Survey. Results. Nearly half of the 5652 respondents reported receiving smoking cessation advice from their doctor. Compared with Hispanics, and after control for a range of other factors, respondents in the non-Hispanic White (adjusted odds ratio [OR] = 1.57, 95% confidence interval [CI] =1.2, 2.0), non-Hispanic Black (adjusted OR = 1.44, 95% CI = 1.0, 2.0), and other non-Hispanic (adjusted OR = 2.19, 95% CI = 1.3, 3.6) groups were significantly more likely to report receiving advice. I English proficiency was not associated with receipt of physician advice among Hispanic smokers. Conclusions. Some 16 million smokers in the United States could not recall receiving advice to quit smoking from their physician in the preceding year. These missed opportunities, compounded by racial/ethnic disparities such as those observed between Hispanics and other groups and between Hispanic subgroups, suggest that considerably greater effort is needed to diminish the toll stemming from smoking and smoking-related diseases.</t>
  </si>
  <si>
    <t>S400-042</t>
  </si>
  <si>
    <t>SCOPUS_ID:0035283430</t>
  </si>
  <si>
    <t>10.1093/aje/153.5.453</t>
  </si>
  <si>
    <t>Associations of blood lead, dimercaptosuccinic acid-chelatable lead, and tibia lead with neurobehavioral test scores in South Korean lead workers</t>
  </si>
  <si>
    <t>['Cross-sectional studies', 'Lead', 'Lead poisoning, nervous system, adult', 'Nervous system', 'Neurobehavioral manifestations', 'Neurologic manifestations', 'Occupational exposure', 'Spectrometry, x-ray emission']</t>
  </si>
  <si>
    <t>The authors performed a cross-sectional study to evaluate associations between blood lead, tibia lead, and dimercaptosuccinic acid (DMSA)-chelatable lead and measures of neurobehavioral and peripheral nervous system function among 803 lead-exposed workers and 135 unexposed controls in South Korea. The workers and controls were enrolled in the study between October 1997 and August 1999. Central nervous system function was assessed with a modified version of the World Health Organization Neurobehavioral Core Test Battery. Peripheral nervous system function was assessed by measuring pinch and grip strength and peripheral vibration thresholds. After adjustment for covariates, the signs of the β coefficients for blood lead were negative for 16 of the 19 tests and blood lead was a significant predictor of worse performance on eight tests. On average, for the eight tests that were significantly associated with blood lead levels, an increase in blood lead of 5 μg/dl was equivalent to an increase of 1.05 years in age. In contrast, after adjustment for covariates, tibia lead level was not associated with neurobehavioral test scores. Associations with DMSA-chelatable lead were similar to those for blood lead. In these currently exposed workers, blood lead was a better predictor of neurobehavioral performance than was tibia or DMSA-chelatable lead, mainly in the domains of executive abilities, manual dexterity, and peripheral motor strength.</t>
  </si>
  <si>
    <t>S400-043</t>
  </si>
  <si>
    <t>SCOPUS_ID:0033047729</t>
  </si>
  <si>
    <t>10.1093/ije/28.1.113</t>
  </si>
  <si>
    <t>Capture-recapture method for estimating misclassification errors: Application to the measurement of vaccine efficacy in randomized controlled trials</t>
  </si>
  <si>
    <t>['Capture-recapture', 'Efficacy', 'Log-linear models', 'Misclassification', 'Pertussis', 'Vaccine']</t>
  </si>
  <si>
    <t>Background. The measure of efficacy is optimally performed by randomized controlled trials. However, low specificity of the judgement criteria is known to bias toward lower estimation, while low sensitivity increases the required sample size. A common technique for ensuring good specificity without a drop in sensitivity is to use several diagnostic tests in parallel, with each of them being specific. This approach is similar to the more general situation of case-counting from multiple data sources, and this paper explores the application of the capture-recapture method for the analysis of the estimates of efficacy. Method. An illustration of this application is derived from a study on the efficacy of pertussis vaccines where the outcome was based on ≥ 21 days of cough confirmed by at least one of three criteria performed independently for each subject: bacteriology, serology, or epidemiological link. Log-linear methods were applied to these data considered as three sources of information. Results. The best model considered the three simple effects and an interaction term between bacteriology and epidemiological linkage. Among the 801 children experiencing ≥ 21 days of cough, it was estimated that 93 cases were missed, leading to a corrected total of 413 confirmed cases. The relative vaccine efficacy estimated from the same model was 1.50 (95% confidence interval: 1.24-1.82), similar to the crude estimate of 1.59 and confirming better protection afforded by one of the two vaccines. Conclusion. This method allows supporting analysis to interpret primary estimates of vaccine efficacy.</t>
  </si>
  <si>
    <t>S400-044</t>
  </si>
  <si>
    <t>SCOPUS_ID:0036605502</t>
  </si>
  <si>
    <t>10.1093/aje/155.11.1007</t>
  </si>
  <si>
    <t>Lower limb venous insufficiency and tobacco smoking: A case-control study</t>
  </si>
  <si>
    <t>['Case-control studies', 'Leg', 'Risk factors', 'Smoking', 'Tobacco', 'Venous insufficiency']</t>
  </si>
  <si>
    <t>At the present time, no study has yet clearly established whether tobacco smoking is a risk factor of lower limb venous insufficiency. This case-control study was initiated in France to determine the possible etiologic relation between tobacco smoking and lower limb venous insufficiency. A total of 1,806 cases suffering from lower limb venous insufficiency, recruited by 460 general practitioners between April 1997 and April 1998, were matched by age and gender to 1,806 controls. Data were collected on the physical examination, medical reason for consulting, current treatments, smoking habits, and known risk factors of lower limb venous insufficiency. Conditional logistic regression for the statistical analyses was performed. Known risk factors of lower limb venous insufficiency were confirmed in the overall model: family history of venous insufficiency (odds ratio (OR) = 7.7), frequent (OR = 1,4) or regular (OR = 2.7) prolonged standing at work, heat exposure (OR = 2.0), low physical activity (OR = 1.6), and (for women) more than four pregnancies (OR = 3.4). Multivariate analysis adjusted for other risk factors showed that lower limb venous insufficiency is significantly associated with tobacco smoking (OR = 1.7 for 10-19 cigarettes/day and OR = 2.4 for 20 cigarettes/day or more; p &lt; 0.001). These results suggest that smoking is significantly associated with lower limb venous insufficiency, in accordance with biologic data and physiopathologic mechanisms.</t>
  </si>
  <si>
    <t>S400-045</t>
  </si>
  <si>
    <t>SCOPUS_ID:0032810632</t>
  </si>
  <si>
    <t>10.2105/AJPH.89.9.1406</t>
  </si>
  <si>
    <t>Prevalence and correlates of survival sex among runaway and homeless youth</t>
  </si>
  <si>
    <t>Objectives. This study examined the prevalence and correlates of survival sex among runaway and homeless youths. Methods. A nationally representative sample of shelter youths and a multicity sample of street youths were interviewed. Results. Approximately 28% of street youths and 10% of shelter youths reported having participated in survival sex, which was associated with age, days away from home, victimization, criminal behaviors, substance use, suicide attempts, sexually transmitted disease, and pregnancy. Conclusions. Intensive and ongoing services are needed to provide resources and residential assistance to enable runaway and homeless youths to avoid survival sex, which is associated with many problem behaviors.</t>
  </si>
  <si>
    <t>S400-046</t>
  </si>
  <si>
    <t>SCOPUS_ID:84880143281</t>
  </si>
  <si>
    <t>10.2105/AJPH.2012.301075</t>
  </si>
  <si>
    <t>Measles vaccination: Before the measles-mumps-rubella vaccine</t>
  </si>
  <si>
    <t>At the beginning of the 1960s, it was clear that a vaccine against measles would soon be available. Although measles was (and remains) a killer disease in the developing world, in the United States and Western Europe this was no longer so. Many parents and many medical practitioners considered measles an inevitable stage of a child's development. Debating the desirability of measles immunization, public health experts reasoned differently. In the United States, introduction of the vaccine fit well with Kennedy's and Johnson's administrations' political commitments. European policymakers proceeded cautiously, concerned about the acceptability of existing vaccination programs. In Sweden and the Netherlands, recent experience in controlling polio led researchers to prefer an inactivated virus vaccine. Although in the early 1970s attempts to develop a sufficiently potent inactivated vaccine were abandoned, we have argued that the debates and initiatives of the time during the vaccine's early history merit reflection in today's era of standardization and global markets. © 2013 American Journal of Public Health.</t>
  </si>
  <si>
    <t>non-empirical</t>
  </si>
  <si>
    <t>S400-047</t>
  </si>
  <si>
    <t>SCOPUS_ID:84960193645</t>
  </si>
  <si>
    <t>10.1093/aje/kwv175</t>
  </si>
  <si>
    <t>Correlates of Peripheral Blood Mitochondrial DNA Content in a General Population</t>
  </si>
  <si>
    <t>['General population', 'mitochondrial DNA', 'peripheral blood']</t>
  </si>
  <si>
    <t>Accumulation of mitochondrial DNA (mtDNA) mutations leads to alterations of mitochondrial biogenesis and function that might produce a decrease in mtDNA content within cells. This implies that mtDNA content might be a potential biomarker associated with oxidative stress and inflammation. However, data on correlates of mtDNA content in a general population are sparse. Our goal in the present study was to describe in a randomly recruited population sample the distribution and determinants of peripheral blood mtDNA content. From 2009 to 2013, we examined 689 persons (50.4% women; mean age = 54.4 years) randomly selected from a Flemish population (Flemish Study on Environment, Genes, and Health Outcomes). Relative mtDNA copy number as compared with nuclear DNA was measured by quantitative real-time polymerase chain reaction in peripheral blood. There was a curvilinear relationship between relative mtDNA copy number and age. mtDNA content slightly increased until the fifth decade of life and declined in older subjects (Page2 = 0.0002). mtDNA content was significantly higher in women (P = 0.007) and increased with platelet count (P &lt; 0.0001), whereas it was inversely associated with white blood cell count (P &lt; 0.0001). We also observed lower mtDNA content in women using estroprogestogens (P = 0.044). This study demonstrated in a general population that peripheral blood mtDNA content is significantly associated with sex and age. Blood mtDNA content is also influenced by platelet and white blood cell counts and estroprogestogen intake. Further studies are required to clarify the impact of chronic inflammation and hormone therapy on mitochondrial function.</t>
  </si>
  <si>
    <t>S400-048</t>
  </si>
  <si>
    <t>SCOPUS_ID:1942445076</t>
  </si>
  <si>
    <t>10.1093/eurpub/14.1.19</t>
  </si>
  <si>
    <t>The incidence and repetition of attempted suicide in Ireland</t>
  </si>
  <si>
    <t>['Attempted suicide', 'Incidence', 'Ireland']</t>
  </si>
  <si>
    <t>Background: Suicidal behaviour has increasingly become recognized as a major public health problem. This study aimed to establish the extent of hospital-treated attempted suicide in South-west Ireland. Methods: Between 1995 and 1997, routine data collection, based on the standardized methodology of the WHO/Euro Multicentre Study on Suicidal Behaviour, took place in all general and psychiatric hospitals and prisons in the Southern and Mid-western Health Boards covering one-quarter (863,709) of the Irish population. Results: The annual person-based (aged over 15 years) male and female European age-standardized attempted suicide rates were 163 and 190 per 100,000, respectively. Female rates far exceeded male rates in under 20-year-olds. The peak rates for men and women were in the age range 20-24 (374 per 100,000) and 15-19 (433 per 100,000) years, respectively. One in six (16%) made a repeat attempt within the study period. Adjusting for age, repetition was marginally less common in women. Multivariate analysis investigating the risk of repetition associated with age, method and previous attempts found no age effect for women but an increased risk of repetition among men in their thirties (OR=1.7, 95% CI: 1.2-2.4). An attempt in the preceding 12 months greatly elevated the risk of repetition, particularly for women (female OR=13.7, 95% CI: 9.3-20.4; male OR=5.6, 95% CI: 4.1-7.8). Conclusion: Attempted suicide is a significant public health problem in Ireland. Rates are higher in women and highest among the young. An attempt in the past year greatly increases the risk of repetition, especially in women.</t>
  </si>
  <si>
    <t>S400-049</t>
  </si>
  <si>
    <t>SCOPUS_ID:0030297061</t>
  </si>
  <si>
    <t>10.1006/pmed.1996.9998</t>
  </si>
  <si>
    <t>Home apnea monitoring and sudden infant death syndrome</t>
  </si>
  <si>
    <t>['apnea monitor', 'race', 'Sudden Infant Death Syndrome']</t>
  </si>
  <si>
    <t>Objective. To estimate the U.S. national prevalence of apnea monitor use by birth weight classification and to examine the relationship between the use of apnea monitors and the occurrence of Sudden Infant Death Syndrome (SIDS). Design and setting. Data obtained from the 1988 National Maternal and Infant Health Survey (NMIHS) were used. Prevalence estimates of apnea monitor use were obtained by weighting survey data, and the relationship between monitor use and SIDS was accomplished by a case-control analysis using SIDS deaths and live controls obtained from the NMIHS. Outcome measure. Weighted estimates of the prevalence of apnea monitor use and odds ratios for the odds of use of an apnea monitor among SIDS victims compared with the odds of use of an apnea monitor among living controls. Results. The national prevalence estimates for home apnea monitor use among birth weight strata of 500 to 1,499 g, 1,500 to 2,499 g, and 2,500 g or more for blacks were 19.9, 2.6, and 1.1% compared with 44.0, 8.8, and 1.2% for non-blacks. The only significant association between the use of apnea monitors and SIDS was for black 500- to 1,499-g infants. The adjusted odds ratio for SIDS among monitored black 500- to 1,499-g infants vs unmonitored infants was 3.93 (1.09, 14.17). Conclusions. This analysis suggests a marked difference in reported monitor use between U.S. black and non-black infants. In addition, black very low birth weight infants at highest risk for SIDS appear to be preferentially selected for monitoring. The protective effect of home apnea monitoring in this survey population is unclear.</t>
  </si>
  <si>
    <t>S400-050</t>
  </si>
  <si>
    <t>SCOPUS_ID:84872530047</t>
  </si>
  <si>
    <t>10.2105/AJPH.2012.300743</t>
  </si>
  <si>
    <t>Fundamental causes of colorectal cancer mortality in the United States: Understanding the importance of socioeconomic status in creating inequality in mortality</t>
  </si>
  <si>
    <t>Objectives. We used the fundamental cause hypothesis as a framework for understanding the creation of health disparities in colorectal cancer mortality in the United States from 1968 to 2005. Methods. We used negative binomial regression to analyze trends in countylevel gender-, race-, and age-adjusted colorectal cancer mortality rates among individuals aged 35 years or older. Results. Prior to 1980, there was a stable gradient in colorectal cancer mortality, with people living in counties of higher socioeconomic status (SES) being at greater risk than people living in lower SES counties. Beginning in 1980, this gradient began to narrow and then reversed as people living in higher SES counties experienced greater reductions in colorectal cancer mortality than those in lower SES counties. Conclusions. Our findings support the fundamental cause hypothesis: once knowledge about prevention and treatment of colorectal cancer became available, social and economic resources became increasingly important in influencing mortality rates. Copyright © 2012 by the American Public Health Association®.</t>
  </si>
  <si>
    <t>S400-051</t>
  </si>
  <si>
    <t>SCOPUS_ID:85040967357</t>
  </si>
  <si>
    <t>10.1016/j.amepre.2017.12.005</t>
  </si>
  <si>
    <t>Nonfatal Injuries to Law Enforcement Officers: A Rise in Assaults</t>
  </si>
  <si>
    <t>Introduction: Limited studies exist that describe nonfatal work-related injuries to law enforcement officers. The aim of this study is to provide national estimates and trends of nonfatal injuries to law enforcement officers from 2003 through 2014. Methods: Nonfatal injuries were obtained from the National Electronic Injury Surveillance System−Occupational Supplement. Data were obtained for injuries treated in U.S. emergency departments from 2003 to 2014. Nonfatal injury rates were calculated using denominators from the Current Population Survey. Negative binomial regression was used to analyze temporal trends. Data were analyzed in 2016–2017. Results: Between 2003 and 2014, an estimated 669,100 law enforcement officers were treated in U.S. emergency departments for nonfatal injuries. The overall rate of 635 per 10,000 full-time equivalents was three times higher than all other U.S. workers rate (213 per 10,000 full-time equivalents). The three leading injury events were assaults and violent acts (35%), bodily reactions and exertion (15%), and transportation incidents (14%). Injury rates were highest for the youngest officers, aged 21–24 years. Male and female law enforcement officers had similar nonfatal injury rates. Rates for most injuries remained stable; however, rates for assault-related injuries grew among law enforcement officers between 2003 and 2011. Conclusions: National Electronic Injury Surveillance System−Occupational Supplement data demonstrate a significant upward trend in assault injuries among U.S. law enforcement officers and this warrants further investigation. Police−citizen interactions are dynamic social encounters and evidence-based policing is vital to the health and safety of both police and civilians. The law enforcement community should energize efforts toward the study of how policing tactics impact both officer and citizen injuries.</t>
  </si>
  <si>
    <t>S400-052</t>
  </si>
  <si>
    <t>SCOPUS_ID:84964047116</t>
  </si>
  <si>
    <t>10.1097/eDe.0000000000000449</t>
  </si>
  <si>
    <t>Evaluating additive interaction using survival percentiles</t>
  </si>
  <si>
    <t>Evaluation of statistical interaction in time-to-event analysis is usually limited to the study of multiplicative interaction, via inclusion of a product term in a cox proportional-hazard model. Measures of additive interaction are available but seldom used. all measures of interaction in survival analysis, whether additive or multiplicative, are in the metric of hazard, usually assuming that the interaction between two predictors of interest is constant during the follow-up period. We introduce a measure to evaluate additive interaction in survival analysis in the metric of time. this measure can be calculated by evaluating survival percentiles, defined as the time points by which different subpopulations reach the same incidence proportion. Using this approach, the probability of the outcome is fixed and the time variable is estimated. We also show that by using a regression model for the evaluation of conditional survival percentiles, including a product term between the two exposures in the model, interaction is evaluated as a deviation from additivity of the effects. in the simple case of two binary exposures, the product term is interpreted as excess/decrease in survival time (i.e., years, months, days) due to the presence of both exposures. this measure of interaction is dependent on the fraction of events being considered, thus allowing evaluation of how interaction changes during the observed follow-up. evaluation of interaction in the context of survival percentiles allows deriving a measure of additive interaction without assuming a constant effect over time, overcoming two main limitations of commonly used approaches.</t>
  </si>
  <si>
    <t>S400-053</t>
  </si>
  <si>
    <t>SCOPUS_ID:84879879356</t>
  </si>
  <si>
    <t>10.1097/EDE.0b013e3182949ce5</t>
  </si>
  <si>
    <t>Does ambient air pollution trigger stillbirth?</t>
  </si>
  <si>
    <t>OBJECTIVE:: We previously reported an increased risk of stillbirth associated with increases in trimester-specific ambient air pollutant concentrations. Here, we consider whether sudden increase in the mean ambient air pollutant concentration immediately before delivery triggers stillbirth. METHODS:: We used New Jersey linked fetal death and hospital discharge data and hourly ambient air pollution measurements from particulate matter ≤2.5 mm (PM2.5), carbon monoxide (CO), nitrogen dioxide (NO2), and sulfur dioxide (SO2) monitors across New Jersey for the years 1998-2004. For each stillbirth, we assigned the concentration of air pollutants from the closest monitoring site within 10 km of the maternal residence. Using a time-stratified case-crossover design and conditional logistic regression, we estimated the relative odds of stillbirth associated with interquartile range (IQR) increases in the mean pollutant concentrations on lag day 2 and lag days 2 through 6 before delivery, and whether these associations were modified by maternal risk factors. RESULTS:: The relative odds of stillbirth increased with IQR increases in the mean concentrations of CO (odds ratio [OR] = 1.20, 95% confidence interval [CI] = 1.05-1.37), SO2 (OR = 1.11, 95% CI = 1.02-1.22), NO2 (OR = 1.11, 95% CI = 0.97-1.26), and PM2.5 (OR = 1.07, 95% CI = 0.93-1.22) 2 days before delivery. We found similar associations with increases in pollutants 2 through 6 days before delivery. These associations were not modified by maternal risk factors. CONCLUSION:: Short-term increases in ambient air pollutant concentrations immediately before delivery may trigger stillbirth. Copyright ©2013 by Lippincott Williams &amp; Wilkins.</t>
  </si>
  <si>
    <t>S400-054</t>
  </si>
  <si>
    <t>SCOPUS_ID:84863718076</t>
  </si>
  <si>
    <t>10.1007/s10654-012-9675-9</t>
  </si>
  <si>
    <t>Early respiratory morbidity in a multicultural birth cohort: The Generation R Study</t>
  </si>
  <si>
    <t>['Ethnicity', 'Infants', 'Pre and postnatal exposures', 'Prospective birth cohort', 'Respiratory symptoms']</t>
  </si>
  <si>
    <t>Ethnic disparities in the prevalence of asthma symptoms in children have been described. We evaluated to what extent the association between ethnic background and respiratory symptoms during the first 2 years of life could be explained by the mediating effect of risk factors for respiratory morbidity. The Generation R Study is a multiethnic, population-based birth cohort study. Pre and postnatal risk factors for respiratory morbidity were prospectively assessed by questionnaires. Information about ethnicity was available for 5,684 infants. The associations between ethnic background and lower respiratory symptoms at 12 and 24 months were evaluated with logbinomial regression models. Relative risks and 95 % confidence intervals (RR [95 % CI]) were computed for Cape Verdean, Moroccan, Antillean, Surinamese and Turkish ethnicity with Dutch ethnicity as the reference category. We found an increased risk of lower respiratory symptoms at 24 months in Antillean infants (1.32 [95 % CI 1.12-1.57]) that was mediated by early postnatal exposures (pets keeping, siblings, breastfeeding, daycare attendance, smoke exposure). Turkish infants also had an increased risk of lower respiratory symptoms at 12 and 24 months (1.14 [95 % CI 1.02-1.27] and 1.21 [95 % CI 1.07-1.38], respectively), partly explained by previous morbidity (eczema, infections and upper respiratory symptoms). There were no differences for Cape Verdean, Moroccan or Surinamese, as compared to Dutch infants. Hence, ethnic background was associated with respiratory symptoms during the first 2 years of life and this association was largely explained by mediating effects of known pre and postnatal risk factors for respiratory morbidity. © Springer Science+Business Media B.V. 2012.</t>
  </si>
  <si>
    <t>S400-055</t>
  </si>
  <si>
    <t>SCOPUS_ID:0036197215</t>
  </si>
  <si>
    <t>10.1136/jech.56.4.301</t>
  </si>
  <si>
    <t>Comparing hospital discharge records with death certificates: Can the differences be explained?</t>
  </si>
  <si>
    <t>Study objective: The quality of mortality statistics is important for epidemiological research. Considerable discrepancies have been reported between death certificates and corresponding hospital discharge records. This study examines whether differences between the death certificate's underlying cause of death and the main condition from the final hospital discharge record can be explained by differences in lCD selection procedures. The authors also discuss the implications of unexplained differences for mortality data quality. Design: Using ACME, a standard software for the selection of underlying cause of death, the compatibility between the underlying cause of death and the final main condition was examined. The study also investigates whether data available in the hospital discharge record, but not reported on the death certificate, influence the selection of the underlying cause of death. Setting: Swedish death certificates for 1995 were linked to the national hospital discharge register. The resulting database comprised 69 818 people who had been hospitalised during their final year of life. Main results: The underlying cause of death and the main condition differed at Basic Tabulation List level in 54% of the deaths. One third of the differences could not be explained by lCD selection procedures. Adding hospital discharge data changed the underlying cause in 11% of deaths. For some causes of death, including medical misadventures and accidental falls, the effect was substantial. Conclusion: Most differences between underlying cause of death and final main condition can be explained by differences in ICD selection procedures. Further research is needed to investigate whether unexplained differences indicate lower data quality.</t>
  </si>
  <si>
    <t>S400-056</t>
  </si>
  <si>
    <t>SCOPUS_ID:0028972474</t>
  </si>
  <si>
    <t>10.1093/oxfordjournals.aje.a117495</t>
  </si>
  <si>
    <t>Family history and prostate cancer risk in black, white, and Asian men in the United States and Canada</t>
  </si>
  <si>
    <t>['Androgens;', 'Asian-Americans;', 'Blacks;', 'Ethnic groups;', 'Family;', 'Prostatic neoplasms;', 'Whites.']</t>
  </si>
  <si>
    <t>Increased risk of prostate cancer in men with a family history of the disease has been observed consistently in epidemiologic studies. However, most studies have been confined to white men; little is known about familial aggregation of prostate cancer in populations with unusually high incidence, such as African Americans, or in populations with low incidence, such as Asian-Americans. The authors report results from a population-based case-control study of prostate cancer among blacks, whites, and Asian-Americans in the United States and Canada. Controls were matched to cases on age (5-year groups), ethnicity (black, white, Chinese-American, Japanese-American), and region of residence (Los Angeles, San Francisco, Hawaii, Vancouver, Toronto). In the combined group of participants, 5% of controls and 13% of cases reported a father, brother, or son with prostate cancer. These prevalences were somewhat lower among Asian-Americans than among blacks or whites. A positive family history was associated with a statistically significant two- to threefold increase in risk in each of the three ethnic groups. The overall odds ratio associated with such a family history, adjusted for age and ethnicity, was 2.5 (95% confidence interval 1.9-3.3). This odds ratio varied by neither ethnicity nor age of the participants. Sera from 1,087 controls were used to examine the relations between family history and serum concentrations of androgens and prostate-specific antigen. The concentrations of sex hormone-binding globulin were slightly higher in men with than without a positive family history. Prostate-specific antigen concentrations were unrelated to family history. Am J Epidemiol 1995;141:732-40. © 1995 by The Johns Hopkins University School of Hygiene and Public Health.</t>
  </si>
  <si>
    <t>S400-057</t>
  </si>
  <si>
    <t>SCOPUS_ID:85024399831</t>
  </si>
  <si>
    <t>10.1093/aje/kwx059</t>
  </si>
  <si>
    <t>Are Lowered Socioeconomic Circumstances Causally Related to Tooth Loss? A Natural Experiment Involving the 2011 Great East Japan Earthquake</t>
  </si>
  <si>
    <t>['change in economic status', 'instrumental variable analyses', 'natural disaster', 'natural experiment', 'oral health', 'tooth loss']</t>
  </si>
  <si>
    <t>Oral health status is correlated with socioeconomic status. However, the causal nature of the relationship is not established. Here we describe a natural experiment involving deteriorating socioeconomic circumstances following exposure to the 2011 Great East Japan Earthquake and Tsunami. We investigated the relationship between subjective economic deterioration and housing damage due to the disaster and tooth loss in a cohort of communitydwelling residents (n = 3,039), from whom we obtained information about socioeconomic status and health status in 2010 (i.e., predating the disaster). A follow-up survey was performed in 2013 (postdisaster), and 82.1% of the 4,380 eligible survivors responded. We estimated the impact of subjective economic deterioration and housing damage due to the disaster on tooth loss by fitting an instrumental variable probit model. Subjective economic deterioration and housing damage due to the disaster were significantly associated with 8.1% and 1.7% increases in the probability of tooth loss (probit coefficients were 0.469 (95% confidence interval: 0.065, 0.872) and 0.103 (95% confidence interval: 0.011, 0.196), respectively). In this natural experiment, we confirmed the causal relationship between deteriorating socioeconomic circumstances and tooth loss.</t>
  </si>
  <si>
    <t>S400-058</t>
  </si>
  <si>
    <t>SCOPUS_ID:85099499256</t>
  </si>
  <si>
    <t>10.1016/j.ypmed.2020.106355</t>
  </si>
  <si>
    <t>Racial disparities in occupational risks and lung cancer incidence: Analysis of the National Lung Screening Trial</t>
  </si>
  <si>
    <t>The relationship between racial disparities in occupational risk and lung cancer diagnosis is not well defined. We examined occupational exposure to asbestos, silica, and other workplace chemicals, fumes, or dusts as reported in the National Lung Screening Trial (NLST). Descriptive analyses and multivariate logistic regression models were performed. Among the NLST study cohort, 3.9% were diagnosed with lung cancer. African-Americans had a higher rate of lung cancer diagnosis than White individuals (4.3% vs. 3.9%). About 28% reported at least one occupational exposure, including 6.5% exposed to silica and 4.7% to asbestos. African-Americans reported occupational exposure more frequently than White participants, including exposures to asbestos and silica. In a multivariate model, the interactions of all measures of occupational exposures and smoking status were significant. Current smokers with occupational exposures had higher odds of lung cancer diagnosis (aOR = 2.01, 95% CI = 1.76–2.30 for any exposure as well as higher odds after silica (aOR = 2.35, 95% CI = 1.89–2.91) or asbestos (aOR = 1.97, 95% CI = 1.52–2.56) exposure compared to former smokers without any exposures. African-Americans had higher odds of lung cancer diagnosis than White individuals (aOR = 1.24 to 1.25, 95% CI = 1.01–1.54). Our findings indicate that we need more effective public health prevention programs, especially for minorities who may have disproportionately greater occupational exposures due to socioeconomic constructs and barriers. Interventions may include education about occupational risks and lung cancer screening or instituting workplace policies for smoke-free environments with tobacco cessation support.</t>
  </si>
  <si>
    <t>S400-059</t>
  </si>
  <si>
    <t>SCOPUS_ID:84878536226</t>
  </si>
  <si>
    <t>10.1093/aje/kws373</t>
  </si>
  <si>
    <t>The healthy worker effect in cancer incidence studies</t>
  </si>
  <si>
    <t>['cancer incidence', 'cohort studies', 'educational level', 'healthy worker effect', 'mortality']</t>
  </si>
  <si>
    <t>Use of the general population as a reference might cause serious underestimation of the risk of cancer in working populations because of the healthy worker effect. Using incidence rates, we studied how this underestimation varied according to subtypes of cancer by comparing a large cohort of randomly selected Norwegian workers hired between 1981 and 2003 (n = 366,114) with the general Norwegian population. The cohort was linked to the Cancer Registry of Norway, including all new cancer cases (n = 11,271) reported up to 2003. We found marked potential for the healthy worker effect for overall cancer incidence in male workers (standardized incidence ratio (SIR) = 0.91, 95% confidence interval: 0.89, 0.93) but not in female workers (SIR = 0.99, 95% confidence interval: 0.95, 1.03). A statistically significantly lower incidence was found among men for cancers of the head and neck (SIR = 0.78), lung (SIR = 0.81), prostate (SIR = 0.93), kidney (SIR = 0.83), and bladder (SIR = 0.77) and for leukemia (SIR = 0.80), whereas an increased incidence was found for malignant melanoma among both men (SIR = 1.09) and women (SIR = 1.29) and for ovarian cancer in women (SIR = 1.32). Depending on the type of cancer being studied, marked potential exists for both underestimation and overestimation of cancer risk when the general population is used as the reference for studies of worker populations. © 2013 © The Author 2013. Published by Oxford University Press on behalf of the Johns Hopkins Bloomberg School of Public Health. All rights reserved. For permissions, please e-mail: journals.permissions@oup.com.</t>
  </si>
  <si>
    <t>S400-060</t>
  </si>
  <si>
    <t>SCOPUS_ID:34047194090</t>
  </si>
  <si>
    <t>10.1093/eurpub/ckl103</t>
  </si>
  <si>
    <t>The four ages of Down syndrome</t>
  </si>
  <si>
    <t>['Comorbidity', 'Data linkage', 'Down syndrome', 'Life expectancy', 'Life stages', 'Mortality']</t>
  </si>
  <si>
    <t>Background: Down syndrome (DS) affects ∼1 per 650-1000 live births and is the most common known genetic cause of intellectual disability. A highly significant change in the survival of people with DS has occurred during the last two generations, with life expectancy estimates increasing from 12 to nearly 60 years of age. Subjects and Methods: Detailed information on 1332 people in Western Australia with DS was abstracted from a specialist statewide database for the period 1953-2000 and electronically linked with three other state or national health and mortality data sources and the state Birth Defects Registry. Results: Over the last 25 years the percentage of women over 35 years giving birth increased from 4.8 to 18.6%, accompanied by an increase in the overall prevalence of DS from 1.1 to 2.9 per 1000 births. Four life stages of DS were identified: prenatal, childhood and early adulthood, adulthood, and senescence. Although pneumonia, or other types of respiratory infections, was the most common cause of death across the entire lifespan, ranging from 23% of deaths in adulthood to 40% in senescence, each life stage exhibited a particular profile of comorbidities. Congenital heart defects were common causes in childhood (13%) and adulthood (23%), whereas in senescence coronary artery disease (10%) and cardiac, renal, and respiratory failure (9%) were leading causes of mortality. Conclusions: A major re-appraisal in attitudes towards DS is required to ensure that the medical and social needs of people with the disorder are adequately met across their entire lifespan. In particular, specific recognition of the comorbidities that can arise at different ages is needed, accompanied by the provision of appropriate levels of care and management. © The Author 2006. Published by Oxford University Press on behalf of the European Public Health Association. All rights reserved.</t>
  </si>
  <si>
    <t>S400-061</t>
  </si>
  <si>
    <t>SCOPUS_ID:85214397946</t>
  </si>
  <si>
    <t>10.1136/jech-2024-223072</t>
  </si>
  <si>
    <t>Trends in physical fitness among Lithuanian adolescents aged 11-17 years between 1992 and 2022</t>
  </si>
  <si>
    <t>['ADOLESCENT', 'EXERCISE', 'HEALTH PROMOTION', 'HEALTH STATUS', 'POLICY']</t>
  </si>
  <si>
    <t>Background: Physical fitness is an excellent marker of general health and performance. We aimed to calculate trends in physical fitness among Lithuanian adolescents between 1992 and 2022. Methods: Using a repeated cross-sectional design, body size and physical fitness data for 17 918 Lithuanian adolescents (50.3% female) aged 11-17 years were collected in 1992, 2002, 2012 and 2022. Body mass index (BMI) was calculated from measured height and body mass, with BMI z-scores (zBMI) calculated using WHO growth curves. Physical fitness was measured using the Eurofit test battery, with results converted to z-scores using European norms. With adjustment for zBMI, trends in mean fitness levels were calculated using general linear models. Trends in distributional characteristics were visually described and calculated as the ratio of SDs. Results: We found significant large declines (standardised effect size (ES) ≥ 0.80) in 20-m shuttle run and bent arm hang performance, and significant small declines (ES=0.20-0.49) in standing broad jump, plate tapping, sit-and-reach and sit-ups performance. In contrast, we found a significant moderate improvement (ES=0.50-0.79) in flamingo balance performance and a significant negligible improvement (ES&lt;0.20) in 10×5-m shuttle run performance. Poorer trends were observed in low performers (below the 20th percentile) compared with high performers (above the 80th percentile). Conclusion: Health-related fitness (ie, cardiorespiratory and musculoskeletal fitness) levels have declined among Lithuanian adolescents since 1992, particularly among those with low fitness. National health promotion policies are required to improve current trends.</t>
  </si>
  <si>
    <t>S400-062</t>
  </si>
  <si>
    <t>SCOPUS_ID:85159570565</t>
  </si>
  <si>
    <t>10.1016/j.ypmed.2023.107544</t>
  </si>
  <si>
    <t>Family structure and living arrangements as indicators of social isolation, and prostate cancer risk</t>
  </si>
  <si>
    <t>['Case-control study', 'Family structure', 'Living arrangements', 'Marital status', 'Prostate cancer', 'Social isolation']</t>
  </si>
  <si>
    <t>Social isolation has been linked to a poorer prostate cancer prognosis. Little is known about how it could also influence its incidence. We investigated the association between family structure and living arrangements as potential indicators of social isolation, and prostate cancer risk, globally and according to disease aggressiveness. Data from the Prostate Cancer &amp; Environment Study (PROtEuS), a case-control population-based study conducted between 2005 and 2012 in Montreal, Canada, were used. The study population comprised 1931 incident cases of prostate cancer, aged ≤75 years, and 1994 age-matched (±5 years) population controls. In-person interviews collected information on family composition and living arrangements recently and at age 40. Logistic regression estimated odds ratios (ORs) and 95% confidence intervals (CIs), adjusting for potential confounders. Single men had an increased risk of high-grade prostate cancer at diagnosis (OR 1.80; 95% CI 1.29–2.51), compared to men currently married or with a partner. Having at least one daughter was associated with a lower risk of aggressive cancer (OR 0.76; 95% CI 0.61–0.96) while no association was found with having son(s). An inverse dose-response relationship was observed between the number of people living with the subject 2 years before diagnosis/interview and prostate cancer risk (p-trend&lt;0.001). These results suggest a protective role of a rich personal environment on the risk of developing prostate cancer. As several of the associations studied here are novel, replication is required.</t>
  </si>
  <si>
    <t>S400-063</t>
  </si>
  <si>
    <t>SCOPUS_ID:85038918024</t>
  </si>
  <si>
    <t>10.1016/j.ypmed.2017.11.023</t>
  </si>
  <si>
    <t>Cervical cancer screening uptake among HIV-positive women in Ontario, Canada: A population-based retrospective cohort study</t>
  </si>
  <si>
    <t>['Cervical cancer screening', 'HIV', 'HPV', 'Mass screening', 'Women']</t>
  </si>
  <si>
    <t>Cervical cancer caused by oncogenic types of the human papillomavirus (HPV) is of concern among HIV-positive women due to impairment of immune responses required to control HPV infection. Our objectives were to describe patterns of cervical cancer screening using Pap cytology testing among HIV-positive women in Ontario, Canada from 2008 to 2013 and to identify factors associated with adequate screening. We conducted a retrospective, population-based cohort study among screen-eligible HIV-positive women using provincial administrative health data. We estimated annual proportions tested and reported these with 95% confidence intervals (CI). Next, using person-years as the unit of analysis, we identified factors associated with annual Pap testing using log-binomial regression. A total of 2271 women were followed over 10,697 person-years. In 2008, 34.0% (95%CI 31.1–37.0%) had a Pap test. By 2013, the proportion of HIV-positive women tested was 25.9% (95%CI 23.6–28.2%). Women who were most likely to undergo testing were younger, were immigrants from countries with generalized HIV epidemics, lived in the highest income neighbourhoods, had a female primary care physician, had two or more encounters per year with an infectious disease or internal medicine specialist, and had greater comorbidity. Nearly three in four HIV-positive women were under-screened despite all having universal insurance for medically-necessary services. Annual Pap testing decreased following the 2011–2013 release of new guidelines for a lengthened screen interval for average risk women and a billing disincentive. Clinic-based intervention such as physician alerts or reminders may be needed to improve screening coverage among HIV-positive women.</t>
  </si>
  <si>
    <t>S400-064</t>
  </si>
  <si>
    <t>SCOPUS_ID:27744533536</t>
  </si>
  <si>
    <t>10.1007/s10654-005-2148-7</t>
  </si>
  <si>
    <t>Collecting saliva by mail for genetic and cotinine analyses in participants recruited through the internet</t>
  </si>
  <si>
    <t>['Cotinine', 'Epidemiology', 'Internet', 'Nicotine Dependence', 'Nicotinic Receptors', 'Smoking']</t>
  </si>
  <si>
    <t>The authors assessed whether collection by mail of saliva and buccal cells for genetic analysis was feasible in participants recruited through the Internet. In 2003, 14,773 visitors of a smoking cessation website were invited by e-mail to take part in the study. Salivettes (plastic vials containing a cotton roll) were mailed to participants, for collection of saliva and buccal cells. Because of limited resources, the authors stopped recruitment when 392 participants (3% of 14,733) were registered. They received 315 saliva samples back (80% of 392). Salivary cotinine was analyzed in 145 daily smokers. Cotinine concentration could be assessed in 141 samples (97%) (range 0.7-899 ng/ml, median 260 ng/ml). DNA extraction was achieved in all the 285 samples in which it was attempted. Quality of DNA was assessed by optical density measurements and by polymerase chain reaction amplification of a gene coding for the α-4 nicotinic receptor, with the detection of a known polymorphism. Successful results were obtained in 235 samples (82% of 285). Thus collecting saliva by mail for cotinine and DNA analysis in participants recruited through the internet produced samples of good quality at a reasonable cost. This approach should be valuable for genetic epidemiology and pharmacogenetic research. © Springer 2005.</t>
  </si>
  <si>
    <t>S400-065</t>
  </si>
  <si>
    <t>SCOPUS_ID:0026696145</t>
  </si>
  <si>
    <t>10.1093/oxfordjournals.aje.a116348</t>
  </si>
  <si>
    <t>Intensive surveillance for infections in a three-year study of nursing home patients</t>
  </si>
  <si>
    <t>['Aged', 'Cross infection', 'Diagnosis', 'Disease outbreaks', 'Nursing homes']</t>
  </si>
  <si>
    <t>The authors report the results of a 3-year (August 1984-May 1987) prospective study of intensive surveillance for nursing home-associated infections in 666 patients in a 300-bed nursing home in San Diego, California. Ninety-three percent (666 of 714) of the eligible subjects enrolled; 75% were women. The mean age of the subjects was 81.6 years. Lengths of stay ranged from 1 day to 1,025 days, with a mean of 166 days; the cumulative length of stay for all subjects was 110,746 days (303 years). Operational definitions that were heavily dependent on evaluation of clinical signs and symptoms were used by nurse practitioners in weekly or biweekly assessments of all patients to identify infections. The overall incidence of nursing home-associated infection was 7.1 infections/1,000 patient-days. Many of the infections would not have been recognized by persons less skilled than nurse practitioners. Among the 788 nursing home-associated infections identified, 362 (47%) were in the respiratory tract (286 lower respiratory and 76 upper respiratory); 200 (25%) were associated with skin and subcutaneous and mucous membranes; 140 (18%) were symptomatic urinary tract infections; 13 (2%) were bacteremia; and 73 (9%) were other infections. Am J Epidemiol 1992;135:685-96. © 1992 by The Johns Hopkins University School of Hygiene and Public Health.</t>
  </si>
  <si>
    <t>S400-066</t>
  </si>
  <si>
    <t>SCOPUS_ID:0031895713</t>
  </si>
  <si>
    <t>10.1097/00001648-199803000-00008</t>
  </si>
  <si>
    <t>The relation between income and mortality in U.S. blacks and whites</t>
  </si>
  <si>
    <t>['Income', 'Kernel smoothing', 'Methods', 'Mortality', 'Poverty', 'Race', 'Socioeconomic factors']</t>
  </si>
  <si>
    <t>Differential mortality exists in the United States both between racial/ethnic groups and along gradients of socioeconomic status. The specification of statistical models for processes underlying these observed disparities has been hindered by the fact that social and economic quantities are distributed in a highly nonrandom manner throughout the population. We sought to provide a substantive foundation for model development by representing the shape of the income-mortality relation by racial/ethnic group. We used data on black and white men and women from the longitudinal component of the National Health Interview Survey (NHIS), 1986-1990, which provided 1,191,824 person-years of follow-up and 12,165 mortal events. To account for family size when considering income, we used the ratio of annual family income to the federal poverty line for a family of similar composition. To avoid unnecessary categorizations and prior assumptions about model form, we employed kernel smoothing techniques and calculated the continuous mortality surface across dimensions of adjusted income and age for each of the gender and racial/ethnic groups. Representing regions of equal mortality density with contour plots, we observed interactions that need to be accommodated by any subsequent statistical models. We propose two general theories that provide a foundation for more elaborate and testable hypotheses in the future.</t>
  </si>
  <si>
    <t>S400-067</t>
  </si>
  <si>
    <t>SCOPUS_ID:0026665612</t>
  </si>
  <si>
    <t>10.1093/oxfordjournals.aje.a116216</t>
  </si>
  <si>
    <t>Methods for inference on transmission in seroprevalence data for multiple infections</t>
  </si>
  <si>
    <t>['Cross-sectional studies', 'Epidemiologic methods', 'Hepatitis B virus', 'Hepatitis C virus', 'Models', 'Prevalence', 'Serology', 'Statistical']</t>
  </si>
  <si>
    <t>When risk factors for an infectious disease are unknown, a method commonly employed is to investigate parallels with known infections (covariate infections). Data sets of value here are those for specified populations in which the seroprevalence of antibodies for multiple infections has been ascertained. The use of markers of covariate infections in multivariable analyses is problematic when the covariate infection is not itself an independent risk factor for the outcome of interest. In the performance of these analyses, the authors recommend the following strategy: 1) For estimates of the effects of measured risk factors on the outcome, adjustment for the covariate infection should not be done; this will avoid problems of overadjustment. 2) After control for the measured risk factors, an estimate of the "effect" of the covariate infection may be used as an indicator of the presence of unmeasured shared risk factors. 3) When shared, measured risk factors exist, the authors propose the use of methods developed for analysis of repeated measures of categorical variables to assist in inference about shared mechanisms of action of these risk factors. This analytic strategy takes advantage of the method of analogy for building understanding of transmission of new agents through their parallels with better known ones and is useful in the development of hypotheses. Am J Epidemiol 1992: 135: 1156-65. © 1992 by The John Hopkins University School of Hygiene and Public Health.</t>
  </si>
  <si>
    <t>S400-068</t>
  </si>
  <si>
    <t>SCOPUS_ID:3042686522</t>
  </si>
  <si>
    <t>10.1093/eurpub/14.2.168</t>
  </si>
  <si>
    <t>Sport involvement, sport violence and health behaviours of Greek adolescents</t>
  </si>
  <si>
    <t>['Age', 'Exercise', 'Greece', 'Health-risks', 'Sport violence']</t>
  </si>
  <si>
    <t>Background: Within the context of problem-behaviour theory, this study investigated the intra-relationship between attitudes and behaviours towards exercise, sport involvement, violence in sport-related events, eating fruits, smoking and hashish or ecstasy use in a sample of Greek adolescents. Age and gender patterns are considered. Methods: Participants were 5991 Greek school pupils who responded to questionnaires assessing behaviour and attitudes towards health-related behaviours. Results: Positive associations were found between pupils' reports of violence in sport-related events, smoking and hashish or ecstasy use on the one hand, and eating fruits and participation in sport and exercise on the other. In contrast, small positive association was observed between sport involvement and violence in sport-related events. Attitudes towards health risk behaviours were inversely related to attitudes towards health-promoting behaviours, and attitudes were positively related to corresponding behaviours. Sport involvement and regular exercise decreased but smoking and use of hashish or ecstasy increased with age. More males than females participated in organized sport and violent acts in sport-related events. Males' involvement in sport violence increased with age. Conclusion: Sport is a suitable context for the promotion of several health-related behaviours apart from exercise. Nevertheless, the present sport structure excludes most young people and is positively linked with sport violence. A less demanding sport context should be provided for the majority of young people, particularly for females. Sport programmes designed to promote health behaviours should be encouraged. More concentrated actions to combat sport violence are required.</t>
  </si>
  <si>
    <t>S400-069</t>
  </si>
  <si>
    <t>SCOPUS_ID:85147834666</t>
  </si>
  <si>
    <t>10.1136/jech-2022-219829</t>
  </si>
  <si>
    <t>Exploring the associations of daily movement behaviours and mid-life cognition: A compositional analysis of the 1970 British Cohort Study</t>
  </si>
  <si>
    <t>['AGING', 'COGNITION', 'DEMENTIA', 'EXERCISE', 'SLEEP']</t>
  </si>
  <si>
    <t>Background Movement behaviours (eg, sedentary behaviour (SB), moderate and vigorous physical activity (MVPA), light intensity physical activity (LIPA) and sleep) are linked to cognition, yet the relative importance of each component is unclear, and not yet explored with compositional methodologies. Objective To (i) assess the associations of different components of daily movement and participant's overall cognition, memory and executive function, and (ii) understand the relative importance of each individual component for cognition. Methods The 1970 British Cohort Study (BCS70) is a prospective birth cohort study of UK-born adults. At age 46, participants consented to wear an accelerometer device and complete tests of verbal memory and executive function. Compositional linear regression was used to examine cross-sectional associations between 24-hour movement behaviours and standardised cognition scores. Isotemporal substitution was performed to model the effect of reallocating time between components of daily movement on cognition. Results The sample comprised 4481 participants (52% female). Time in MVPA relative to SB, LIPA and sleep was positively associated with cognition after adjustments for education and occupational physical activity, but additional adjustment for health status attenuated associations. SB relative to all other movements was robustly positively associated with cognition. Modelling time reallocation between components revealed an increase in cognition centile after MVPA theoretically replaced 9 min of SB (OR=1.31; 95% CI 0.09 to 2.50), 7 min of LIPA (1.27; 0.07 to 2.46) or 7 min of sleep (1.20; 0.01 to 2.39). Conclusions Relative to time spent in other behaviours, greater MVPA and SB was associated with higher cognitive scores. Loss of MVPA time, given its smaller relative amount, appears most deleterious. Efforts should be made to preserve MVPA time, or reinforce it in place of other behaviours.</t>
  </si>
  <si>
    <t>S400-070</t>
  </si>
  <si>
    <t>SCOPUS_ID:9344236905</t>
  </si>
  <si>
    <t>10.1093/eurpub/2.1.29</t>
  </si>
  <si>
    <t>Evolution and distribution of childhood leukemia mortality in Greece: Etiological implications</t>
  </si>
  <si>
    <t>['Childhood leukemia', 'Herd immunity', 'Place clustering']</t>
  </si>
  <si>
    <t>The purpose of this study was to examine regional and temporal trends of childhood (0-14 years) mortality from leukemia in Greece and to explore whether there was any evidence of excess mortality or place clustering of childhood leukemia deaths in the Greek island populations. Over a 14-year period (1976-1989) for which adequate information by place of residence was available, 679 deaths from childhood leukemia were registered in Greece. After standardization and application of multiple regression procedures, it was found that mortality from childhood leukemia in Greece declined over the study period by about 70%, with no evidence of differential reduction by gender, age, or population type (urban, non-urban). In the two of the nine geographical regions of Greece that comprise exclusively island populations of small to modest size, mortality rates were not significantly higher and slopes of decline over time were substantially steeper. These findings provide no support to Kinlen's hypothesis that population groups who were relatively isolated in the past, but have recently received a large influx of newcomers (due, in this instance, to tourism) may experience an increase in the incidence of childhood leukemia, because of changes in herd immunity. Furthermore, there was no evidence of heterogeneity of mortality from childhood leukemia among 13 island counties (nomoi) even though heterogeneity might have been expected on account of the different time patterns of tourist development in the respective island counties. © 1992 Oxford University Press.</t>
  </si>
  <si>
    <t>S400-071</t>
  </si>
  <si>
    <t>SCOPUS_ID:84983488780</t>
  </si>
  <si>
    <t>10.1136/jech-2015-207138</t>
  </si>
  <si>
    <t>Short-term and long-term effects of GDP on traffic deaths in 18 OECD countries, 1960-2011</t>
  </si>
  <si>
    <t>Background Research suggests that increases in gross domestic product (GDP) lead to increases in traffic deaths plausibly due to the increased road traffic induced by an expanding economy. However, there also seems to exist a long-term effect of economic growth that is manifested in improved traffic safety and reduced rates of traffic deaths. Previous studies focus on either the short-term, procyclical effect, or the long-term, protective effect. The aim of the present study is to estimate the short-term and long-term effects jointly in order to assess the net impact of GDP on traffic mortality. Methods We extracted traffic death rates for the period 1960-2011 from the WHO Mortality Database for 18 OECD countries. Data on GDP/capita were obtained from the Maddison Project. We performed error correction modelling to estimate the short-term and long-term effects of GDP on the traffic death rates. Results The estimates from the error correction modelling for the entire study period suggested that a one-unit increase (US$1000) in GDP/capita yields an instantaneous short-term increase in the traffic death rate by 0.58 ( p &lt; 0.001), and a long-term decrease equal to -1.59 (p &lt; 0.001). However, period-specific analyses revealed a structural break implying that the procyclical effect outweighs the protective effect in the period prior to 1976, whereas the reverse is true for the period 1976-2011. Conclusions An increase in GDP leads to an immediate increase in traffic deaths. However, after the mid-1970s this short-term effect is more than outweighed by a markedly stronger protective long-term effect, whereas the reverse is true for the period before the mid-1970s.</t>
  </si>
  <si>
    <t>S400-072</t>
  </si>
  <si>
    <t>SCOPUS_ID:0026551460</t>
  </si>
  <si>
    <t>10.2105/AJPH.82.2.191</t>
  </si>
  <si>
    <t>Attitudes about infertility interventions among fertile and infertile couples</t>
  </si>
  <si>
    <t>Background. There has been marked progress in the development of infertility interventions. This paper reports attitudes about 11 interventions for infertility. Methods. Face-to-face interviews were conducted with each member of 185 infertile and 90 presumed fertile couples in southeastern Michigan. Results. Seven of these interventions were generally viewed favorably and four were generally viewed negatively, regardless of the couple's fertility status. Infertile couples viewed all interventions, except for adoption, more favorably than did fertile couples. Multidimensional scaling was used to cluster the interventions according to similarity in endorsement. These clusters form a continuum from interventions that allow only one member of the couple to be a biological parent to the most noninvasive techniques. All clusters remain roughly equidistant from adoption, in which neither member of the couple is a biological parent. Conclusions. Interventions that produce a child who is biologically related to only one member of the couple were viewed most negatively. Members of couples who were receiving fertility treatment made finer discriminations among infertility interventions than did individuals who had not received treatment.</t>
  </si>
  <si>
    <t>S400-073</t>
  </si>
  <si>
    <t>SCOPUS_ID:0029998449</t>
  </si>
  <si>
    <t>10.1097/00001648-199607000-00007</t>
  </si>
  <si>
    <t>The effect of maternal drinking before conception and in early pregnancy on infant birthweight</t>
  </si>
  <si>
    <t>['alcohol drinking', 'birthweight', 'cohort studies', 'maternal behavior', 'pregnancy']</t>
  </si>
  <si>
    <t>We examined the association of maternal drinking before and during early pregnancy on infant birthweight, using data collected from a population- based cohort in Avon County, England. Participants completed several self- administered questionnaires during their index pregnancy. Our analysis included 10,539 women who provided drinking data and delivered a liveborn singleton child. Infants born to women who reported drinking one to two drinks daily with at least one binge, or three or more drinks daily with or without binges, had an adjusted mean birthweight approximately 150 gm less than that of infants whose mothers reported abstaining during (but not before) pregnancy. Mean birthweights were similar for infants of prepregnancy drinkers who drank weekly in early pregnancy, less than weekly, or not at all.</t>
  </si>
  <si>
    <t>S400-074</t>
  </si>
  <si>
    <t>SCOPUS_ID:0027717196</t>
  </si>
  <si>
    <t>10.1136/jech.47.6.450</t>
  </si>
  <si>
    <t>Marital status, indicators of sexual activity and prostatic cancer</t>
  </si>
  <si>
    <t>Study objective - To analyse the relationship between marital status, indicators of sexual activity, history of urological and venereal diseases, and the risk of prostatic cancer. Design - Case-control study. Setting - A network of cooperating hospitals from northern Italy. Participants - A total of 271 patients with histologically confirmed prostatic cancer and 685 controls in hospital because of acute, non-neoplastic, non-genital or urological conditions. Measurements and main results - Relative risks (RR) and the corresponding 95% confidence intervals (CI) derived from multiple logistic regression equations, including terms for age, area of residence, and education were determined. The risk of prostatic cancer was lower in never married than in married men (RR = 0.6), but not significantly so. Cases reported a significantly higher number of marriages than control subjects, and the RR was 3.2 (95% CI = 1.2, 8.9) for two or more marriages compared with never married men. Prostatic cancer patients also reported being significantly older at the time of their first marriage: compared with men who first married under age 25 years, the RR was 1.6 for marriage at age 25 to 29, and 1.8 for age 30 or more. With regard to urological or venereal diseases, only cystitis and nephrolitiasis were more frequently reported by cases, although there was no tendency for the risk to increase with the number of cystitis episodes and the RR decreased for longer periods since the first episode. Conclusions - Although these results do not show a totally cohesive picture, they confirm that some aspects of sexual lifestyle are associated with prostatic cancer in Italy.</t>
  </si>
  <si>
    <t>S400-075</t>
  </si>
  <si>
    <t>SCOPUS_ID:84907818355</t>
  </si>
  <si>
    <t>10.2105/AJPH.2014.302131</t>
  </si>
  <si>
    <t>Enhancing condom use among black male youths: A randomized controlled trial</t>
  </si>
  <si>
    <t>Objectives. We tested the efficacy of a brief intervention to promote correct and consistent use of condoms among Black male youths attending sexually transmitted infection (STI) clinics in 3 southern US cities. Methods. In 2010 to 2012, we screened (n = 1102) and enrolled (n = 702) youths aged 15 to 23 years who identified as Black and reported recent (past 2 months) sexual activity and randomized them to a private, brief, interactive intervention (n = 349) or an attention-equivalent control condition (n = 353). Assessments occurred at baseline and 2 and 6 months after the intervention. Results. At 6 months, with adjustment for age and pretest nonequivalence of the outcome variable, an estimated odds ratio (EOR) of 1.63 (95% confidence interval [CI] = 1.07, 2.49; P = .02) indicated efficacy for correct condom use. An adjusted generalized estimating equations model with both 2- and 6-month condom use variables produced an EOR of 1.49 (95% CI = 1.06, 2.08; P = .02). We did not observe significant effects on chlamydia and gonorrhea incidence. Conclusions. This brief intervention, delivered as part of STI clinical care, could help alleviate the disproportionate STI-HIV burden among young Black men.</t>
  </si>
  <si>
    <t>S400-076</t>
  </si>
  <si>
    <t>SCOPUS_ID:0026354316</t>
  </si>
  <si>
    <t>10.1093/ije/20.4.921</t>
  </si>
  <si>
    <t>A method for estimating alcohol-related liver cirrhosis mortality in Japan</t>
  </si>
  <si>
    <t>In Japan, per capita alcohol consumption increased sharply during the post World War II period followed by an increase in cirrhosis mortality. The prevalence of alcoholic cirrhosis among hospitalized patients also increased, from 11% in 1969 to 18% in 1985. Despite an increase in the percentage of drinkers among young women, over 80% of women in Japan are still abstainers or light drinkers. Thus, female cirrhosis mortality rates can be used as a proxy measure of non-alcohol-related cirrhosis mortality rates to estimate alcohol-related cirrhosis deaths among Japanese men. Employing this method, we conclude that two-thirds of cirrhosis deaths among men between 24 and 85 years of age and half of all cirrhosis deaths were attributable to alcohol. Two factors are probably responsible for the differences in proportional morbidity and proportional mortality of alcohol-related cirrhosis: differences in survival rates between alcoholic and non-alcoholic cirrhosis patients and detection bias toward post-hepatic cirrhosis. The synergistic effect of alcohol on viral hepatitis may in part explain excess cirrhosis deaths among Japanese men. © 1991 International Epidemiological Association.</t>
  </si>
  <si>
    <t>S400-077</t>
  </si>
  <si>
    <t>SCOPUS_ID:0029760312</t>
  </si>
  <si>
    <t>10.1093/ije/25.4.829</t>
  </si>
  <si>
    <t>Relationship between morbidity and extreme values of body mass index in adolescents</t>
  </si>
  <si>
    <t>['Adolescents', 'BMI', 'Medical conditions', 'Overweight', 'Underweight']</t>
  </si>
  <si>
    <t>Background. Although the association between overweight and cardiovascular risk factors is well documented in cross-sectional and longitudinal studies, reports of adolescent morbidity associated with underweight in industrialized countries are rare. Methods. This population-based study includes approximately 110,000 17 year old Israeli Jewish males who underwent routine physical examination at army induction centres. Computerized data tapes include overall health profiles, specification of physical and mental conditions, and height and weight measurements. Medically significant conditions are those with sufficient severity to preclude service in a combat unit. Results. Functional limitation is more prevalent at both extremes of the body mass index (BMI) distribution: 149.5/1000 among severely underweight individuals and 164.3/1000 among severely overweight subjects. Overweight was associated with hypertension (14.9/1000 among the severely overweight), as well as joint conditions of the lower extremities, mainly hip, ankle and knee disorders. Functional disorders associated with underweight are bronchial and lung conditions, including asthma (14.2 and 18.9/1000 in the mildly and severely underweight), scoliosis, intestinal conditions and emotional disorders (mainly neurosis). Conclusions. Both under- and overweight are associated with morbidity at age 17. intervention programmes should begin at an early age.</t>
  </si>
  <si>
    <t>S400-078</t>
  </si>
  <si>
    <t>SCOPUS_ID:85026463152</t>
  </si>
  <si>
    <t>10.1093/eurpub/ckw234</t>
  </si>
  <si>
    <t>Adherence to cancer treatment guidelines: Influence of general and cancer-specific guideline characteristics</t>
  </si>
  <si>
    <t>Background: Guideline adherence remains a challenge in clinical practice, despite guidelines' ascribed potential to improve patient outcomes. We studied the level of adherence to recommendations from Dutch national cancer treatment guidelines, and the influence of general and cancer-specific guideline characteristics on adherence. Methods: Based on data from a national cancer registry, adherence was evaluated for 15 treatment recommendations for breast, colorectal, prostate and lung cancer, and melanoma. Recommendations were selected by representatives of the medical specialist associations responsible for developing and implementing the guidelines. We used multivariable multilevel analysis to calculate mean adherence and variation between individual hospitals. Results: Mean adherence to the different treatment recommendations ranged from 40 to 99%. Adherence differed only slightly between older and newer guidelines and between recommendations with low, moderate or high levels of evidence (range 79-84% and 77-91%, respectively), while adherence differed more between recommendations for different cancer types (range 54-99%), different treatment modalities (adherence ranged from 40 to 92%) or recommendations that advised against or recommended in favour of particular treatment (adherence ranged from 75 to 98%). Conclusion: We found significant variation in adherence between different cancer treatment guidelines. While some guideline characteristics that seem to explain this variation may be considered difficult to modify, the potential for variance across cancer types and treatment modalities suggests that adherence could be further improved. At the same time, these results warrant tailored strategies for the improvement of adherence to clinical practice guidelines.</t>
  </si>
  <si>
    <t>S400-079</t>
  </si>
  <si>
    <t>SCOPUS_ID:0028306581</t>
  </si>
  <si>
    <t>10.1093/ije/23.3.624</t>
  </si>
  <si>
    <t>Measles control in Kinshasa, Zaire improved with high coverage and use of medium titre edmonston zagreb vaccine at age 6 months</t>
  </si>
  <si>
    <t>Background. To improve measles control in Kinshasa, Zaire, a project to increase vaccine coverage was begun in 1988, and in 1989, the city vaccination programme changed measles vaccination policy from Schwartz vaccine at age 9 months to medium titre Edmonston Zagreb (EZ) vaccine at age 6 months. We report the Impact of the programme on measles Incidence and mortality.Methods. Data on vaccine coverage were obtained from cluster sample surveys conducted every 1-2 years and from routine reports of vaccine doses administered. Data on measles Incidence and mortality were obtained from sentinel surveillance sites. The serological response to EZ measles vaccine was evaluated at a health centre in 1989 and in a community survey in 1990.Results. Measles vaccine coverage estimated in cluster surveys increased from 50% of the 1984 bIrth cohort to 89% of the 1989 bIrth cohort, accepting either a home-based record or a verbal history of vaccination. Reported measles incidence per 100 000 population decreased by over 90%, from 37.5 in 1980 (early vaccination years) to 1.6 in 1991. There was a relative decrease In the proportion of cases aged &lt; 9 months (32% of cases in 1986-1987 and 23% of cases in 1990-1991) and an increase in the proportion aged &gt; 23 months (29% of cases In 1986-1987 and 43% in 1990-1991). AccordIng to ELISA assays, 74-76% of children seroresponded to EZ vaccine administered at age 6-7 months under routine programme conditions.Conclusions. Measles can be controlled In urban areas, although it is difficult to determine how great a contribution vaccination at age 6 months makes over and above the achievement of high coverage. © 1994 International Epidemioloigy Association.</t>
  </si>
  <si>
    <t>S400-080</t>
  </si>
  <si>
    <t>SCOPUS_ID:0033385724</t>
  </si>
  <si>
    <t>10.1093/ije/28.6.1032</t>
  </si>
  <si>
    <t>Cohort analysis of cigarette smoking and lung cancer incidence among Norwegian women</t>
  </si>
  <si>
    <t>['Ecological study', 'Lung cancer', 'Non-smokers', 'Smoking cessation', 'Tobacco', 'Women']</t>
  </si>
  <si>
    <t>Background. Cancer registries have for decades surveyed the development of cancer diseases. Data on incident cases includes demographic variables. Knowledge of the temporal distribution of risk factors on the same variables makes it possible to model the relationship between disease and risk factor. The results of such analyses might be difficult to interpret since they are based on aggregated data. But the availability of these data sources should encourage further exploration of its possibilities and limitations. Methods. The temporal pattern of smoking habits in 5-year birth cohorts from 1890-1949 was established, with data on the proportions of current smokers, former smokers and non-smokers and estimated average daily consumption of tobacco and average duration of smoking. The lung cancer incidence among the cohorts in 1953-1992 was analysed by a model which included an additive excess risk for smokers that depended on daily dose and duration of smoking. Results. The lung cancer incidence in later decades was adequately described by the model, which showed a simple relationship with smoking behaviour in the cohorts. For both current smokers and former smokers, the excess risk was about proportional to the daily amount smoked and the 4.5 power of duration of smoking. The age-specific rates for non-smokers were close to a fifth-power curve of age. Conclusions. Even if lung cancer incidence is not determined separately for groups with known smoking habits, plausible estimates of the effect of smoking can be derived if appropriate information is available on temporal smoking habits in the population.</t>
  </si>
  <si>
    <t>S400-081</t>
  </si>
  <si>
    <t>SCOPUS_ID:85122245290</t>
  </si>
  <si>
    <t>10.1007/s10654-021-00829-2</t>
  </si>
  <si>
    <t>Lifestyle risk factors and all-cause and cause-specific mortality: assessing the influence of reverse causation in a prospective cohort of 457,021 US adults</t>
  </si>
  <si>
    <t>['Bias', 'Lifestyle risk factors', 'Mortality', 'Prospective study']</t>
  </si>
  <si>
    <t>Background: Lifestyle risk factors have been associated with increased all-cause and cause-specific mortality, but the influence of reverse causation has been underappreciated as a limitation in epidemiological studies. Methods: Prospective cohort study including 457,021 US adults from the National Health Interview Survey 1997–2013 linked to the National Death Index records through December 31, 2015. Multivariable Cox models were performed to examine the association of lifestyle risk factors with all-cause and cause-specific mortality. Participants with prevalent diseases and the first 2, 5, 10, and 15 years of follow-up were excluded to account for reverse causation. Results: During 4,441,609 person-years, we identified 60,323 total deaths. Heavy alcohol drinking (HR 1.12; 95% CI 1.08 to 1.16), smoking (HR 1.78; 95% CI 1.74 to 1.83) and lack of physical activity (HR 1.51; 95% CI 1.47 to 1.54) were associated with increased all-cause mortality. Overweight was associated with lower all-cause mortality (HR 0.88; 95% CI 0.86 to 0.90). After exclusion of participants with diseases and first 10 years of follow-up, associations changed to: heavy alcohol drinking (HR 1.31; 95% CI 1.20 to 1.43), smoking (HR 1.99; 95% CI 1.87 to 2.11), lack of physical activity (HR 1.21; 95% CI 1.15 to 1.27), and overweight (HR 1.05; 95% CI 1.00 to 1.10). Conclusions: Methods to account for reverse causation suggest different effects of reverse causation on the associations between lifestyle risk factors and mortality. Exclusion of participants with diseases at baseline, and exclusion of 5–10 years of follow-up may be necessary to mitigate reverse causation.</t>
  </si>
  <si>
    <t>S400-082</t>
  </si>
  <si>
    <t>SCOPUS_ID:85125662200</t>
  </si>
  <si>
    <t>10.1016/j.ypmed.2022.107004</t>
  </si>
  <si>
    <t>Trends in risk factors and management strategies used by people with type 2 diabetes in New South Wales, Australia</t>
  </si>
  <si>
    <t>['Nutrition', 'Obesity', 'Physical activity', 'Secondary prevention', 'Self-management behaviours', 'Type 2 diabetes']</t>
  </si>
  <si>
    <t>Adopting healthy lifestyle behaviours is an important component of Type 2 diabetes (T2D) self-management, which can lower risks of further health complications. Monitoring lifestyle risk factors including overweight or obesity, healthy diet and physical activity behaviours, alcohol consumption, smoking and psychological distress remain important. This study examined prevalence trends in these factors and adoption of three diabetes lifestyle self-management strategies in adults (aged 40+) with T2D in New South Wales (NSW), Australia. Analyses were conducted on NSW Adult Population Health Survey data, 2004–2019 (n = 142,168), using predicted probabilities from generalised linear models, weighted to population estimates. Throughout the study period overweight or obesity prevalence remained higher amongst those with T2D (83.1% to 81.7%) compared to those without diabetes (61.0 to 61.2%); only 8.9% of those with T2D were trying to lose weight. During the study period, there were declines in the proportions of those with T2D reporting sufficient fruit consumption [63.9% to 50.1%], moderate vegetable consumption (3 serves) [49.0% to 37.7%], and achieving sufficient physical activity [40.0% to 34.0%]. There were also declines in those reporting they manage their diabetes through following a special diet [73.6% to 55.9%] and exercising most days [33.5% to 22.2%]. This study highlights potential gaps in T2D secondary prevention and suggests more targeted diabetes education services are needed to address lifestyle risks. Increased understanding of why fewer people with T2D adopt these lifestyle management strategies is needed to inform policy and practice.</t>
  </si>
  <si>
    <t>S400-083</t>
  </si>
  <si>
    <t>SCOPUS_ID:66149134485</t>
  </si>
  <si>
    <t>10.1097/EDE.0b013e3181931515</t>
  </si>
  <si>
    <t>Self-administered semiquantitative food frequency questionnaires: Patterns, predictors, and interpretation of omitted items</t>
  </si>
  <si>
    <t>BACKGROUND: Food items on a self-administered food frequency questionnaire (FFQ) may be left blank because the food was not consumed, because of difficulties remembering the frequency or amount of intake, or due to an oversight. METHODS: We explored the predictors and frequency of consumption of omitted food items on an FFQ used in the Nurses' Health Study II. Of 87,676 women who returned a mailed 147-item FFQ in 1999, 34% completed the entire questionnaire, whereas 66% left at least 1 food item blank. Ten or more food items were omitted by 5% of participants. Foods were more likely omitted by women who were older or more physically active. We resurveyed 2876 participants who had left between 1 and 70 food items blank and asked them to fill in the blanks. Overall, 2485 participants provided complete responses. RESULTS: In the resurvey, 64% of the formerly omitted foods were marked as consumed never or less than once per month, 20% as 1 to 3 times per month, 8% as once per week, and 9% as more than once per week. Commonly consumed foods and beverages were less likely omitted because they were not consumed than rarely consumed foods. The best estimate for the true intake value of an omitted food was 0.82 times the average population intake. CONCLUSIONS: While calculating nutrient intake, the assumption that items missing represent zero intake is reasonable. However, food items consumed more often in the population at large are less likely than rarely consumed food items to be left blank because they were not consumed. © 2009 Lippincott Williams &amp; Wilkins, Inc.</t>
  </si>
  <si>
    <t>S400-084</t>
  </si>
  <si>
    <t>SCOPUS_ID:85196041254</t>
  </si>
  <si>
    <t>10.1016/j.amepre.2024.05.016</t>
  </si>
  <si>
    <t>Communication Policy to Reduce Health Disparities: A Cross-Language Content Analysis of YouTube Television Advertising</t>
  </si>
  <si>
    <t>Introduction: This study aimed to identify disparate health-related marketing across English- and Spanish-language television networks in New York City, ultimately to inform policy that can counteract disproportionate health-related marketing that provides harmful content to and withholds beneficial information from Latinx populations. Methods: A 2-week composite sample of primetime English-language (National Broadcasting Company and Columbia Broadcasting System) and Spanish-language (Telemundo and Univision) television networks from YouTube television was randomly drawn from September 7, 2022 to September 27, 2022 in New York City. A total of 9,314 health-related television advertisements were identified for systematic media content analysis and coded into categories: alcohol, core or noncore foods/beverages, mental health/tobacco prevention, health insurance, medical centers, and pharmaceuticals. Analyses conducted in 2022–2024 included intercoder reliability and descriptive and rate difference estimates using total advertisement broadcasting time in the full sample and subsamples by language networks on YouTube television. Results: Spanish television networks broadcast greater health-adverse advertisements per hour for alcohol (rate difference=4.91; 95% CI=3.96, 5.85) and noncore foods/beverages (rate difference=13.43; 95% CI=11.52, 15.34) and fewer health-beneficial advertisements per hour for mental health/tobacco prevention (rate difference= −0.99; 95% CI= −1.45, −0.54), health insurance (rate difference= −1.00; 95% CI= −1.44, −0.57), medical centers (rate difference= −0.55; 95% CI= −1.23, 0.12), and pharmaceuticals (rate difference= −5.72; 95% CI= −7.32, −4.11) than New York City primetime English television networks. Conclusions: Multilevel policy innovation and implementation are required to mitigate primetime television marketing strategies that contribute to health inequities.</t>
  </si>
  <si>
    <t>S400-085</t>
  </si>
  <si>
    <t>SCOPUS_ID:29044431976</t>
  </si>
  <si>
    <t>10.1093/eurpub/cki035</t>
  </si>
  <si>
    <t>Quality control of automatically defined cancer cases by the automated registration system of the Venetian Tumour Registry: Quality control of cancer cases automatically registered</t>
  </si>
  <si>
    <t>['Automated registration', 'Cancer incidence', 'Quality control']</t>
  </si>
  <si>
    <t>Background: In the Venetian Tumour Registry a substantial quota of cases (55%) is accepted using an algorithm that automatically evaluates diagnostic evidence: this study aims at assessing the reliability of the information produced in this way. Methods: A reabstraction study was conducted, which put a stratified sample of 1539 automatically accepted cases through a double-blind manual revision. Results: A significantly higher proportion of prevalent cases were found among breast, prostate and larynx cancer cases without microscopic confirmation, while there is a clear strong inverse relationship between the number of concordant diagnostic sources and the proportions of discordant diagnoses: cases based only on a single cytology record are particularly unreliable. A small number of multiple cancers are not detected because of one of the rules applied. Conclusion: The overall proportion of incorrect decisions is not high and similar to those reported by other registries, but errors are correlated to the diagnostic evidence pattern. As a further check, we decided to revise clinical cases for the three sites mentioned manually, in order to reduce the numbers proportion of both prevalent cases, and all cytology-based diagnoses, so as to reduce the number of 'false positives'. Coverage of hospital discharge source has been extended in order to decrease the proportion of cases based only on pathology records. © The Author 2005. Published by Oxford University Press on behalf of the European Public Health Association. All rights reserved.</t>
  </si>
  <si>
    <t>S400-086</t>
  </si>
  <si>
    <t>SCOPUS_ID:0031053641</t>
  </si>
  <si>
    <t>10.1023/A:1007336609638</t>
  </si>
  <si>
    <t>An outbreak of hepatitis A in a French day-care center and efforts to combat it</t>
  </si>
  <si>
    <t>['Epidemic', 'Hepatitis A', 'Management of outbreak', 'Transmission']</t>
  </si>
  <si>
    <t>An outbreak of hepatitis A in a French day-care center was identified during a survey of risk factors for such events in a sample of 210 centers. In the period between 29 March and 9 July 1994, 17 cases were diagnosed in the center (anti-HAV IgM serum antibody) including 11 children aged 2-3 (attack rate = 55.5% of class), 2 staff members, 3 parents and 1 educator-parent (secondary attack rate = 27.6%). The source case was probably a classmate of Case 1's older brother, who was diagnosed earlier in the spring. Intensive hygiene measures and the organisational features of the clinic limited all transmission except by direct physical contact with infected children. Vaccination of staff was begun, too late to be effective; gamma-globulin prophylaxis might have been administered but was not. This is the first documented outbreak of the disease in a French center.</t>
  </si>
  <si>
    <t>S400-087</t>
  </si>
  <si>
    <t>SCOPUS_ID:84881175717</t>
  </si>
  <si>
    <t>10.1093/aje/kws478</t>
  </si>
  <si>
    <t>Changes in fish consumption in midlife and the risk of coronary heart disease in men and women</t>
  </si>
  <si>
    <t>['causal inference', 'causal model', 'cohort', 'coronary artery disease', 'diet', 'intervention', 'lifestyle']</t>
  </si>
  <si>
    <t>Without data from randomized trials, the long-term effects of fish consumption on coronary heart disease (CHD) need to be inferred from observational studies. We estimated CHD risk under different hypothetical interventions on fish consumption during mid-and later life in 2 prospective US cohorts of 25,797 men in the Health Professionals Follow-Up Study and 53,772 women in the Nurses' Health Study. Participants provided information on risk factors and disease every 2 years and on diet every 4 years. We adjusted for baseline and time-varying risk factors for CHD by using the parametric g-formula (where g stands for "generalized"). We observed 1,865 incident CHD cases among men (in 1990-2008) and 1,891 CHD cases among women (in 1986-2008). The risk ratios for CHD when comparing the risk if everyone had consumed at least 2 servings of fish per week with the risk if no one consumed fish during the follow-up periods were 1.03 (95% confidence interval: 0.90, 1.15) for men and 0.87 (95% confidence interval: 0.76, 0.98) for women. Our results suggest that increasing fish consumption to at least 2 servings per week in mid-or later life may lower CHD risk in women but not in men. Our analytical approach allowed us to explicitly specify hypothetical interventions and to assess the effectiveness of dietary changes in midlife. © 2013 The Author.</t>
  </si>
  <si>
    <t>S400-088</t>
  </si>
  <si>
    <t>SCOPUS_ID:85184833995</t>
  </si>
  <si>
    <t>10.2105/AJPH.2023.307500</t>
  </si>
  <si>
    <t>COVID-19 Vaccination Rates Among North Dakota Residents Who Gave Birth Between April 1, 2021, and July 15, 2022</t>
  </si>
  <si>
    <t>Objectives. To assess COVID-19 vaccination rates among North Dakota residents who gave birth. Methods. We used data from North Dakota Vital Records and the North Dakota Immunization Information System for North Dakota residents who gave birth between April 1, 2021, and July 15, 2022. We evaluated vaccination with 1 dose, primary series, and monovalent booster for timing before and during pregnancy and postpartum. Results. Among North Dakota residents who gave birth, 44% received at least 1 COVID-19 vaccine, 34% received a complete primary series, and 10% received a monovalent booster dose. Among those who received a COVID-19 vaccine, the majority was vaccinated during pregnancy. Obstetrics and gynecology providers administered just 9.2% of COVID-19 vaccine doses. Conclusions. Most persons who gave birth in North Dakota did not receive the primary series of the COVID-19 vaccine while pregnant. Providers have an opportunity to counsel their pregnant and recently pregnant patients on vaccine recommendations.</t>
  </si>
  <si>
    <t>S400-089</t>
  </si>
  <si>
    <t>SCOPUS_ID:0031021219</t>
  </si>
  <si>
    <t>10.1097/00001648-199701000-00012</t>
  </si>
  <si>
    <t>Reproductive factors, oral contraceptive use, and risk of colorectal cancer</t>
  </si>
  <si>
    <t>['cohort studies', 'colorectal cancer', 'menarche', 'menopause', 'oral contraceptive use', 'parity', 'reproductive factors']</t>
  </si>
  <si>
    <t>Multiparity and use of oral contraceptives are hypothesized to reduce risk of colorectal cancer. Among 57,529 women, 31-90 years of age, who volunteered for a nationwide breast cancer screening program from 1973 to 1980, we observed 154 pathologically confirmed cases of colon cancer and 49 cases of rectal cancer in up to 10 years of follow-up (388,555 person- years). Parity was not associated with risk of colorectal cancer [age- adjusted rate ratio for ≤4 children vs no children = 1.0; 95% confidence interval (CI) = 0.72-1.5], although decreases in proximal colon cancer and increases in distal colon cancer were observed among parous women. The effect of parity did not vary by age at diagnosis. We found no strong or consistent association for age at menarche, age at first birth, or age at natural menopause. In addition, oral contraceptive use, reflecting mainly past use, was unrelated to risk of colorectal cancer (rate ratio = 1.0; 95% CI = 0.75- 1.4). These findings do not corroborate the hypothesis that reproductive events or oral contraceptives influence the development of colorectal cancer.</t>
  </si>
  <si>
    <t>S400-090</t>
  </si>
  <si>
    <t>SCOPUS_ID:67749135506</t>
  </si>
  <si>
    <t>10.1093/aje/kwp146</t>
  </si>
  <si>
    <t>The physical and mental health of australian vietnam veterans 3 decades after the war and its relation to military service, combat, and post-traumatic stress disorder</t>
  </si>
  <si>
    <t>['Combat disorders', 'Health status', 'Psychiatry', 'Stress disorders, post-traumatic', 'Veterans', 'Vietnam']</t>
  </si>
  <si>
    <t>The long-term health consequences of war service remain unclear, despite burgeoning scientific interest. A longitudinal cohort study of a random sample of Australian Vietnam veterans was designed to assess veterans' postwar physical and mental health 36 years after the war (2005-2006) and to examine its relation to Army service, combat, and post-traumatic stress disorder (PTSD) assessed 14 years previously (1990-1993). Prevalences in veterans (n =450) were compared with those in the Australian general population. Veterans' Army service and data from the first assessments were evaluated using multivariate logistic regression prediction modeling. Veterans' general health and some health risk factors were poorer and medical consultation rates were higher than Australian population expectations. Of 67 long-term conditions, the prevalences of 47 were higher and the prevalences of 4 were lower when compared with population expectations. Half of all veterans took some form of medication for mental well-being. The prevalence of psychiatric diagnoses exceeded Australian population expectations. Military and war service characteristics and age were the most frequent predictors of physical health endpoints, while PTSD was most strongly associated with psychiatric diagnoses. Draftees had better physical health than regular enlistees but no better mental health. Army service and war-related PTSD are associated with risk of illness in later life among Australian Vietnam veterans.</t>
  </si>
  <si>
    <t>S400-091</t>
  </si>
  <si>
    <t>SCOPUS_ID:0035740601</t>
  </si>
  <si>
    <t>10.1023/A:1015622016579</t>
  </si>
  <si>
    <t>American cutaneous leishmaniasis as a rare imported disease in Europe: A case report favourably treated with antimonial derivatives</t>
  </si>
  <si>
    <t>['American cutaneous leishmaniasis', 'Imported disease', 'Italy', 'Meglumine antimoniate', 'Travel']</t>
  </si>
  <si>
    <t>A rare case report of American leishmaniasis imported to Italy after a prolonged journey in Brazil is described, and discussed according to the recent epidemiologic, diagnostic, and clinical literature evidence. Since a delayed diagnosis and treatment of American leishmaniasis outside endemic areas is common (due to a low clinical suspicion), careful and timely consideration of tropical infections is warranted in the differential diagnosis of cutaneous lesions found in a European traveller.</t>
  </si>
  <si>
    <t>unclear if this is an empirical paper, sounds like it is just the description of a medical case study?</t>
  </si>
  <si>
    <t>S400-092</t>
  </si>
  <si>
    <t>SCOPUS_ID:77950416585</t>
  </si>
  <si>
    <t>10.1093/aje/kwp467</t>
  </si>
  <si>
    <t>Dietary calcium and magnesium intake and mortality: A prospective study of men</t>
  </si>
  <si>
    <t>['Calcium', 'Dietary supplements', 'Eating', 'Magnesium', 'Men', 'Mortality']</t>
  </si>
  <si>
    <t>The authors examined the association of dietary calcium and magnesium intake with all-cause, cardiovascular disease (CVD), and cancer mortality among 23,366 Swedish men, aged 45-79 years, who did not use dietary supplements. Cox proportional hazards regression models were used to estimate the multivariate hazard ratios and 95% confidence intervals of mortality. From baseline 1998 through December 2007, 2,358 deaths from all causes were recorded in the Swedish population registry; through December 2006, 819 CVD and 738 cancer deaths were recorded in the Swedish cause-of-death registry. Dietary calcium was associated with a statistically significant lower rate of all-cause mortality (hazard ratio (HR) = 0.75, 95% confidence interval (CI): 0.63, 0.88; Ptrend &lt; 0.001) and a nonsignificantly lower rate of CVD (HR = 0.77, 95% CI: 0.58, 1.01; Ptrend = 0.064) but not cancer mortality (HR = 0.87, 95% CI: 0.65, 1.17; Ptrend = 0.362) when the highest intake tertile (mean = 1,953 mg/day; standard deviation (SD), 334) was compared with the lowest (990 mg/day; SD, 187). Dietary magnesium intake (means of tertiles ranged from 387 mg/day (SD, 31) to 523 mg/day (SD, 38) was not associated with all-cause, CVD, or cancer mortality. This population-based, prospective study of men with relatively high intakes of dietary calcium and magnesium showed that intake of calcium above that recommended daily may reduce all-cause mortality.</t>
  </si>
  <si>
    <t>S400-093</t>
  </si>
  <si>
    <t>SCOPUS_ID:0344562873</t>
  </si>
  <si>
    <t>10.1093/ije/28.4.640</t>
  </si>
  <si>
    <t>Increasing inequality in ischaemic heart disease morbidity among employed men in Denmark 1981-1993: The need for a new preventive policy</t>
  </si>
  <si>
    <t>['Bus driver', 'Cohort study', 'Hospitalization', 'Inequality', 'Ischaemic heart disease']</t>
  </si>
  <si>
    <t>Background. In the mid 1980s European governments committed themselves to the WHO goal 'reduced inequality in health by year 2000' according to which inequality in health should be reduced by 25% by the year 2000. The study aim is to estimate the time trend in relative risk due to ischaemic heart disease (IHD) morbidity in employment status groups in Denmark in the period from 1981 to 1993 and to recommend a strategy to reduce inequality in health. Material and Methods. The study dealt with change in relative risk of IHD in main employment status groups as measured in three successive cohorts. The cohorts were defined as all gainfully employed men in Denmark as of 1 January 1981, 1986 and 1991, respectively. Information on employment was retrieved for the three previous years. The cohorts were followed for first admissions with IHD as the principal cause during 5, 5, and 3 years respectively. Results. Managers and white collar workers had an average or low and decreasing relative risk while male blue collar workers had a high and increasing relative risk. Thus the social inequality in IHD is rapidly increasing. Some occupational groups are known to be at high risk. Some of these high-risk groups, such as bus drivers, even have an increasing relative risk. Conclusions. The general health education has been successful in the prevention of IHD in the high-status groups but has failed to reduce the risk among blue collar workers. Preventive measures against IHD should focus on occupational groups at high, increasing risk and the measures should tailor to their 'subculture.'.</t>
  </si>
  <si>
    <t>S400-094</t>
  </si>
  <si>
    <t>SCOPUS_ID:0032785256</t>
  </si>
  <si>
    <t>10.2105/AJPH.89.8.1244</t>
  </si>
  <si>
    <t>Adolescent reproductive events and subsequent breast cancer risk</t>
  </si>
  <si>
    <t>Objectives. This study investigated the relationship between reproductive events during adolescence and subsequent breast cancer risk. Methods. Logistic regression models used self-reported data from 862 case patients and 790 controls in the Carolina Breast Cancer Study. Results. Miscarriage, induced abortion, and full-term pregnancy before 20 years of age were not associated with breast cancer. Among premenopausal women, breast- feeding before 20 years of age was inversely associated with disease. Oral contraceptive use before 18 years of age was positively associated with disease risk among African American women only. Conclusions. Pregnancy during adolescence does not appear to influence breast cancer risk, but breast- feeding may. A possible increased breast cancer risk among African American women who used oral contraceptives as adolescents warrants further study.</t>
  </si>
  <si>
    <t>S400-095</t>
  </si>
  <si>
    <t>SCOPUS_ID:85193744517</t>
  </si>
  <si>
    <t>10.1007/s10654-024-01131-7</t>
  </si>
  <si>
    <t>Serum neurofilament light chain as a prognostic marker of all-cause mortality in a national sample of US adults</t>
  </si>
  <si>
    <t>['Aging', 'Biomarker', 'Mortality', 'Neurodegenerative disease', 'Neurofilament light chain', 'Population', 'Prognostic markers']</t>
  </si>
  <si>
    <t>Neurofilament light chain (NfL) is a neuron-specific structural protein released into the extracellular space, including body fluids, upon neuroaxonal damage. Despite evidence of a link in neurological disorders, few studies have examined the association of serum NfL with mortality in population-based studies. Data from the National Health and Nutrition Survey were utilized including 2,071 Non-Hispanic White, Non-Hispanic Black and Hispanic adult participants and adult participants of other ethnic groups (20–85 years) with serum NfL measurements who were followed for ≤ 6 years till 2019. We tested the association of serum NfL with mortality in the overall population and stratified by sex with the addition of potential interactive and mediating effects of cardio-metabolic risk factors and nutritional biomarkers. Elevated serum NfL levels (above median group) were associated with mortality risk compared to the below median NfL group in the overall sample (P = 0.010), with trends observed within each sex group (P &lt; 0.10). When examining Loge NfL as a continuum, one standard deviation of Loge NfL was associated with an increased mortality risk (HR = 1.88, 95% CI 1.60–2.20, P &lt; 0.001) in the reduced model adjusted for age, sex, race, and poverty income ratio; a finding only slightly attenuated with the adjustment of lifestyle and health-related factors. Four-way decomposition indicated that there was, among others, mediated interaction between NfL and HbA1c and a pure inconsistent mediation with 25(OH)D3 in predicting all-cause mortality, in models adjusted for all other covariates. Furthermore, urinary albumin-to-creatinine ratio interacted synergistically with NfL in relation to mortality risk both on the additive and multiplicative scales. These data indicate that elevated serum NfL levels were associated with all-cause mortality in a nationally representative sample of US adults.</t>
  </si>
  <si>
    <t>S400-096</t>
  </si>
  <si>
    <t>SCOPUS_ID:0028917862</t>
  </si>
  <si>
    <t>10.2105/ajph.85.1.61</t>
  </si>
  <si>
    <t>What if Americans drank less? The potential effect on the prevalence of alcohol abuse and dependence</t>
  </si>
  <si>
    <t>Objectives. Several advisory committees have recently recommended that alcohol consumption be limited to moderate levels. Moderate drinking has been defined generally as not more than two drinks per day for healthy men and not more than one drink per day for healthy, nonpregnant women. The impact of reducing alcohol consumption to within the recommended guidelines on the prevalence of two serious alcohol-related problems was examined by modeling the relationship between average daily ethanol intake and alcohol abuse and dependence. Methods. The recommended drinking guidelines, both in their existing form and modified by a measure of impairment, were applied to the observed distribution of consumption derived from a large representative survey of the US general population. Results. The results demonstrated that restricting drinking to the maximum allowable levels under the existing and the modified guidelines would reduce the prevalence of alcohol abuse and dependence by 14.2% and 47.1%, respectively, in the adult US general population. Conclusions. Implications of these findings are discussed in terms of the validity of the assumptions underlying the models and the nature and direction of future research that would form the basis of newly developed guidelines for safe drinking limits.</t>
  </si>
  <si>
    <t>they only mention direction of future resaerch</t>
  </si>
  <si>
    <t>S400-097</t>
  </si>
  <si>
    <t>SCOPUS_ID:85047116797</t>
  </si>
  <si>
    <t>10.1007/s10654-018-0410-z</t>
  </si>
  <si>
    <t>Subjective social status and mortality: the English Longitudinal Study of Ageing</t>
  </si>
  <si>
    <t>['Ageing', 'Inequalities', 'Mortality', 'Social status', 'Socioeconomic position']</t>
  </si>
  <si>
    <t>Self-perceptions of own social position are potentially a key aspect of socioeconomic inequalities in health, but their association with mortality remains poorly understood. We examined whether subjective social status (SSS), a measure of the self-perceived element of social position, was associated with mortality and its role in the associations between objective socioeconomic position (SEP) measures and mortality. We used Cox regression to model the associations between SSS, objective SEP measures and mortality in a sample of 9972 people aged ≥ 50 years from the English Longitudinal Study of Ageing over a 10-year follow-up (2002–2013). Our findings indicate that SSS was associated with all-cause, cardiovascular, cancer and other mortality. A unit decrease in the 10-point continuous SSS measure increased by 24 and 8% the mortality risk of people aged 50–64 and ≥ 65 years, respectively, after adjustment for age, sex and marital status. The respective estimates for cardiovascular mortality were 36 and 11%. Adjustment for all covariates fully explained the association between SSS and cancer mortality, and partially the remaining associations. In people aged 50–64 years, SSS mediated to a varying extent the associations between objective SEP measures and all-cause mortality. In people aged ≥ 65 years, SSS mediated to a lesser extent these associations, and to some extent was associated with mortality independent of objective SEP measures. Nevertheless, in both age groups, wealth partially explained the association between SSS and mortality. In conclusion, SSS is a strong predictor of mortality at older ages, but its role in socioeconomic inequalities in mortality appears to be complex.</t>
  </si>
  <si>
    <t>S400-098</t>
  </si>
  <si>
    <t>SCOPUS_ID:85098472022</t>
  </si>
  <si>
    <t>10.1093/eurpub/ckaa094</t>
  </si>
  <si>
    <t>Parental mortality following the loss of a child to a drug-related death</t>
  </si>
  <si>
    <t>Background: The drug-related death of a child has been linked to higher prevalence of complicated grief and mental health problems than bereavement by other causes of death. Whether this leads to an increased risk of mortality following the loss has not yet been examined. Methods: Employing register data covering the years 1986-2015 and encompassing the entire Norwegian population, parents with at least one child aged 15 or older were analyzed using Cox regression. Drug-death bereaved parents were compared with both non-bereaved parents and parents bereaved by other causes of death. Results: Parents bereaved by a drug-related death generally had a higher natural cause mortality throughout the follow-up. Drug-death bereaved parents had a particularly high external cause mortality in the first 2 years subsequent to bereavement when compared with non-bereaved parents (mothers: Hazard ratio 4.82, 95% CI = 3.11-7.47; fathers: Hazard ratio 2.50, 95% CI = 1.57-3.97). There was also an elevated, but significantly lower mortality risk from external causes 2 to 10 years subsequent to bereavement. This indicates that the associations observed are not solely due to selection. Conclusions: Parents bereaved by the drug-related death of a child had a higher mortality than both non-bereaved parents and parents bereaved by other causes of death. Drug-death bereaved parents had particularly high external cause mortality. Our results indicate that losing a child to a drug-related death is associated with adverse health outcomes and that these might be more severe than bereavement due to other causes of death.</t>
  </si>
  <si>
    <t>S400-099</t>
  </si>
  <si>
    <t>SCOPUS_ID:85083852821</t>
  </si>
  <si>
    <t>10.1136/jech-2019-213014</t>
  </si>
  <si>
    <t>Association of big-5 personality traits with cognitive impairment and dementia: A longitudinal study</t>
  </si>
  <si>
    <t>Background Personality traits have been liked to cognitive outcomes such as dementia, but whether these associations are robust to the effects of third variables remains the subject of debate. We examined the role of socioeconomic status, depression (history and depressive symptoms), health behaviours and chronic conditions in the association of the big-5 personality traits with cognitive performance, cognitive impairment and incidence of dementia. Methods Data on 6135 persons (30% women), aged 60-83 years in 2012/13, are drawn from the Whitehall II Study. Participants responded to the 26-item Midlife Development Inventory to assess personality traits (openness, conscientiousness, extraversion, agreeableness and neuroticism), underwent cognitive testing in 2012/13 and 2015/16 and were followed for incidence of dementia (N=231) until 2019. Results Logistic regression, adjusted for sociodemographic factors, suggested a cross-sectional association with cognitive impairment for four of the five traits but only neuroticism was associated with incident cognitive impairment. All associations were completely attenuated when the analyses were adjusted for depression. Cox regression (mean follow-up: 6.18 years) adjusted for sociodemographic variables showed higher conscientiousness (HR per SD increment=0.72; 95% CI 0.65 to 0.81) and extraversion (HR=0.85; 95% CI 0.75 to 0.97) to be associated with lower dementia risk; higher neuroticism (HR=1.32; 95% CI 1.17 to 1.49) was associated with increased risk. Further adjustment for depression led to only conscientiousness retaining an association with dementia (HR=0.81; 95% CI 0.69 to 0.96), which was robust to adjustment for all covariates (HR=0.84; 95% CI 0.71 to 0.91; P=0.001). Conclusion Our results show that only conscientiousness has an association with incidence of dementia that is not attributable to socioeconomic status or depression. The association of neuroticism with dementia was explained by depression.</t>
  </si>
  <si>
    <t>S400-100</t>
  </si>
  <si>
    <t>SCOPUS_ID:0031886269</t>
  </si>
  <si>
    <t>10.2105/AJPH.88.1.68</t>
  </si>
  <si>
    <t>Two alternative job stress models and the risk of coronary heart disease</t>
  </si>
  <si>
    <t>Objectives. This study examined the association between two alternative job stress models-the effort-reward imbalance model and the job strain model- and the risk of coronary heart disease among male and female British civil servants. Methods. The logistic regression analyses were based on a prospective cohort study (Whitehall II study) comprising 6895 men and 3413 women aged 35 to 55 years. Baseline measures of both job stress models were related to new reports of coronary heart disease over a mean 5.3 years of follow-up. Results. The imbalance between personal efforts (competitiveness, work-related overcommitment, and hostility) and rewards (poor promotion prospects and a blocked career) was associated with a 2.15-fold higher risk of new coronary heart disease. Job strain and high job demands were not related to coronary heart disease; however, low job control was strongly associated with new disease. The odds ratios for low job control were 2.38 and 1.56 for self-reported and externally assessed job control, respectively. Work characteristics were simultaneously adjusted and controlled for employment grade level, negative affectivity, and coronary risk factors. Conclusions. This is apparently the first report showing independent effects of components of two alternative job stress models-the effort-reward imbalance model and the job strain model (job control only)-on coronary heart disease.</t>
  </si>
  <si>
    <t>S400-101</t>
  </si>
  <si>
    <t>SCOPUS_ID:84935498474</t>
  </si>
  <si>
    <t>10.1016/j.ypmed.2015.06.007</t>
  </si>
  <si>
    <t>Perceived effectiveness of HPV test as a primary screening modality among US providers</t>
  </si>
  <si>
    <t>['Cervical cancer', 'Health care providers', 'Human papillomavirus DNA test', 'Screening']</t>
  </si>
  <si>
    <t>Background: The human papillomavirus (HPV) test, administered alone without the Papanicolaou (Pap) test, was recently recognized as a cervical cancer screening option in the United States by the Society of Gynecologic Oncology and the American Society for Colposcopy and Cervical Pathology, and the Food and Drug Administration has approved an HPV test for primary screening. Methods: Surveys of US internists, family practitioners, nurse practitioners, and obstetrician-gynecologists were conducted in 2009 and 2012 to investigate providers' perceptions of the effectiveness of the HPV test administered alone as a population-based screening modality (2009: N= 1040, 141-494 per provider group; 2012: N= 1039, 155-435 per provider group). Results: The majority in each provider group agreed that the HPV test administered alone is an effective screening modality in 2009 (75.3%-86.1%) and 2012 (79.5%-91.8%), and agreement rose significantly during this time period among family practitioners (χ2=15.26, df=1, p&lt;0.001) and nurse practitioners (χ2=4.53, df=1, p=0.033). Conclusions: Agreement that the HPV test administered alone is an effective cervical cancer screening modality was widespread among providers in both 2009 and 2012, however implementation of guidelines for screening with the HPV test may be influenced by many other factors including reimbursement and patient preferences.</t>
  </si>
  <si>
    <t>S400-102</t>
  </si>
  <si>
    <t>SCOPUS_ID:0029980199</t>
  </si>
  <si>
    <t>10.1007/BF00144423</t>
  </si>
  <si>
    <t>Prevalence of hepatitis b and c viruses infection in chronic alcoholics with or without liver disease in ioannina, greece: Low incidence of HCV infection</t>
  </si>
  <si>
    <t>['Alcoholism', 'Hepatitis B virus', 'Hepatitis C virus', 'Heroin addiction']</t>
  </si>
  <si>
    <t>Intravenous heroin abusers comprise a high-risk group for hepatitis B and C viruses (HBV and HCV) infection. Chronic alcoholics with liver disease (LD) also comprise a high risk group for HBV infection whereas the frequency of antibodies to HIV (anti-HCV) ranges from 27-42.6%. In this study, HBV and HCV infection markers were determined in alcoholic patients with (83 patients) or without LD (68 patients) in order to assess the prevalence of these markers (HBsAg, HBsAb, HBcAb and anti-HCV). The reason for the study was a lad: of established data in this group of patients in Greece. The disease control groups consisted of 70 non-alcoholic hospitalized patients and 60 heroin addicts, whereas 1342 healthy blood donors were also investigated. Our results showed significantly increased prevalence of HBV infection markers in chronic alcoholic patients compared to healthy controls and non-alcoholic hospitalized patients. The findings were independent of the presence or absence of LD. In contrast to heroin addicts, where anti-HCV antibodies were observed in 90%, there was no difference in the prevalence of anti-HCV antibodies in chronic alcoholics (with or without LD), nonalcoholic hospitalized patients or healthy controls. In conclusion, we found that in this area of northwestern Greece, chronic alcoholics, independent of the presence of LD comprise a high risk group for HBV infection but very rarely have HCV infection. The latter finding may reflect technical or socioeconomic differences regarding the lifestyle of our patients, and our population in general.</t>
  </si>
  <si>
    <t>S400-103</t>
  </si>
  <si>
    <t>SCOPUS_ID:85096967937</t>
  </si>
  <si>
    <t>10.1136/jech-2020-214259</t>
  </si>
  <si>
    <t>Overview of retrospective data harmonisation in the MINDMAP project: Process and results</t>
  </si>
  <si>
    <t>['Cohort studies', 'epidemiology', 'longitudinal studies', 'methodology']</t>
  </si>
  <si>
    <t>Background The MINDMAP project implemented a multinational data infrastructure to investigate the direct and interactive effects of urban environments and individual determinants of mental well-being and cognitive function in ageing populations. Using a rigorous process involving multiple teams of experts, longitudinal data from six cohort studies were harmonised to serve MINDMAP objectives. This article documents the retrospective data harmonisation process achieved based on the Maelstrom Research approach and provides a descriptive analysis of the harmonised data generated. Methods A list of core variables (the DataSchema) to be generated across cohorts was first defined, and the potential for cohort-specific data sets to generate the DataSchema variables was assessed. Where relevant, algorithms were developed to process cohort-specific data into DataSchema format, and information to be provided to data users was documented. Procedures and harmonisation decisions were thoroughly documented. Results The MINDMAP DataSchema (v2.0, April 2020) comprised a total of 2841 variables (993 on individual determinants and outcomes, 1848 on environmental exposures) distributed across up to seven data collection events. The harmonised data set included 220 621 participants from six cohorts (10 subpopulations). Harmonisation potential, participant distributions and missing values varied across data sets and variable domains. Conclusion The MINDMAP project implemented a collaborative and transparent process to generate a rich integrated data set for research in ageing, mental well-being and the urban environment. The harmonised data set supports a range of research activities and will continue to be updated to serve ongoing and future MINDMAP research needs.</t>
  </si>
  <si>
    <t>S400-104</t>
  </si>
  <si>
    <t>SCOPUS_ID:0041663950</t>
  </si>
  <si>
    <t>10.1016/S0091-7435(03)00122-1</t>
  </si>
  <si>
    <t>Social support reduces the impact of partner violence on health: Application of structural equation models</t>
  </si>
  <si>
    <t>['Health', 'Modeling', 'Social support', 'Spouse abuse', 'Violence']</t>
  </si>
  <si>
    <t>Background. Intimate partner violence (IPV) is associated with poorer health, yet pathways through which IPV affects either mental or physical health are not well characterized. Methods. Structural equation modeling was used to test a model in which physical-IPV and battering were considered as separate independent variables. The sample included 191 women currently experiencing either physical IPV or battering. Emotional support provided to women experiencing IPV was hypothesized to mediate the impact of IPV on current mental and physical health (dependent variables). Results. Higher scores on emotional support were associated with better physical (β = -0.23, P &lt; 0.01) and mental health (β = -0.27, P &lt; 0.001). Physical IPV was directly associated with poorer mental health (β = .023, P &lt; 0.01) and indirectly associated with poorer physical health (β = 0.18, P &lt; 0.001) and mental health (β = -0.04, P &lt; 0.05), primarily through battering. Higher battering scores were directly associated with less emotional support (β = -0.33, P &lt; 0.001) and indirectly associated with poorer physical (β = 0.12, P &lt; 0.01) and mental health (β = 0.09, P &lt; 0.01), primarily through emotional support. Model diagnostics indicated a good fit (χ2 = 20.44, P = 0.37, GFI = 0.98, CFI = 0.99, RMSEA = 0.02). Conclusions. Higher levels of emotional support may modify the effect of IPV on health. Interventions to increase social and emotional support to abused women may reduce mental and physical health consequences. © 2003 American Health Foundation and Elsevier Inc. All rights reserved.</t>
  </si>
  <si>
    <t>S400-105</t>
  </si>
  <si>
    <t>SCOPUS_ID:85167823364</t>
  </si>
  <si>
    <t>10.1016/j.amepre.2023.05.004</t>
  </si>
  <si>
    <t>Development of a Protocol for Objectively Measuring Digital Device Use in Youth</t>
  </si>
  <si>
    <t>Introduction: Screen time is predominantly measured using questionnaires assessing a limited range of activities. This project aimed to develop a coding protocol that reliably identified screen time, including device type and specific screen behaviors, from video-camera footage. Methods: Screen use was captured from wearable and stationary PatrolEyes video cameras in 43 participants (aged 10–14 years) within the home environment (May–December 2021, coding in 2022, statistical analysis in 2023). After extensive piloting, the inter-rater reliability of the final protocol was determined in 4 coders using 600 minutes of footage from 18 participants who spent unstructured time on digital devices. Coders independently annotated all footage to determine 8 device types (e.g., phone, TV) and 9 screen activities (e.g., social media, video gaming) using Observer XT (behavioral coding software). Reliability was calculated using weighted Cohen's κ for duration per sequence (meets criteria for total time in each category) and frequency per sequence (meets criteria for total time in each category and order of use) for every coder pair on a per-participant and footage type basis. Results: Overall reliability of the full protocol was excellent (≥0.8) for both duration per sequence (κ=0.89–0.93) and the more conservative frequency per sequence (κ=0.83–0.86) analyses. This protocol reliably differentiates between different device types (κ=0.92–0.94) and screen behaviors (κ=0.81–0.87). Coder agreement ranged from 91.7% to 98.8% across 28.6−107.3 different instances of screen use. Conclusions: This protocol reliably codes screen activities in adolescents, offering promise for improving the understanding of the impact of different screen activities on health.</t>
  </si>
  <si>
    <t>S400-106</t>
  </si>
  <si>
    <t>SCOPUS_ID:0026613837</t>
  </si>
  <si>
    <t>10.1093/ije/21.1.82</t>
  </si>
  <si>
    <t>Perinatal mortality in Jeddah, Saudia Arabia</t>
  </si>
  <si>
    <t>Milaat W A (Department of Community Medicine and Primary Health Care, The Medical School, King Abdulaziz University, Jeddah, Saudi Arabia) and Florey C du V. Perinatal mortality in Jeddeh, Saudi Arabia. International Journal of Epidemiology 1992; 21: 82-90.The objective of the study was to estimate the pennatal mortality rate and to detemiine the antenatal and intrapartum risk factors associated with perinatal mortality in Jeddah, Saudi Arabia. A hospital-based, case-control study was carried out in a 40-week period in 1987-1988 in Jeddah at the Maternal and Child Health Hospital (MCH). The subjects comprised 323 perinatal deaths and 488 controls.The perinatal mortality rate (PMR) for Jeddah showed a decline from 42.5 in Islamic Calendar Year 1393H (1973) and 49.5 in 1400H (1979-1980) to 31.4 per 1000 live and stillbirths in 1408H (1987-1988). The risk factors independently associated with perinatal death included low birth weight, complications during labour, ethnic origin and mother's age being 35 and over. In addition to lethal deformities, direct causes of pennatal death were related to low birthweight, mechanical causes, antepartum haemorrhage and neonatal infection. No antenatal care was received by 36.5% of both cases and controls.The high mortality and the failure to attend for antenatal care suggest a need for closer surveillance of women throughout their pregnancies and for improvements in both obstetric services and neonatal management. © 1992 International Epidemiological Association.</t>
  </si>
  <si>
    <t>S400-107</t>
  </si>
  <si>
    <t>SCOPUS_ID:84886431585</t>
  </si>
  <si>
    <t>10.1093/ije/dyt168</t>
  </si>
  <si>
    <t>Skin cancer as a marker of sun exposure associates with myocardial infarction, hip fracture and death from any cause</t>
  </si>
  <si>
    <t>['Hip fracture', 'Mortality', 'Myocardial infarction', 'Nationwide study', 'Skin cancer', 'Sun exposure']</t>
  </si>
  <si>
    <t>Background Sun exposure is the single most important risk factor for skin cancer, but sun exposure may also have beneficial effects on health. We tested the hypothesis that individuals with skin cancer (non-melanoma skin cancer and cutaneous malignant melanoma) have less myocardial infarction, hip fracture and death from any cause, compared with general population controls. Methods We examined the entire Danish population above age 40 years from 1980 through 2006, comprising 4.4 million individuals. Diagnoses of non-melanoma skin cancer (n=129 206), cutaneous malignant melanoma (n=22107), myocardial infarction (n=327 856), hip fracture (n=129 419), and deaths from any cause (n=1 629 519) were drawn from national registries. Results In individuals with vs without non-melanoma skin cancer, multi factorially adjusted odds ratios were 0.96 (95% confidence interval: 0.94-0.98) for myocardial infarction and 1.15 (1.12-1.18) for hip fracture, and the multifactorially adjusted hazard ratio was 0.52 (0.52-0.53) for death from any cause. Risk of hip fracture was reduced (odds ratios were below 1.0) in individuals below age 90 years. In individuals with vs without cutaneous malignant melanoma, corresponding odds ratios were 0.79 (0.74-0.84) for myocardial infarction and 0.84 (0.76-0.93) for hip fracture, and the corresponding hazard ratio for death from any cause was 0.89 (0.87-0.91); however, cutaneous malignant melanoma was associated positively with death from any cause in some individuals. Conclusions In this nationwide study, having a diagnosis of skin cancer was associated with less myocardial infarction, less hip fracture in those below age 90 years and less death from any cause. Causal conclusions cannot be made from our data. A beneficial effect of sun exposure per se needs to be examined in other studies. © The Author 2013; all rights reserved.</t>
  </si>
  <si>
    <t>S400-108</t>
  </si>
  <si>
    <t>SCOPUS_ID:84893865482</t>
  </si>
  <si>
    <t>10.1016/j.amepre.2013.11.008</t>
  </si>
  <si>
    <t>From the bench to public health: Population-level implementation intentions in colorectal cancer screening</t>
  </si>
  <si>
    <t>Background Early detection of colorectal cancer (CRC) using fecal occult blood test (FOBT) reduces mortality, yet screening adherence remains low. Purpose Enhancing FOBT adherence in a field experiment, using Implementation Intentions (II) technique. Design Participants were randomly assigned to a standard care group or to II experimental group. Setting/participants A test kit was mailed to 29,833 HMO-insured members in two waves in 2011. Inclusion criteria: eligible persons aged 50-74 who underwent the test the year before. A sample of 2200 participants was interviewed over the telephone for possible cognitive and background moderators. Intervention Leaflet attached to the test kit containing an "if-then" condition and planning instructions of when, where, and how. Main outcome measure Test performance at 2 and 6 months following mailing of the test kit, retrieved from HMO's computerized database (2011-2012). Results Adherence in the experimental group ranged 1.2%-6.6% higher than in the control group. Within 6 months of kits' mailing, test uptake for the two waves was 71.4% and 67.9% for experiment and control, respectively (χ2=40.58, p=0.0001). The difference remained significant after controlling for age, gender, marital status, and wave (OR=1.17, 95% CI=1.11, 1.23, p&lt;0.0001). Test performance was related to cognitive and background variables. No interaction was found among cognitive or background variables and the intervention. Conclusions II technique is useful in increasing adherence to CRC screening, even in a mailed form rather than a face-to-face experimental situation. Mailed II is an inexpensive and effective method, applicable for public health. © 2014 American Journal of Preventive Medicine.</t>
  </si>
  <si>
    <t>S400-109</t>
  </si>
  <si>
    <t>SCOPUS_ID:84885847742</t>
  </si>
  <si>
    <t>10.1016/j.ypmed.2013.06.023</t>
  </si>
  <si>
    <t>Joint associations of poor diet quality and prolonged television viewing time with abnormal glucose metabolism in Australian men and women</t>
  </si>
  <si>
    <t>['Food habits', 'Glucose metabolism disorders', 'Sedentary lifestyle', 'Television']</t>
  </si>
  <si>
    <r>
      <t xml:space="preserve">Objective: To examine the independent and joint associations of diet quality and television viewing time with abnormal glucose metabolism (AGM) in men and women. Method: Cross-sectional data from 5346 women and 4344 men from the 1999 to 2000 Australian Diabetes, Obesity and Lifestyle Study were examined. Diet quality scores were derived from a food frequency questionnaire and categorised into tertiles (high; moderate; low). Television viewing time was dichotomised into low (≤ 14. h/week) and high (&gt; 14. h/week). AGM was defined as impaired fasting glucose, impaired glucose tolerance, known or newly diagnosed diabetes based on an oral glucose tolerance test. Regression analyses were adjusted for confounding variables. Results: Diet quality and television viewing time were significantly associated with AGM in women, independent of waist circumference. Compared to women with high diet quality/low television viewing time, women with low diet quality/low television viewing time and women with low diet quality/high television viewing time were significantly more likely to have AGM. Associations were not observed in men. Conclusions: Both poor diet quality and prolonged television viewing </t>
    </r>
    <r>
      <rPr>
        <sz val="11"/>
        <color rgb="FFFF0000"/>
        <rFont val="Calibri (Body)"/>
      </rPr>
      <t>should be addressed to reduce risk of AGM in women</t>
    </r>
    <r>
      <rPr>
        <sz val="11"/>
        <color theme="1"/>
        <rFont val="Calibri"/>
        <family val="2"/>
        <scheme val="minor"/>
      </rPr>
      <t>. Further understanding of modifiable risk factors in men is warranted. © 2013 Elsevier Inc.</t>
    </r>
  </si>
  <si>
    <t>marginal</t>
  </si>
  <si>
    <t>They only suggest future research?</t>
  </si>
  <si>
    <t>S400-110</t>
  </si>
  <si>
    <t>SCOPUS_ID:0030470141</t>
  </si>
  <si>
    <t>10.1093/ije/25.6.1227</t>
  </si>
  <si>
    <t>Asthma presentations to emergency departments in western Sydney during the January 1994 bushfires</t>
  </si>
  <si>
    <t>['Asthma', 'Emergency department', 'Epidemiology', 'Fires', 'Particulate air pollution', 'Smoke']</t>
  </si>
  <si>
    <t>Background. From 5 to 12 January 1994, the state of New South Wales suffered from the worst bushfires seen this century. High levels of particulate air pollution were recorded in western Sydney from 7 to 14 January 1994, with nephelometry readings reaching 10.24 β(scat) (10-4/m) and particulate matter &lt; 10 μ readings peaking at 250.00 μg/m3. The aim of this study was to determine whether there was an increase in the proportion of asthma presentations to emergency departments (ED) in western Sydney as a result of the bushfire-generated particulate air pollution. Method. We retrospectively analysed the emergency room attendance books for asthma presentations from seven public hospitals serving the Western Sydney and Wentworth Health Areas over two 6-7 week periods, 17 December 1992 to 31 January 1993, and 17 December 1993 to 31 January 1994. Air pollution and meteorological data were obtained from local monitoring stations. Results. The difference in the proportion of all ED presentations that were due to asthma during the week of the bushfire-generated air pollution, compared with the same week 12 months before, after adjusting for baseline changes over the 12-month period, was 0.0067 (95% CI: -0.0007, 0.0141). The maximum daily nephelometry reading was not a significant predictor of the daily number of asthma presentations to ED in any of the Poisson regression models. Conclusions. The bushfire-generated particulate air pollution in January 1994 did not result ill an increase in asthma presentations to ED in western Sydney.</t>
  </si>
  <si>
    <t>S400-111</t>
  </si>
  <si>
    <t>SCOPUS_ID:84880155431</t>
  </si>
  <si>
    <t>10.2105/AJPH.2013.301429</t>
  </si>
  <si>
    <t>State politics and the creation of health insurance exchanges</t>
  </si>
  <si>
    <t>Health insurance exchanges are a key component of the Affordable Care Act. Each exchange faces the challenge of minimizing friction with existing policies, coordinating churn between programs, and maximizing take-up. State-run exchanges would likely be better positioned to address these issues than a federally run exchange, yet only one third of states chose this path. Policymakers must ensure that their exchange-whether state or federally run-succeeds. Whether this happens will greatly depend on the political dynamics in each state. © 2013 American Journal of Public Health.</t>
  </si>
  <si>
    <t>non-emperical</t>
  </si>
  <si>
    <t>S400-112</t>
  </si>
  <si>
    <t>SCOPUS_ID:0033911501</t>
  </si>
  <si>
    <t>10.1016/S0749-3797(00)00183-5</t>
  </si>
  <si>
    <t>The cost to providers of participating in an immunization registry</t>
  </si>
  <si>
    <t>Introduction: The medical and public health communities advocate immunization registries as one tool to achieve national immunization goals. Although substantial resources have been expended to establish registries across the nation, minimal research has been conducted to evaluate provider participation costs. Methods: The objective of this study was to identify the direct costs to participate in an immunization registry. To estimate labor and equipment costs, we conducted interviews and direct observation at four sites that were participating in one of two immunization registries. We calculated mean data-entry times from direct observation of clinic personnel. Results: The annual cost of participating in a registry varied extremely, ranging from $6083 to $24,246, with the annual cost per patient ranging from $0.65 to $7.74. Annual per-patient costs were lowest in the site that used an automated data-entry interface. Of the sites requiring a separate data-entry step, costs were lowest for the site participating in the registry that provided more intensive training and had a higher proportion of the target population entered into the registry. Conclusions: Ease of registry interface, data-entry times, and target population coverage affect provider participation costs. Designing the registry to accept electronic transfers of records and to avoid duplicative data-entry tasks may decrease provider costs. Copyright (C) 2000 American Journal of Preventive Medicine.</t>
  </si>
  <si>
    <t>S400-113</t>
  </si>
  <si>
    <t>SCOPUS_ID:84958244588</t>
  </si>
  <si>
    <t>10.1016/j.ypmed.2016.01.022</t>
  </si>
  <si>
    <t>Triglyceride-glucose index (TyG index) in comparison with fasting plasma glucose improved diabetes prediction in patients with normal fasting glucose: The Vascular-Metabolic CUN cohort</t>
  </si>
  <si>
    <t>['Glucose', 'Insulin resistance', 'Prevention', 'Risk factor', 'Triglycerides', 'Type 2 diabetes']</t>
  </si>
  <si>
    <t>Aims: We evaluated the potential role of the triglyceride-glucose index (TyG index) as a predictor of diabetes in a White European cohort, and compared it to fasting plasma glucose (FPG) and triglycerides. Methods: 4820 patients of the Vascular-Metabolic CUN cohort (VMCUN cohort) were examined and followed up for 8.84 years (± 4.39). We performed a Cox proportional hazard ratio with repeated-measures analyses to assess the risk of developing type 2 diabetes across quartiles of FPG, triglycerides and the TyG index (ln[fasting triglycerides (mg/dl) × fasting plasma glucose (mg/dl)/2]), and plotted a receiver operating characteristics (ROC) curve for discrimination. Results: There were 332 incident cases of type 2 diabetes involving 43,197.32 person-years of follow-up. We observed a progressively increased risk of diabetes in subjects with TyG index levels of 8.31 or more. Among those with normal fasting glucose at baseline, &lt; 100 mg/dl, subjects with the TyG index in the fourth quartile were 6.87 times more likely to develop diabetes (95% CI, 2.76-16.85; P for trend &lt; 0.001), as compared with the bottom quartile. The areas under the ROC curves (95% CI) were 0.75 (0.70-0.81) for TyG index, 0.66 (0.60-0.72) for FPG and 0.71 (0.65-0.77) for TG, in subjects with normal fasting glucose (p = 0.017). Conclusions: Our data suggest that the TyG index is useful for the early identification of individuals at risk of type 2 diabetes. The TyG index seems to be a better predictor than FPG or triglycerides of the potential development of type 2 diabetes in normoglycemic patients.</t>
  </si>
  <si>
    <t>S400-114</t>
  </si>
  <si>
    <t>SCOPUS_ID:0030829999</t>
  </si>
  <si>
    <t>10.2105/AJPH.87.9.1515</t>
  </si>
  <si>
    <t>Mortality in Chicago attributed to the July 1995 heat wave</t>
  </si>
  <si>
    <t>Objectives. This study assessed mortality associated with the mid-July 1995 heat wave in Chicago. Methods. Analyses focused on heat-related deaths, as designated by the medical examiner, and on the number of excess deaths. Results. In July 1995, there were 514 heat-related deaths and 696 excess deaths. People 65 years of age or older were overrepresented and Hispanic people underrepresented. During the most intense heat (July 14 through 20), there were 485 heat-related deaths and 739 excess deaths. Conclusions. The methods used here provide insight into the great impact of the Chicago heat wave on selected populations, but the lack of methodological standards makes comparisons across geographical areas problematic.</t>
  </si>
  <si>
    <t>S400-115</t>
  </si>
  <si>
    <t>SCOPUS_ID:0026563526</t>
  </si>
  <si>
    <t>10.1093/oxfordjournals.aje.a116270</t>
  </si>
  <si>
    <t>Cigarette smoking and the risk of anogenital cancer</t>
  </si>
  <si>
    <t>['Anus neoplasms', 'Cervix neoplasms', 'Papillomaviruses', 'Penile neoplasms', 'Smoking', 'Vaginal neoplasms', 'Vulval neoplasms']</t>
  </si>
  <si>
    <t>The association between cigarette smoking and cervical cancer has been demonstrated in numerous prior studies. As part of population-based case-control studies of cancers of the vulva, vagina, cervix, anus, and penis in relation to infection with human papillomavirus, conducted in western Washington State and the province of British Columbia from the mid 1980s until the present time, the authors have collected detailed information on smoking history. The proportion of subjects who were current smokers of cigarettes ranged from slightly over 40% among incident cases of vaginal and cervical cancer to 60% among cases of vulvar and anal cancer. In contrast, only about 25% of controls were current smokers. The adjusted odds ratios (OR) associated with current smoking were substantially elevated (OR = 1.9-14.6) for all cancer sites except cancer of the vagina (OR = 1.3). The risks tended to increase in proportion to the number of cigarettes smoked. For most cancer sites, the odds ratios associated with former smoking were substantially less than those associated with current smoking and diminished with increasing time since cessation of smoking. The authors' data and those of other investigators suggest that cigarette smoking plays a role in the etiology of anogenital cancers and that smoking has a late-stage or promotional effect. Am J Epidemiol 1992;135:180-9. © 1992 by The Johns Hopkins University School of Hygiene and Public Health.</t>
  </si>
  <si>
    <t>S400-116</t>
  </si>
  <si>
    <t>SCOPUS_ID:85086524875</t>
  </si>
  <si>
    <t>10.1093/eurpub/ckz155</t>
  </si>
  <si>
    <t>Training community health nurses to measure parent-child interaction: A mixed-methods study</t>
  </si>
  <si>
    <t>Background: This study aims to determine whether the Parental Responsiveness Rating Scale (PaRRiS) completed at child age 24-30 months can be used by community child health nurses (CCHNs) to reliably measure the quality of parent-child interactions in practice. Methods: A mixed-methods design was used involving CCHNs working in public health settings. Five CCHNs recruited from the North-East of England were trained to use PaRRiS. Thirty parent-child dyads attending their routine 24-30-month check were observed. Nurses rated parent-child dyads during 5 min of free-play using PaRRiS. The free-play sessions were video recorded and rated blind by the first author to the nurse observation. Semi-structured phone interviews were conducted with the five CCHNs once observations of parent-child interactions were complete. Interviews were audio-recorded, transcribed, anonymized and thematically analyzed. Results: Two-thirds of participating parents were mothers. Half the families (15/30) were from the 10% most deprived areas based on the English Index of Multiple Deprivation. The average PaRRiS score was 3.03 [standard deviation (SD) = 0.8; all ratings were &amp;lt;5.0]. Reliability between the first author ('gold standard') and CCHNs was excellent [Intra-class correlation coefficient (ICC): 0.85; 95% confidence interval (CI): 0.67-0.93]. CCHNs found PaRRiS aligned well with current practice and was acceptable to parents. There was no evidence of a relationship between social disadvantage and PaRRiS scores. Conclusions: With further development and evaluation work, PaRRiS could potentially be incorporated into existing universal health services to provide child health nurses with an additional tool for identifying families most likely to be in need of parent-child interaction interventions.</t>
  </si>
  <si>
    <t>S400-117</t>
  </si>
  <si>
    <t>SCOPUS_ID:84942772548</t>
  </si>
  <si>
    <t>10.1097/EDE.0000000000000301</t>
  </si>
  <si>
    <t>Obesity and Risk of Infection: Results from the Danish Blood Donor Study</t>
  </si>
  <si>
    <t>Background: It is well known that obesity complicates the course of several diseases. However, it is unknown whether obesity affects the risk of infection among healthy individuals. Methods: We included 37,808 healthy participants from the Danish Blood Donor Study, who completed a questionnaire on health-related items. Obesity was defined as a body mass index ≥ 30 kg/m2. Infections among participants were identified by relevant ICD-10 codes in the Danish National Patient Register and Anatomical Therapeutic Chemical (ATC) codes in the Danish Prescription Register. Multivariable Cox proportional hazards analysis with age as the underlying timescale was used as the statistical model. Results: During 113,717 person-years of observation, 1,233 participants were treated for infection at a hospital. Similarly, during 58,411 person-years of observation, 15,856 participants filled at least one prescription of antimicrobials. Obesity was associated with risk of hospital-based treatment for infection (women: hazard ratio [HR] = 1.5, 95% confidence interval [CI] = 1.1, 1.9; men: HR = 1.5, 95% CI = 1.2, 1.9). For specific infections, obesity was associated with increased risk of abscesses (both sexes), infections of the skin and subcutaneous tissue (men), and respiratory tract infections and cystitis (women). Similarly, obesity was associated with filled prescriptions of antimicrobials overall (women: HR = 1.22, 95% CI = 1.14, 1.30; men: HR = 1.23, 95% CI: 1.15, 1.33) and particularly with phenoxymethylpenicillin, macrolides, dicloxacillin and flucloxacillin, and broad-spectrum penicillins. Conclusions: In a large cohort of healthy individuals, obesity was associated with risk of infection. This result warrants further studies of metabolism and the immune response.</t>
  </si>
  <si>
    <t>S400-118</t>
  </si>
  <si>
    <t>SCOPUS_ID:34447123255</t>
  </si>
  <si>
    <t>10.1093/aje/kwk119</t>
  </si>
  <si>
    <t>Reproducibility and validity of the Shanghai Men's Health Study physical activity questionnaire</t>
  </si>
  <si>
    <t>['Exercise', 'Questionnaires', 'Reproducibility of results', 'Validation studies']</t>
  </si>
  <si>
    <t>Reproducibility and validity of the physical activity questionnaire (PAQ) used in the Shanghai Men's Health Study (2003-2006, People's Republic of China) was evaluated in a random sample of 196 participants aged 40-74 years. Participants completed a PAQ at baseline and again 1 year later, 12 monthly 7-day physical activity recalls, and four quarterly 1-week physical activity logs. Reproducibility was evaluated by using the two PAQs and validity by comparing the PAQs with 1-year averages of the two criterion measures: 7-day physical activity recall and physical activity log. The PAQ had moderate to high reproducibility for measuring adult exercise participation (κ = 0.60) and energy expenditure (rs = 0.68), nonexercise activities (correlation coefficients = 0.42-0.68), and total daily energy expenditure (rs = 0.68, κquartiles = 0.47). Correlations between the PAQ and criterion measures of adult exercise were 0.45 (7-day physical activity recall) and 0.51 (physical activity log) for the first PAQ and 0.62 (7-day physical activity recall) and 0.71 (physical activity log) for the second PAQ. Correlations between PAQ nonexercise activities and the physical activity log and 7-day physical activity recall were 0.31-0.86. Correlations for total energy expenditure were high (0.62-0.77). Results indicate that the Shanghai Men's Health Study PAQ has reasonable reproducibility and validity for classifying men by their level of exercise and nonexercise activities in this cohort. Copyright © 2007 by the Johns Hopkins Bloomberg School of Public Health All rights reserved.</t>
  </si>
  <si>
    <t>S400-119</t>
  </si>
  <si>
    <t>SCOPUS_ID:50849090269</t>
  </si>
  <si>
    <t>10.1016/j.amepre.2008.06.039</t>
  </si>
  <si>
    <t>We Are What We Do. Research Outputs of Public Health</t>
  </si>
  <si>
    <t>Background: If public health research does not progress beyond descriptive research to testing the effectiveness of interventions that can provide causal data, its contribution to evidence-based practice will not be realized. This paper examined the number and percentage of public health research publications over three time periods (1987-1988, 1997-1998, 2005-2006) for three preventive health issues: tobacco use, alcohol use, and inadequate physical activity. Methods: A computer-based literature search was conducted, using the Medline and PsycINFO databases. A random sample of 1000 abstracts for each preventive health issue was examined per time period. The abstracts were first categorized as public health or not, and then as data-based or non-data-based public health research. Data-based publications were classified according to research type as measurement-, descriptive/epidemiologic-, or intervention-oriented. Data analysis occurred in 2007. Results: The number of data-based public health research publications examined for each topic ranged between 180 and 346 in 1987-1988, 199 and 322 in 1997-1998, and 302 and 364 in 2005-2006. Despite a significant increase over time in the percentage of intervention publications for tobacco (from 10% in 1987-1988 to 18% in 2005-2006, p=0.008), the majority of publications in all three time periods were descriptive/epidemiologic for all topics (62%-87% in 1987-1988, 64%-85% in 1997-1998, 78%-79% in 2005-2006). There were fewer measurement (3%-7% in 1987-1988, 2%-6% in 1997-1998, 4%-10% in 2005-2006) or intervention publications (9%-31% in 1987-1988, 10%-30% in 1997-1998, 12%-18% in 2005-2006). Conclusions: Descriptive research does not provide optimal evidence for how to reduce preventable illness. Reasons for the lack of measurement and intervention public health research are explored. © 2008 American Journal of Preventive Medicine.</t>
  </si>
  <si>
    <t>S400-120</t>
  </si>
  <si>
    <t>SCOPUS_ID:78650915630</t>
  </si>
  <si>
    <t>10.1136/jech.2009.097592</t>
  </si>
  <si>
    <t>The influence of social capital on health in eight former Soviet countries: Why does it differ?</t>
  </si>
  <si>
    <t>Background Previous research has identified the role of social capital in explaining variations in health in the countries of the former Soviet Union. This study explores whether the benefits of social capital vary among these countries and why. Methods The impact of micro social capital (trust, membership and social isolation) on individual health was estimated in each of eight former Soviet republics using instrumental variables to overcome methodological hazards such as endogeneity and reverse causality. Interactions with institutional variables (voice and accountability, effectiveness of the legal system, informal economy) and social protection variables (employment protection, old age and disability benefits, sickness and health benefits) were examined. Results Most social capital indicators, in most countries, are associated with better health but the magnitude and significance of the impact differ between countries. Some of this variation can be explained by interacting social capital indicators with measures of institutional quality, with membership of organisations bringing greater benefit for health in countries where civil liberties are stronger, whereas social isolation has more adverse consequences where there is a large informal economy. A lesser amount is explained by the interaction of social capital indicators with selected measures of social protection. Conclusion When considering interventions to improve social capital as a means of improving population health, it seems advisable to take into account the influence of macrocontextual variables, in order not to overstate or understate the likely impact of the intervention.</t>
  </si>
  <si>
    <t>S400-121</t>
  </si>
  <si>
    <t>SCOPUS_ID:85066855164</t>
  </si>
  <si>
    <t>10.1093/eurpub/cky240</t>
  </si>
  <si>
    <t>Gender differences in common mental disorders: A comparison of social risk factors across four European welfare regimes</t>
  </si>
  <si>
    <t>Background: Decreasing gender differences in mental health are found largely in countries in which the roles of men and women have improved in terms of opportunities for employment, education, child care and other indicators of increasing gender equality. In this study, we examine how European welfare regimes influence this association between mental health and the social roles that men and women occupy. Methods: The EU-World Mental Health data are used, which covers the general population in 10 European countries (n = 37 289); Countries were grouped into four welfare regions: Liberal regime (Northern Ireland), Bismarckian regime (Belgium, Germany, the Netherlands and France), Southern regime (Spain, Italy, Portugal) and Central-Eastern regime (Romania and Bulgaria). The lifetime prevalence of mood, anxiety and alcohol disorders was determined by using the Composite International Diagnostic Interview 3.0. Overall prevalence rates along with odds ratios by means of bivariate logistic regression models are calculated to compare the presence of common mental disorders in women versus men per welfare regime. Results: Overall prevalence of common mental disorders is highest in the Liberal regime and lowest in the Central/ Eastern regime. The gender gap in mental disorders is largest in the Southern regime and smallest in the Liberal regime. Marital status and certain employment positions help to explain variation in mental disorders across and within welfare regimes. Conclusion: Most prominent pathways linking gender to mental ill-health being are related to marital status and certain employment positions. However, these pathways also show substantial variation across welfare regimes.</t>
  </si>
  <si>
    <t>S400-122</t>
  </si>
  <si>
    <t>SCOPUS_ID:12344250773</t>
  </si>
  <si>
    <t>10.1093/ije/dyh215</t>
  </si>
  <si>
    <t>Household water source and the risk of childhood brain tumours: Results of the SEARCH International Brain Tumor Study</t>
  </si>
  <si>
    <t>['Childhood brain tumours', 'Drinking water', 'Environmental exposures', 'Nitrates', 'Nitrites']</t>
  </si>
  <si>
    <t>Background. The period in utero is a time of increased vulnerability. Offspring of pregnant women exposed to carcinogenic substances in drinking water may be more likely to develop cancer. We examined whether household water source and the presence of nitrates or nitrites in residential water were associated with increased risks of childhood brain tumours (CBT). Methods. We used data from a multicentre, case-control study with maternal information on residential water source, and nitrate/nitrite levels of tap water measured by dipstick. Subjects included 836 CBT cases and 1485 controls from five countries. Results. The risks of CBT associated with reliance on well water (versus public water) during pregnancy varied widely, with significantly increased risks noted in two (of seven) regions and a decreased risk observed in one region. CBT risk did not increase with increasing nitrate levels. However, our results based on tap water tested in the pregnancy residences suggest the risk of astrocytoma may be associated with increasing levels of nitrite (odds ratio [OR] = 4.3, 95% CI: 1.4, 12.6 for nitrite levels of 1-&lt;5 mg/l nitrite ion; OR = 5.7, 95% CI: 1.2, 27.2 of nitrite ≥5 mg/l). Conclusions. These results should be interpreted with caution because women's recollection of water sources may have contained inaccuracies, and nitrate and nitrite measurements, available for only a portion of subjects, were often obtained years after the pregnancies occurred. However, our results suggest a need for closer evaluation of well water content in some regions and the possibility that a nitrite-related water exposure may be associated with CBT. © International Epidemiological Association 2004; all rights reserved.</t>
  </si>
  <si>
    <t>closer observation only?</t>
  </si>
  <si>
    <t>S400-123</t>
  </si>
  <si>
    <t>SCOPUS_ID:85068683010</t>
  </si>
  <si>
    <t>10.2105/AJPH.2019.305150</t>
  </si>
  <si>
    <t>Potential impact of 2020 US decennial census data collection on disaster preparedness and population mental health</t>
  </si>
  <si>
    <t>Increasing in frequency and impact in the United States and worldwide, disasters can lead to serious mental health consequences. Although US census data are essential for disaster preparedness and the identification of community-level risk factors for adverse postdisaster mental health outcomes, the US Census Bureau faces many challenges as we approach 2020 Decennial Census data collection. Despite the utility of the information provided by the Census and American Community Survey (ACS), the 2020 US Census and subsequent ACS data face threats to validity. As a result, public health funding could be misallocated, and disaster preparedness and response efforts misinformed; this can also contribute to the worsening of mental health inequities, particularly in the context of disaster. Undercutting the Census and the ACS, rich data sources that allow representation of all people in the United States, is a step backward in our effort to mitigate the population mental health consequences of disasters.</t>
  </si>
  <si>
    <t>S400-124</t>
  </si>
  <si>
    <t>SCOPUS_ID:85107081723</t>
  </si>
  <si>
    <t>10.1093/ije/dyaa220</t>
  </si>
  <si>
    <t>Categories and health impacts of intimate partner violence in the World Health Organization multi-country study on women’s health and domestic violence</t>
  </si>
  <si>
    <t>['combined abuse/ violence', 'emotional abuse/ violence', 'health', 'Intimate partner violence (IPV)', 'measurement', 'physical abuse/ violence', 'psychological abuse/ violence', 'sexual abuse/ violence']</t>
  </si>
  <si>
    <t>Background: Intimate partner violence (IPV) damages health and is costly to families and society. Individuals experience different forms and combinations of IPV; better understanding of the respective health effects of these can help develop differentiated responses. This study explores the associations of different categories of IPV on women’s mental and physical health. Methods: Using data from the World Health Organization (WHO) Multi-Country Study on Women’s Health and Domestic Violence, multilevel mixed effects logistic regression modelling was used to analyse associations between categories of abuse (physical IPV alone, psychological IPV alone, sexual IPV alone, combined physical and psychological IPV, and combined sexual with psychological and/or physical IPV) with measures of physical and mental health, including self-reported symptoms, suicidal thoughts and attempts, and nights in hospital. Results: Countries varied in prevalence of different categories of IPV. All categories of IPV were associated with poorer health outcomes; the two combined abuse categories were the most damaging. The most common category was combined abuse involving sexual IPV, which was associated with the poorest health [attempted suicide: odds ratio (OR): 10.78, 95% confidence interval (CI) 8.37-13.89, thoughts of suicide: 8.47, 7.03-10.02, memory loss: 2.93, 2.41-3.56]. Combined psychological and physical IPV was associated with the next poorest outcomes (attempted suicide: 5.67, 4.23-7.60, thoughts of suicide: 4.41, 3.63-5.37, memory loss: 2.33, 1.88-2.87-). Conclusions: Understanding the prevalence and health impact of different forms and categories of IPV is crucial to risk assessment, tailoring responses to individuals and planning services. Previous analyses that focused on singular forms of IPV likely underestimated the more harmful impacts of combined forms of abuse.</t>
  </si>
  <si>
    <t>S400-125</t>
  </si>
  <si>
    <t>SCOPUS_ID:84884940749</t>
  </si>
  <si>
    <t>10.1093/aje/kwt093</t>
  </si>
  <si>
    <t>Increased asthma risk and asthma-related health care complications associated with childhood obesity</t>
  </si>
  <si>
    <t>['asthma', 'body mass index', 'cohort studies', 'obesity', 'overweight', 'severe asthma']</t>
  </si>
  <si>
    <t>Asthma is the most common chronic condition of childhood, yet the relationship between obesity and asthma risk and the impact of obesity on clinical asthma outcomes are not well understood. For this population-based, longitudinal study, demographic and clinical data were extracted from administrative and electronic health records of 623,358 patients aged 6-19 years who were enrolled in the Kaiser Permanente Southern California health plan in 2007-2011. Crude asthma incidence ranged from 16.9 per 1,000 person-years among normal-weight youth to 22.3 per 1,000 person-years among extremely obese youth. The adjusted risks of asthma for overweight, moderately obese, and extremely obese youth relative to those of normal weight youth were 1.16 (95% confidence interval: 1.13, 1.20), 1.23 (95% confidence interval: 1.19, 1.28), and 1.37 (95% confidence interval: 1.32, 1.42), respectively (Ptrend &lt; 0.0001). The relationship between obesity and asthma risk was strongest in Asian/Pacific Islanders and in the youngest girls (aged 6-10 years), compared with other groups. Among youth who developed asthma, those who were moderately or extremely obese had more frequent asthma exacerbations requiring emergency department services and/or treatment with oral corticosteroids. In conclusion, obese youth are not only more likely to develop asthma, but they may be more likely to have severe asthma, resulting in a greater need for health care utilization and aggressive asthma treatment. © 2013 © The Author 2013. Published by Oxford University Press on behalf of the Johns Hopkins Bloomberg School of Public Health. All rights reserved. For permissions, please e-mail: journals.permissions@oup.com.</t>
  </si>
  <si>
    <t>S400-126</t>
  </si>
  <si>
    <t>SCOPUS_ID:7244228050</t>
  </si>
  <si>
    <t>10.1007/s10654-004-5760-z</t>
  </si>
  <si>
    <t>Serum carotenoids and vitamins in relation to markers of endothelial</t>
  </si>
  <si>
    <t>['Carotenoids', 'Endothelial function', 'Humans', 'Inflammation', 'Vitamins']</t>
  </si>
  <si>
    <t>Background: Endothelial cell dysfunction may be related to an increase in cellular oxidative stress. Carotenoids and vitamins could have an antioxidant-mediated tempering influence on endothelial function and inflammation, thereby reducing the risk of atherosclerosis. Methods: We measured serum carotenoids, α-tocopherol and Vitamin C concentrations in 379 subjects sampled from the general population. High-sensitive C-reactive protein (CRP), fibrinogen (Fbg) and leukocytes were measured as markers of inflammation. Furthermore, soluble intercellular adhesion molecule-1 (sICAM-1) and flow-mediated vasodilation (FMD; n=165) were measured as markers of endothelial function. Relationships between serum carotenoids and vitamins and markers of endothelial function and inflammation were analysed after adjustment for confounding. Results: In the total study group, lutein and lycopene were inversely related to sICAM-1 with regression-coefficients of -0.38 ± 0.19 (p=0.04) and -0.16 ± 0.08 (p=0.04) per 1 μmol/l, respectively. β-Carotene was inverse related to leukocytes (-0.23 ± 0.07; p=0.007) and CRP (-1.09 ± 0.30; p=0.0003) per 1 μmol/l. Vitamin C was inverse related to CRP (-0.01 ± 0.005; p=0.04) per 1 μmol/l, whereas α-tocopherol was positively related to CRP (0.03 ± 0.01; p=0.02) per 1 μ/l. Zeaxanthin was inversely related to FMD (31.2 ± 15.3; p=0.04) per 1 μmol/l. Conclusion: The inverse relations between carotenoids, Vitamin C and sICAM-1, CRP and leukocytes may help to explain the possible protective effect of carotenoids and Vitamin C on atherosclerosis through an influence on inflammatory processes and endothelial function.</t>
  </si>
  <si>
    <t>S400-127</t>
  </si>
  <si>
    <t>SCOPUS_ID:27144491868</t>
  </si>
  <si>
    <t>10.1093/ije/dyi069</t>
  </si>
  <si>
    <t>Covariance components models for longitudinal family data</t>
  </si>
  <si>
    <t>['Bayesian', 'Family studies', 'Genetic epidemiology', 'Gibbs sampling', 'Longitudinal', 'MCMC']</t>
  </si>
  <si>
    <t>A longitudinal family study is an epidemiological design that involves repeated measurements over time in a sample that includes families. Such studies, that may also include relative pairs and unrelated individuals, allow closer investigation of not only the factors that cause a disease to arise, but also the genetic and environmental determinants that modulate the subsequent progression of that disease. Knowledge of such determinants may pay high dividends in terms of prognostic assessment and in the development of new treatments that may be tailored to the prognostic profile of individual patients. Unfortunately longitudinal family studies are difficult to analyse. They conflate the complex within-family correlation structure of a cross-sectional family study with the correlation over time that is intrinsic to longitudinal repeated measures. Here we describe an approach to analysis that is relatively straightforward to implement, yet is flexible in its application. It represents a natural extension of a Gibbs-sampling-based approach to the analysis of cross-sectional family studies that we have described previously. The approach can be applied to pedigrees of arbitrary complexity. It is applicable to continuous traits, repeated binary disease states, and repeated counts or rates with a Poisson distribution. It not only supports the analysis of observed determinants, including measured genotypes, but also allows decomposition of the correlation structure, thereby permitting conclusions to be drawn about the effect of unobserved genes and environment on key features of disease progression, and hence to estimate the heritability of these features. We demonstrate the efficacy of our methods using a range of simulated data analyses, and illustrate its practical application to longitudinal blood pressure data measured in families from the Framingham Heart Study. © The Author 2005; all rights reserved.</t>
  </si>
  <si>
    <t>S400-128</t>
  </si>
  <si>
    <t>SCOPUS_ID:85092529671</t>
  </si>
  <si>
    <t>10.2105/AJPH.2020.305827</t>
  </si>
  <si>
    <t>HPV vaccine searches on pinterest: Before and after pinterest's actions to moderate content</t>
  </si>
  <si>
    <t>Objectives. To compare how human papillomavirus (HPV) vaccination was portrayed on Pinterest before and after the platform acted to moderate vaccine-related search results to understand (1) what the information environment looked like previously and (2) whether Pinterest's policy decisions improved this environment in terms of sources and content. Methods. In this quantitative content analysis, we compared 2 samples of 500 HPV vaccine-focused Pinterest posts (“pins”) collected before and after Pinterest's actions to provide more reliable vaccine-related information. Pins were based on search results and were analyzed using the Health Belief Model. Results. The majority of preaction search results leaned toward vaccine skepticism, specifically focused on perceived vaccine barriers. Few pins were published by public health-related Pinterest accounts. Postaction search results showed a significant shift to HPV vaccination benefits, and the number of pins by government or medical accounts increased. However, the proportion of pins in search results containing HPV content of any type was significantly lower. Conclusions. Pinterest's efforts to moderate vaccination discussions were largely successful. However, the ban also appeared to limit HPV vaccination search results overall, which may contribute to confusion or an information vacuum.</t>
  </si>
  <si>
    <t>S400-129</t>
  </si>
  <si>
    <t>SCOPUS_ID:0027338509</t>
  </si>
  <si>
    <t>10.1093/ije/22.5.917</t>
  </si>
  <si>
    <t>A community-based randomized trial of home-made oral rehydration therapies</t>
  </si>
  <si>
    <t>A field trial of the relative efficacy of three oral rehydration therapies (ORT) in the treatment of acute childhood diarrhoea in children &lt;5 years old was carried out in a rural Ethiopian district. The three ORT were 1 pre-packaged glucose and salt solution (GORS; n = 153), 2) home-made cereal added to pre-packaged salt solution (CBORS; n = 154), and 3) entirely home-made cereal-based and salt therapy (CBORT; n = 156). Out of 127 eligible peasant associations, 18 were randomly selected, and groups of six were then randomly assigned to receive one of the three treatment options. In infants aged 0-12 months, after adjusting for baseline weight and diarrhoea frequency, CBORT was found to be superior (P &lt; 0.01) to GORS and CBORS in terms of weight gain at 24, 48, and 96 hours. There were no significant between-group differences in weight gain in children &gt;12 months old. Over the 96-hour duration of follow-up, mothers' compliance was significantly better among those giving CBORT when compared to CBORS (P &lt; 0.001) or GORS (P &lt; 0.013). The results of this field trial indicate that CBORT is an efficacious alternative to GORS or CBORS in the treatment of acute childhood diarrhoea in rural community settings. Larger scale, effectiveness studies are recommended. © 1993, International Epidemiological Association.</t>
  </si>
  <si>
    <t>S400-130</t>
  </si>
  <si>
    <t>SCOPUS_ID:84900298398</t>
  </si>
  <si>
    <t>10.1093/aje/kwu029</t>
  </si>
  <si>
    <t>Age, period, and cohort effects in psychological distress in the United States and Canada</t>
  </si>
  <si>
    <t>['age-period-cohort effects', 'anxiety', 'Canada', 'Canadian Community Health Surveys', 'depression', 'National Health Interview Surveys', 'psychological distress', 'United States']</t>
  </si>
  <si>
    <t>Although treatment utilization for depression and anxiety symptoms has increased substantially in the United States and elsewhere, it remains unclear whether the underlying population distribution of psychological distress is changing over time. We estimated age, period, and cohort effects using data from 2 countries over more than 20 years, including National Health Interview Surveys from 1997 to 2010 (n = 447,058) and Canadian Community Health Surveys from 2000 to 2007 (n = 125,306). Psychological distress was measured with the Kessler Psychological Distress Scale. By period, both countries showed the highest levels of psychological distress in 2001 and the lowest levels in 2007. By age, psychological distress was highest in adolescence and during the late 40s and early 50s. By cohort, Canadian Community Health Survey results indicated a decreasing cohort effect among those born in 1922-1925 through 1935-1939 (β = -0.36, 95% confidence interval: -0.45, -0.27) and then a continuously increasing cohort effect during the remainder of the 20th century through 1989-1992 (β = 0.49, 95% confidence interval: 0.38, 0.61). The National Health Interview Survey data captured earlier-born cohorts and indicated an increased cohort effect for the earliest born (for 1912-1914, β = 0.44, 95% confidence interval: 0.26, 0.61). In sum, individuals in the oldest and more recently born birth cohorts have higher mean psychological distress symptoms compared with those born in midcentury, underscoring the importance of a broad, population-level lens for conceptualizing mental health. © 2014 The Author 2014. Published by Oxford University Press on behalf of the Johns Hopkins Bloomberg School of Public Health. All rights reserved.</t>
  </si>
  <si>
    <t>S400-131</t>
  </si>
  <si>
    <t>SCOPUS_ID:0034804759</t>
  </si>
  <si>
    <t>10.1093/eurpub/11.3.257</t>
  </si>
  <si>
    <t>Aids and contraception: Unanticipated effects of AIDS prevention campaigns</t>
  </si>
  <si>
    <t>['AIDS', 'Contraception', 'Prevention campaigns']</t>
  </si>
  <si>
    <t>Background: This study addresses the effects of AIDS prevention campaigns on contraceptive practices among the general population in France. Comparisons of contraceptive practices and condom use by women aged 18-49 years were performed in two national population-based surveys (n=559 in 1994, n=731 in 1998). Results: A decrease in the proportion of women aged 20-24 with multiple partners reporting the use of contraception was observed between 1994 and 1998. In the same time, there was an increase in the use of condoms to prevent AIDS. Conclusion: Findings suggest that single-risk prevention campaigns on AIDS may lead some women to pay less attention to the risk of unwanted pregnancy.</t>
  </si>
  <si>
    <t>S400-132</t>
  </si>
  <si>
    <t>SCOPUS_ID:42049099245</t>
  </si>
  <si>
    <t>10.1093/aje/kwm394</t>
  </si>
  <si>
    <t>Associations of the local food environment with diet quality - A comparison of assessments based on surveys and geographic information systems</t>
  </si>
  <si>
    <t>['Diet', 'Food', 'Residence characteristics', 'Social class']</t>
  </si>
  <si>
    <t>There is growing interest in understanding how food environments affect diet, but characterizing the food environment is challenging. The authors investigated the relation between global diet measures (an empirically derived "fats and processed meats" (FPM) dietary pattern and the Alternate Healthy Eating Index (AHEI)) and three complementary measures of the local food environment: 1) supermarket density, 2) participant-reported assessments, and 3) aggregated survey responses of independent informants. Data were derived from the baseline examination (2000-2002) of the Multi-Ethnic Study of Atherosclerosis, a US study of adults aged 45-84 years. A healthy diet was defined as scoring in the top or bottom quintile of AHEI or FPM, respectively. The probability of having a healthy diet was modeled by each environment measure using binomial regression. Participants with no supermarkets near their homes were 25-46% less likely to have a healthy diet than those with the most stores, after adjustment for age, sex, race/ethnicity, and socioeconomic indicators: The relative probability of a healthy diet for the lowest store density category versus the highest was 0.75 (95% confidence interval: 0.59, 0.95) for the AHEI and 0.54 (95% confidence interval: 0.42, 0.70) for FPM. Similarly, participants living in areas with the worst-ranked food environments (by participants or informants) were 22-35% less likely to have a healthy diet than those in the best-ranked food environments. Efforts to improve diet may benefit from combining individual and environmental approaches. © The Author 2008. Published by the Johns Hopkins Bloomberg School of Public Health. All rights reserved.</t>
  </si>
  <si>
    <t>S400-133</t>
  </si>
  <si>
    <t>SCOPUS_ID:84905645636</t>
  </si>
  <si>
    <t>10.1093/ije/dyu091</t>
  </si>
  <si>
    <t>Weight status in young adulthood and survival after cardiovascular diseases and cancer</t>
  </si>
  <si>
    <t>['Cancer', 'Cardiovascular diseases', 'Fatality', 'Mortality', 'Overweight']</t>
  </si>
  <si>
    <r>
      <t xml:space="preserve">Background: Some studies have suggested that overweight is associated with lower mortality, but these results may be affected by reverse causality. We analysed how body mass index (BMI) in young adulthood is associated with mortality in the general population and after the diagnoses of coronary heart disease (CHD), stroke and cancer. Methods: BMI was measured at an average age of 18 years in 734 438 Swedish men born in 1950-65. Diagnoses of CHD, stroke and cancer as well as all-cause mortality were derived from registers covering the whole population, up to 31 December 2010. The follow-up of 24.56 million person-years included 33 067 cases of mortality and 19 843 CHD, 13 578 stroke and 27 365 cancer diagnoses. Hazard ratios (HR) [with 95% confidence intervals (CI)] were estimated by the Cox proportional hazards model. Results: Higher mortality in the whole cohort (HR=1.26, 1.21-1.32) as well as after the diagnosis of CHD (HR=1.33, 1.09-1.63) or cancer (HR=1.13, 1.01-1.25) was found in moderately overweight men (BMI 25.0-27.4 kg/m2) as compared with normal weight men (BMI 20.1-22.4 kg/m2); for stroke patients the result for the same BMI categories was not statistically significant (HR=1.17, 0.94-1.45). Mortality increased with increasing weight status and was highest in obese men (BMI&gt;30 kg/m2): HR=2.17 (2.02-2.34) for the whole cohort, 2.35 (1.81-3.05) after the diagnosis of CHD, 2.08 (1.56-2.77) after stroke and 1.68 (1.40-2.01) after cancer. Conclusions: Even moderate overweight in young adulthood increases all-cause mortality and mortality after the diagnosis of CHD, stroke and cancer in men. </t>
    </r>
    <r>
      <rPr>
        <sz val="11"/>
        <color rgb="FFFF0000"/>
        <rFont val="Calibri (Body)"/>
      </rPr>
      <t>Preventing overweight in young adulthood remains as an important public health issue</t>
    </r>
    <r>
      <rPr>
        <sz val="11"/>
        <color theme="1"/>
        <rFont val="Calibri"/>
        <family val="2"/>
        <scheme val="minor"/>
      </rPr>
      <t>. © The Author 2014; Published by Oxford University Press on behalf of the International Epidemiological Association all rights reserved.</t>
    </r>
  </si>
  <si>
    <t>I was not sure for this one, they mainly say important public health issue?</t>
  </si>
  <si>
    <t>I agree, let's put TRUE</t>
  </si>
  <si>
    <t>S400-134</t>
  </si>
  <si>
    <t>SCOPUS_ID:23844439274</t>
  </si>
  <si>
    <t>10.1136/jech.2004.031674</t>
  </si>
  <si>
    <t>Oil combustion and childhood cancers</t>
  </si>
  <si>
    <t>Study objectives: To identify specific toxic atmospheric emissions and their industrial sources in Great Britain. To link them with each other and with the birth addresses of children dying from cancer. To identify specific causal agents and sources. Design: Birth and death addresses of children dying from cancer were linked to emissions hotspots for specific chemicals: and to related source installations. Among those who moved house, distances from each address to the nearest hazard were compared. Relative excesses of close-to-hazard birth addresses showed high prenatal or early postnatal risks. Relative risks for individual and for combined exposures were measured. Setting and subjects: Atmospheric emissions hotspots (UK, 2001) published as maps on the internet, were converted to coordinates. Industrial sites were identified through trade directories and map inspections. Child cancer addresses for 1955-80 births were extracted from an earlier inquiry and their postcodes converted to map references. Main results: There were excess relative risks (RR) within 0.3 km of hotspots for carbon monoxide, PM10 particles, nitrogen oxides, 1,3-butadiene, benzene, dioxins, benzo(a)pyrene, and volatiles; and within 1.0 km of bus stations, hospitals, heavy transport centres, railways, and oil installations. Some excesses were attributable to mutual confounding, but 1,3-butadiene and carbon monoxide, mainly derived from engine exhausts, were powerful independent predictors. They were strongly reinforced when associated with bus stations, hospitals, railways, oil installations, and industrial transport centres; RR= 12.6 for joint &lt;0.5 km exposure to bus stations and 1,3-butadiene. Conclusions: Childhood cancers are strongly determined by prenatal or early postnatal exposures to oil based combustion gases, especially from engine exhausts. 1,3-butadiene, a known carcinogen, may be directly causal.</t>
  </si>
  <si>
    <t>S400-135</t>
  </si>
  <si>
    <t>SCOPUS_ID:0028596030</t>
  </si>
  <si>
    <t>10.1093/ije/23.6.1262</t>
  </si>
  <si>
    <t>Pattern of drug use in a general population—prevalence and predicting factors: The tromsø study</t>
  </si>
  <si>
    <t>Eggen A E (Institute of Community Medicine, University of Tromsø, N-9037 Tromsø, Norway). Pattern of drug use in a general population—prevalence and predicting factors: The Tromsø study. International Journal of Epidemiology 1994; 23: 1262-1272. Background. The alms of this study were to examine the prevalence of drug use, and how morbidity, use of health services, self-evaluated health, demographic pattern and lifestyle characteristics influence drug use in a general population. Methods. The study was carried out in the municipality of Tromsø, Norway. A sample of those aged 12-61 years was Invited to the health survey, and 21 647 (75%) participated. Results. The proportion of drug users increased with age in both sexes (P &lt; 0.0001); from 25% to 52% of women and from 18% to 38% of men. Drug use depended mainly on chronic diseases (odds ratio [OR] = 2.5 [women], OR = 3.5 [men]) and physical distress, especially symptoms of pain (OR = 2.3 [women], OR = 2.2 [men]). Number of visits to the doctor (OR = 2.4 [women], OR = 3.2 [men]) and attitude to own health (OR = 1.9 [women], OR = 1.7 [men]) were also significant predictors for drug use. Mental distress, lifestyle and demographic factors were of marginal importance (OR &lt;1.3). Chronic diseases and visits to the doctor were the only predictors showing significant gender difference. Conclusions. Drug use Increased with age and was twice as common in women as in men (OR = 2.0). After adjustment for differences in morbidity, visits to the doctor, and other factors the gender difference was significantly reduced (OR = 1.4). Higher drug use in women was attributed to women’s higher level of physical distress (especially headache), higher numbers of visits to the doctor, and a higher proportion of reported chronic diseases (especially eczema, migraine) and depression compared with men. © 1994 International Epidemiological Association.</t>
  </si>
  <si>
    <t>S400-136</t>
  </si>
  <si>
    <t>SCOPUS_ID:0000517489</t>
  </si>
  <si>
    <t>10.1093/eurpub/5.3.215</t>
  </si>
  <si>
    <t>Dilemmas in sickness certification among Swedish physicians</t>
  </si>
  <si>
    <t>['Critical incident technique', 'Physicians', 'Sickness certification', 'Sickness insurance system']</t>
  </si>
  <si>
    <t>Despite a growing concern for matters related to sick-leave and its economical and human consequences, little Is still known of the practice of sickness certification. To remedy this, a study based on the critical incident technique was designed to explore dilemmas experienced by physicians when issuing sickness certificates. A questionnaire was distributed to 170 general practitioners (GPs), private physicians and psychiatrists in the Swedish county of Ostergotland asking about sickness certification dilemmas, the consequences of the dilemma and how the situation was resolved. Through a semi-qualitative analysis, 2 main types of dilemma were identified. Insurance-associated dilemmas were the most frequent and concerned the grading of work incapacity, the duration of a sick-leave period and the difficulties in interpreting the sickness insurance legislation. The focus on biomedical diagnosis in the sickness certificate was found to complicate the certification routines, since working capacity may be reduced even though a diagnosis has not been confirmed. The primary medical dilemmas consisted of difficulties related to encountered obstacles In the clinical management, e.g. in subjective medical history, diagnosis or patient compliance. It is concluded that the physicians' role in the insurance system makes it necessary to give the medical diagnosis a social interpretation. The development of standards for grading of work incapacity is needed as well as routines for closer cooperation between the different actors in the sickness insurance system. © 1995 European Journal of Public Health.</t>
  </si>
  <si>
    <t>S400-137</t>
  </si>
  <si>
    <t>SCOPUS_ID:84941347345</t>
  </si>
  <si>
    <t>10.2105/AJPH.2015.302751</t>
  </si>
  <si>
    <t>Public support for family smoking prevention and tobacco control act point-of-sale provisions: Results of a national study</t>
  </si>
  <si>
    <t>Objectives. We assessed public and smoker support for enacted and potential point-of-sale (POS) tobacco-control policies under the Family Smoking Prevention and Tobacco Control Act. Methods. We surveyed a US nationally representative sample of 17 507 respondents (6595 smokers) in January through February 2013, and used linear regression to calculate weighted point estimates and identify factors associated with support for POS policies among adults and smokers. Results. Overall, nonsmokers were more supportive than were smokers. Regardless of smoking status, African Americans, Hispanics, women, and those of older ages were more supportive than White, male, and younger respondents, respectively. Policy support varied by provision. More than 80% of respondents supported minors' access restrictions andmore than 45% supported graphic warnings. Support was lowest for plain packaging (23%), black-and-white advertising (26%), and a ban on menthol cigarettes (36%). Conclusions. Public support for marketing and POS provisions is low relative to other areas of tobacco control. Tobacco-control advocates and the Food and Drug Administration should build on existing levels of public support to promote and maintain evidence-based, but controversial, policy changes in the retail environment.</t>
  </si>
  <si>
    <t>S400-138</t>
  </si>
  <si>
    <t>SCOPUS_ID:78650896445</t>
  </si>
  <si>
    <t>10.2105/AJPH.2009.184895</t>
  </si>
  <si>
    <t>Health care capacity and allocations among South Africa's provinces: Infrastructure-inequality traps after the end of apartheid</t>
  </si>
  <si>
    <t>Objectives: We assessed the determinants of health care funding allocations among South Africa's provinces and their effects on health care from 1996 through 2007. Methods: We performed multivariate regression of funding allocation data against measures of disease burden and health system infrastructure by province. Results. Disease burden was increasingly negatively correlated with funding allocations and explained less than one quarter of the variation in allocations among provinces. Nearly three quarters of the variation in allocations was explained by preexisting hospital infrastructure and health care workers. The density of private hospitals in the preceding year was associated with greater government allocations (bprivate=0.12; 95% confidence interval [CI]=0.08, 0.15), but public hospital density in the preceding year was not (bpublic=0.05; 95% CI=- 0.02, 0.11). Greater allocations were associated with a higher number of doctors (b=0.54; 95% CI=0.34, 0.75) but fewer nurses (b=-0.37; 95% CI=-0.72,-0.25) in the same year. Conclusions. Regions with a greater capacity to spend funds received more funding and created more infrastructure than those with greater health needs. Historical infrastructure inequalities may have created an infrastructure- inequality trap, in which the distribution of funds to those with greater "absorptive capacity" exacerbates inequalities.</t>
  </si>
  <si>
    <t>S400-139</t>
  </si>
  <si>
    <t>SCOPUS_ID:84939491186</t>
  </si>
  <si>
    <t>10.1093/eurpub/cku158</t>
  </si>
  <si>
    <t>Information preferences of the general population when faced with life-limiting illness</t>
  </si>
  <si>
    <t>Background: Giving the public and the patients good information enables them to make effective choices about their care. This study describes public preferences for both themselves and their relatives on receiving information on end-of-life care topics when faced with a life-limiting illness and to identify associated factors. Method: This study used data from the cross-sectional Health Interview Study (HIS) 2008 that collected data from a representative sample (N = 9651) of the Belgian population. Results: Around 82% of respondents wanted to be informed always about diagnosis, chances of cure and available treatments, 77% wanted to be informed on life expectancy, 72% on options regarding palliative care and 67% on possibilities of prolonging or shortening life. Around 55% wanted their relative to be informed always about diagnosis, chances of cure, life expectancy and different treatments available, whereas 50% wanted this in relation to the options regarding palliative care and 46% on the possibilities of prolonging or shortening life. Younger adults, people with more education and people with a regular GP were more likely to want to be informed always. Younger adults and women were less likely to want their relatives to be informed always. Conclusion: The majority of the Belgian population wants to be informed always about end-of-life care topics when faced with a life-limiting illness. Physicians should be aware of the desired level of information and tailor information to individual patient preferences. Understanding population preferences may help to tailor patient education and health promotion programmes appropriately.</t>
  </si>
  <si>
    <t>S400-140</t>
  </si>
  <si>
    <t>SCOPUS_ID:84957435170</t>
  </si>
  <si>
    <t>10.1097/EDE.0000000000000417</t>
  </si>
  <si>
    <t>Amyotrophic lateral sclerosis and the military: A population-based study in the danish registries</t>
  </si>
  <si>
    <t>Background: Prior studies have suggested that military service may be associated with the development of amyotrophic lateral sclerosis (ALS). We conducted a population-based case-control study in Denmark to assess whether occupation in the Danish military is associated with an increased risk of developing ALS. Methods: There were 3,650 incident cases of ALS recorded in the Danish National Patient Registry between 1982 and 2009. Each case was matched to 100 age- and sex-matched population controls alive and free of ALS on the date of the case diagnosis. Comprehensive occupational history was obtained from the Danish Pension Fund database, which began in 1964. Results: 2.4% (n = 8,922) of controls had a history of employment in the military before the index date. Military employees overall had an elevated rate of ALS (odds ratio [OR] = 1.3; 95% confidence interval [CI]: 1.1, 1.6). A 10-year increase in years employed by the military was associated with an OR of 1.2 (95% CI: 1.0, 1.4), and all quartiles of time employed were elevated. There was little suggestion of a pattern across calendar year of first employment, but there was some evidence that increasing age at first employment was associated with increased ALS rates. Rates were highest in the decade immediately following the end of employment (OR = 1.6; 95% CI: 1.2, 2.2). Conclusions: In this large population-based case-control study, employment by the military is associated with increased rates of ALS. These findings are consistent with earlier findings that military service or employment may entail exposure to risk factors for ALS.</t>
  </si>
  <si>
    <t>S400-141</t>
  </si>
  <si>
    <t>SCOPUS_ID:68849109738</t>
  </si>
  <si>
    <t>10.2105/AJPH.2007.127886</t>
  </si>
  <si>
    <t>Changes in cigarette use and nicotine dependence in the United States: Evidence from the 2001-2002 wave of the national epidemiologic survey of alcoholism and related conditions</t>
  </si>
  <si>
    <t>Objectives. We examined the roles of gender and poverty in cigarette use and nicotine dependence among adults in the United States. Methods. Our data were drawn from the 2001-2002 National Epidemiological Survey of Alcoholism and Related Conditions, a nationally representative sample of US adults 18 years and older. Results. The overall rate of cigarette use declined between 1964 and 2002. Nicotine dependence does not appear to have declined overall, and there is evidence that nicotine dependence has increased among women in recent cohorts. The odds of nicotine dependence among cigarette users appear to have increased significantly in recent cohorts. Conclusions. Despite recent declines in cigarette use, the prevalence of nicotine dependence has increased among some groups and has remained steady overall, which may be hampering public health initiatives to reduce cigarette use. Efforts to study or curb cigarette use should therefore take nicotine dependence into account.</t>
  </si>
  <si>
    <t>S400-142</t>
  </si>
  <si>
    <t>SCOPUS_ID:0346725916</t>
  </si>
  <si>
    <t>10.1136/jech.58.1.71</t>
  </si>
  <si>
    <t>Neighbourhood deprivation and incidence of coronary heart disease: A multilevel study of 2.6 million women and men in Sweden</t>
  </si>
  <si>
    <t>Study objective: To examine whether neighbourhood deprivation predicts incidence rates of coronary heart disease, beyond age and individual income. Design: Follow up study from 31 December 1995 to 31 December 1999. Women and men were analysed separately with respect to incidence rates of coronary heart disease. Multilevel logistic regression was used in the analysis with individual level characteristics (age, individual income) at the first level and level of neighbourhood deprivation at the second level. Neighbourhood deprivation was measured at small area market statistics level by the use of Care Need Index. Setting: Sweden. Participants: All women and men aged 40-64 in the Swedish popu ation, in total 2.6 million people. Main results: There was a strong relation between level of neighbourhood deprivation and incidence rates of coronary heart disease for both women and men. In the full model, which took account of individual income, the risk of developing coronary heart disease was 87% higher for women and 42% higher for men in the most deprived neighbourhoods than in the most affluent neighbourhoods. For both women and men the variance at neighbourhood level was over twice the standard error, indicating significant differences in coronary heart disease risk between neighbourhoods. Conclusions: High levels of neighbourhood deprivation independently predict coronary heart disease for both women and men. Both individual and neighbourhood level approaches are important in health care policies.</t>
  </si>
  <si>
    <t>S400-143</t>
  </si>
  <si>
    <t>SCOPUS_ID:37349111038</t>
  </si>
  <si>
    <t>10.1097/EDE.0b013e31815be01c</t>
  </si>
  <si>
    <t>Nested randomized trials in large cohorts and biobanks: Studying the health effects of lifestyle factors</t>
  </si>
  <si>
    <t>Most diseases are likely to result largely from the interplay of lifestyle and genetic factors. However, both observational studies and randomized trials have faced major limitations in trying to address the impact of lifestyle on health. As large cohorts and biobanks are being developed, we need to find novel, efficient ways to address the effects of lifestyle interventions. We propose that this could be done using multiple lifestyle factorial experimental designs that combine characteristics of randomized trials and epidemiologic studies. Randomized trials of simple lifestyle interventions can be nested within large cohorts linked to reliable registries of outcomes. Participants can choose from a long list of simple lifestyle randomization options and many interventions may be tested concurrently with factorial randomization. Participants can tailor their own personal trial choosing several items among long laundry lists of randomization options. Participants are citizen-scientists rather than passive subjects and this may be attractive in modern societies of health-conscious people. These trials can use the existing machinery of the cohort for data collection and outcome linkage at no or minimal additional cost. We discuss a number of issues on the implementation of multiple lifestyle factorial experimental designs, as compared with the usual observational studies and randomized trials. These include participation, the number of allowed randomizations per participant, compliance/adherence, power, false-negatives, false-positives, composite lifestyle effects, selection of outcomes, follow-up and monitoring, masking and allocation concealment, age of participants, confounding, and cost. The aim should be to combine carefully the strengths of both observational epidemiology and randomized research without compounding their limitations. © 2008 Lippincott Williams &amp; Wilkins, Inc.</t>
  </si>
  <si>
    <t>S400-144</t>
  </si>
  <si>
    <t>SCOPUS_ID:0037371014</t>
  </si>
  <si>
    <t>10.2105/AJPH.93.3.447</t>
  </si>
  <si>
    <t>Disparities in trends of hospitalization for potentially preventable chronic conditions among African Americans during the 1990s: Implications and benchmarks</t>
  </si>
  <si>
    <t>Objectives. We compared trends in prevalence rates of preventable cardiovascular- and diabetes-related hospitalizations between African Americans and members of other major US racial/ethnic groups. Methods. Standardized rates for 1991 to 1998 were derived from hospital and US census data for California. Results. African Americans had significantly higher hospitalization rates in 1991, and discrepancies in rates continued to widen through 1998. Overall male and female rates were approximately 3 times higher for angina, 7 times higher for hypertension, between 7 and 8 times higher for congestive heart failure, and 10 times higher for diabetes. Conclusions. Widening disparities in cardiovascular- and diabetes-related health conditions were observed in this study, possibly owing to racial inequalities in provision of effective primary care.</t>
  </si>
  <si>
    <t>S400-145</t>
  </si>
  <si>
    <t>SCOPUS_ID:77149160365</t>
  </si>
  <si>
    <t>10.1016/j.ypmed.2009.12.008</t>
  </si>
  <si>
    <t>Telephone intervention promoting weight-related health behaviors</t>
  </si>
  <si>
    <t>['Fruit and vegetable consumption', 'Physical activity', 'Telephone intervention', 'Weight management', 'Worksite behavioral medicine']</t>
  </si>
  <si>
    <t>Objective: Recent national surveys have documented that the majority of adults in the United States do not meet the recommended levels of healthy lifestyle-related behaviors. The Nutrition and Physical Activity (NuPA) study was designed to promote fruit and vegetable consumption, physical activity, and weight management for a working population. Method: Data were collected nationwide, USA, from 2005 to 2007 and analyzed in 2008. A total of 2470 employed participants were randomized into the self-help (SH: n=1191) or self-help plus telephone counseling (SH + C: n=1279) group. The SH. +. C group received nine structured telephone counseling sessions in addition to the print materials. Results: A series of hierarchical regression analyses for each of the health behavior outcomes in the present-at-follow-up subsample (n=1098-1148) revealed that the SH. +. C was effective in increasing fruit and vegetable consumption. Among the overweight and obese participants, weight loss was significant in both the SH and SH. +. C groups. Conclusion: Using a theory-based behavioral change counseling technique and targeting multiple health behaviors among employed individuals, our findings demonstrate that the addition of telephone counseling to mailed self-help materials is effective in promoting healthy diet and weight management. © 2009 Elsevier Inc.</t>
  </si>
  <si>
    <t>S400-146</t>
  </si>
  <si>
    <t>SCOPUS_ID:0031695431</t>
  </si>
  <si>
    <t>10.1016/S0749-3797(98)00056-7</t>
  </si>
  <si>
    <t>The wisconsin firearm-related injury surveillance system</t>
  </si>
  <si>
    <t>Context: Firearm-related injuries rank second only to motor vehicle- related injuries as a cause of injury death in Wisconsin. Objective: To evaluate the attributes of the Wisconsin Firearm-Related Injury Surveillance System. Design: A structured surveillance system evaluation using predetermined criteria. Setting: A passive surveillance system linking administrative data from existing state-funded inpatient hospitalization and mortality databases. Participants: State health department. Main Outcome Measures: Attributes assessed included simplicity, flexibility, acceptability, sensitivity, predictive value positive, representativeness, timeliness, resources, and data quality. Results: The use of two existing state databases simplifies data acquisition and linkage. However, hospital discharge and vital records databases are not sufficiently flexible to collect perpetrator and circumstance information. Acceptability is high because of state-mandated reporting to both databases. For firearm-related injuries requiring hospitalization, the system's predictive value positive is 97% when E codes are compared with data from chart reviews. The system is considered timely because annual data from the hospital discharge and vital records systems can be obtained, linked, analyzed, and reported by September of the subsequent year. The system is sustainable largely because existing software is used for annual evaluations, which requires less than 2 weeks of staff time. Conclusions: With minimal resources and time, the Wisconsin Firearm-Related Injury Surveillance System uses existing state government databases to describe and report the burden of firearm-related injuries. Additional information on circumstances, perpetrators, and weapons involved are available but additional resources are needed to integrate this information with existing data.</t>
  </si>
  <si>
    <t>S400-147</t>
  </si>
  <si>
    <t>SCOPUS_ID:0031951803</t>
  </si>
  <si>
    <t>10.1016/S0749-3797(97)00018-4</t>
  </si>
  <si>
    <t>Work organization and atherosclerosis: Findings from the ARIC study</t>
  </si>
  <si>
    <t>['Atherosclerosis', 'Cardiovascular disease', 'Occupational health', 'Socioeconomic factors', 'Stress', 'Stressful events']</t>
  </si>
  <si>
    <t>Introduction: The aim of this investigation was to examine the extent to which work organization (i.e., occupational stress) is associated with subclinical carotid atherosclerosis. Methods: For that purpose we used a cross-sectional study of four U.S. community samples conducted between 1987 and 1989. Participants in the study were 10,801 adults aged 45 to 64 years. Subclinical carotid atherosclerosis was assessed by measuring the intima- media thickness (IMT) of the carotid artery wall using B-mode ultrasound. Occupational stress was defined using six indicators: substantive complexity of work, physical demands, job insecurity, skill discretion, decision authority, and physical exertion. Information from U.S. national surveys on occupational stress indicators was linked to the study participants' occupation. Results: We observed negative associations of complexity of work and skill discretion with mean IMT of the carotid artery wall among the four race-gender groups. In addition, physical demands was positively associated with mean IMT among blacks and job insecurity was positively associated with IMT among white women and black men. After adjustment for well-established risk factors, the magnitude of these associations was substantially reduced. Conclusions: Taken in combination with results from recent European studies, our findings suggest that work organization plays a role in the etiology of atherosclerosis.</t>
  </si>
  <si>
    <t>S400-148</t>
  </si>
  <si>
    <t>SCOPUS_ID:85008455048</t>
  </si>
  <si>
    <t>10.1016/j.amepre.2016.10.039</t>
  </si>
  <si>
    <t>Sexual Orientation and Sleep in the U.S.: A National Profile</t>
  </si>
  <si>
    <t>Introduction Sexual minorities often experience poorer health than non-sexual minorities. However, extant knowledge remains limited regarding the sleep characteristics, a risk factor for chronic diseases and excess mortality, of sexual minorities compared with non-sexual minorities at the population level. Methods This study analyzed the 2013–2014 National Health Interview Survey, Adult Sample (n=68,960) to examine the reported sleep duration and sleep disturbances (i.e., not feeling rested, difficulty falling asleep, and waking up at night) by sexual orientation (i.e., homosexual [n=1,149], bisexual [n=515], and other sexual minorities [n=144]). Statistical analysis, conducted in 2015, used multinomial logistic and logistic regressions to estimate the associations between sexual orientation and sleep variables. Results Adult sexual minorities had higher risks of sleep disturbances than heterosexual adults. Differences in SES and physical and mental health conditions partly explained the gaps. Sexual minority women had greater odds of waking up at night than sexual minority men did, but sexual minority adults who were also racial minorities showed no differences in odds of sleep disturbances compared to white sexual minority adults. Results found that sexual orientation was not associated with an increased risk of short or long sleep duration. Conclusions This study documented substantial disparities in sleep disturbances between sexual minorities and non-sexual minorities. These gaps cannot simply be explained by social and demographic factors. Interventions that target sexual minorities should pay attention to disparities in sleep and investigate methods to promote sleep health of sexual minorities.</t>
  </si>
  <si>
    <t>S400-149</t>
  </si>
  <si>
    <t>SCOPUS_ID:0028268490</t>
  </si>
  <si>
    <t>10.1093/oxfordjournals.aje.a117048</t>
  </si>
  <si>
    <t>Air pollution and hospital admissions for the elderly in Birmingham, Alabama</t>
  </si>
  <si>
    <t>['Air pollutants', 'Hospital admissions', 'Inhalable particles', 'Lung diseases', 'Ozone']</t>
  </si>
  <si>
    <t>Several studies have reported associations between airborne particles and/or ozone and hospital admissions for respiratory disease. This study examined whether such an association could be seen in Birmingham, Alabama, one of the few cities in the United States with daily monitoring of inhalable particles. Daily counts of hospital admissions were computed by date of admission from Medicare records for pneumonia and chronic obstructive pulmonary disease for the years 1986-1989. Classification was by discharge diagnosis. The daily average of ozone and particulate matter with an aerodiameter of ≤10 μm (PM10) from all monitoring stations in Birmingham was computed. Approximately six admissions for pneumonia and two for chronic obstructive pulmonary disease were observed each day. In Poisson regression analysis controlling for time trends, seasonal fluctuations, and weather, inhalable particles were a risk factor for admission for pneumonia(for an increase of 100 μg/m3 in daily concentration, relative risk (RR) = 1.19, 95% confidence interval (Cl) 1.07-;1.32) and chronic obstructive pulmonary disease (RR = 1.27, 95% Cl 1.08-;1.50). The results were not sensitive to alternative methods for controlling for seasonal patterns and weather, nor to the exclusion of very hot or cold days. Ozone was more weakly associated with admissions for pneumonia, with a 2-day lag (RR = 1.14, 95% Cl 0.94-1.38), and for chronic obstructive pulmonary disease, with a 1-day lag (RR = 1.17,95% Cl 0.86-;1.60). The risks are for an increase in ozone exposure of 50 parts per billion. Tests for nonlinearity in the relation between inhalable particles and admissions were not significant, and nonparametric smoothing found no evidence of a threshold in the relation. © 1994 The Johns Hopkins University School of Hygiene and Public Health.</t>
  </si>
  <si>
    <t>S400-150</t>
  </si>
  <si>
    <t>SCOPUS_ID:78650474664</t>
  </si>
  <si>
    <t>10.1093/aje/kwq334</t>
  </si>
  <si>
    <t>Relation of children's dietary reporting accuracy to cognitive ability</t>
  </si>
  <si>
    <t>['bias (epidemiology)', 'child', 'diet surveys', 'intelligence', 'mental recall']</t>
  </si>
  <si>
    <t>A validation study of children's dietary reporting provided an opportunity to investigate whether cognitive ability is a source of systematic error in dietary recalls. From the fall of 2004 through the spring of 2007, fourth-grade children (n = 374) in Columbia, South Carolina, were observed eating school meals and interviewed to obtain 24-hour dietary recalls; subsequently, measures of dietary reporting error were calculated. The common factor extracted from 4 subject-area achievement tests (scores on which were provided by the school district for 362 children) was used as a measure of cognitive ability. For the 325 children who reported school meals that met the criteria to be reports about school meals, as cognitive ability increased, dietary reporting error decreased; the relation between cognitive ability and dietary reporting performance was stronger among girls than among boys. The mean cognitive ability for 37 children who reported no meals that satisfied the criteria for being reports about school meals was significantly lower than that for the 325 children who reported meals that satisfied these criteria. These findings indicate that cognitive ability is a source of systematic error in children's dietary recalls. More generally, the quality of epidemiologic survey data may depend systematically on the cognitive ability of respondents. © 2010 The Author.</t>
  </si>
  <si>
    <t>S400-151</t>
  </si>
  <si>
    <t>SCOPUS_ID:0030999126</t>
  </si>
  <si>
    <t>10.1006/pmed.1996.9996</t>
  </si>
  <si>
    <t>Nutrition guidance by primary-care physicians: LISREL analysis improves understanding</t>
  </si>
  <si>
    <t>['determinants', 'LISREL', 'mechanism of action', 'nutrition guidance', 'primary-care physician']</t>
  </si>
  <si>
    <t>Background. When determinants of nutrition guidance practices for primary care physicians (PCPs) are identified, the key question remains: what is the mechanism of action? This knowledge is essential in order to understand how PCPs practice nutrition guidance. Methods. Mail questionnaires (result of focus-group discussions and in-depth interviews) were sent to a nationwide random sample of 1,000 PCPs in the Netherlands, who had been in practice for between 5 and 15 years (633 respondents). The mechanism of action of determinants of nutrition guidance practices of PCPs was identified by means of linear structural relationship analysis (LISREL) using a postulated model. Results. The postulated model on the mechanism of action was confirmed. The model demonstrates that nutrition guidance practices of PCPs are directly and significantly based on a few predisposing factors; driving forces and perceived barriers may act as significant intermediary variables. The predisposing factors, driving forces, and perceived barriers were identified. Conclusion. Policies to improve nutrition guidance practices of PCPs may, in the future, benefit from a LISREL model analysis of determinants of these practices to become more effective. Using multiple regression analysis to ascertain the determinants of these practices could result in missing important predisposing factors and 'hidden' intermediary factors and lead, therefore, to an incomplete understanding of the mechanism of action.</t>
  </si>
  <si>
    <t>S400-152</t>
  </si>
  <si>
    <t>SCOPUS_ID:84994182287</t>
  </si>
  <si>
    <t>10.1016/j.amepre.2016.08.027</t>
  </si>
  <si>
    <t>Deaths Due to Use of Lethal Force by Law Enforcement: Findings From the National Violent Death Reporting System, 17 U.S. States, 2009–2012</t>
  </si>
  <si>
    <t>Introduction Several high-profile cases in the U.S. have drawn public attention to the use of lethal force by law enforcement (LE), yet research on such fatalities is limited. Using data from a public health surveillance system, this study examined the characteristics and circumstances of these violent deaths to inform prevention. Methods All fatalities (N=812) resulting from use of lethal force by on-duty LE from 2009 to 2012 in 17 U.S. states were examined using National Violent Death Reporting System data. Case narratives were coded for additional incident circumstances. Results Victims were majority white (52%) but disproportionately black (32%) with a fatality rate 2.8 times higher among blacks than whites. Most victims were reported to be armed (83%); however, black victims were more likely to be unarmed (14.8%) than white (9.4%) or Hispanic (5.8%) victims. Fatality rates among military veterans/active duty service members were 1.4 times greater than among their civilian counterparts. Four case subtypes were examined based on themes that emerged in incident narratives: about 22% of cases were mental health related; 18% were suspected “suicide by cop” incidents, with white victims more likely than black or Hispanic victims to die in these circumstances; 14% involved intimate partner violence; and about 6% were unintentional deaths due to LE action. Another 53% of cases were unclassified and did not fall into a coded subtype. Regression analyses identified victim and incident characteristics associated with each case subtype and unclassified cases. Conclusions Knowledge about circumstances of deaths due to the use of lethal force can inform the development of prevention strategies, improve risk assessment, and modify LE response to increase the safety of communities and officers and prevent fatalities associated with LE intervention.</t>
  </si>
  <si>
    <t>S400-153</t>
  </si>
  <si>
    <t>SCOPUS_ID:0029994448</t>
  </si>
  <si>
    <t>10.1097/00001648-199607000-00004</t>
  </si>
  <si>
    <t>Acetaminophen and renal and bladder cancer</t>
  </si>
  <si>
    <t>['acetaminophen', 'bladder cancer', 'case-control study', 'renal cancer']</t>
  </si>
  <si>
    <t>Acetaminophen is a metabolite of phenacetin, a drug that has been implicated as a causal agent in the development of renal and bladder cancer. We conducted matched case-control studies to estimate the risk of renal and bladder cancer among heavy users of acetaminophen, using data from Group Health Cooperative of Puget Sound. For the renal cancer study, we identified 222 incident cases diagnosed in the years 1980-1991 and 885 controls. For bladder cancer, we identified 504 cases and 2,009 controls. Exposure was defined according to the number of prescriptions for acetaminophen and acetaminophen-containing drugs filled at the Group Health Cooperative pharmacy. The relative risk estimate for renal cancer for subjects who filled 40 or more prescriptions was 2.6 [95% confidence limits (CL) = 1.1, 6.0], compared with the risk for subjects who did not fill any prescriptions for acetaminophen. We found only a small increased risk of bladder cancer among subjects with heavy acetaminophen exposure (odds ratio = 1.3; 95% CL = 0.6, 2.8).</t>
  </si>
  <si>
    <t>S400-154</t>
  </si>
  <si>
    <t>SCOPUS_ID:85147186589</t>
  </si>
  <si>
    <t>10.1097/EDE.0000000000001578</t>
  </si>
  <si>
    <t>Performance of Multiple Imputation Using Modern Machine Learning Methods in Electronic Health Records Data</t>
  </si>
  <si>
    <t>['Chained equations', 'Denoising autoencoders', 'Electronic health records', 'Missing data', 'Multiple imputation', 'Plasmode simulation', 'Random forests']</t>
  </si>
  <si>
    <t>Background: Missing data are common in studies using electronic health records (EHRs)-derived data. Missingness in EHR data is related to healthcare utilization patterns, resulting in complex and potentially missing not at random missingness mechanisms. Prior research has suggested that machine learning-based multiple imputation methods may outperform traditional methods and may perform well even in settings of missing not at random missingness. Methods: We used plasmode simulations based on a nationwide EHR-derived de-identified database for patients with metastatic urothelial carcinoma to compare the performance of multiple imputation using chained equations, random forests, and denoising autoencoders in terms of bias and precision of hazard ratio estimates under varying proportions of observations with missing values and missingness mechanisms (missing completely at random, missing at random, and missing not at random). Results: Multiple imputation by chained equations and random forest methods had low bias and similar standard errors for parameter estimates under missingness completely at random. Under missingness at random, denoising autoencoders had higher bias than multiple imputation by chained equations and random forests. Contrary to results of prior studies of denoising autoencoders, all methods exhibited substantial bias under missingness not at random, with bias increasing in direct proportion to the amount of missing data. Conclusions: We found no advantage of denoising autoencoders for multiple imputation in the setting of an epidemiologic study conducted using EHR data. Results suggested that denoising autoencoders may overfit the data leading to poor confounder control. Use of more flexible imputation approaches does not mitigate bias induced by missingness not at random and can produce estimates with spurious precision.</t>
  </si>
  <si>
    <t>S400-155</t>
  </si>
  <si>
    <t>SCOPUS_ID:8544279601</t>
  </si>
  <si>
    <t>10.1023/A:1007374810981</t>
  </si>
  <si>
    <t>The prevalence of HCV infection in a cohort of pregnant women, the related risk factors and the possibility of vertical transmission</t>
  </si>
  <si>
    <t>['Follow-up studies', 'Hepatitis C virus-RNA', 'Pregnant women', 'Vertical transmission']</t>
  </si>
  <si>
    <t>The prevalence of antibodies for one or more HCV antigens was 2.3% of 1,347 mothers at childbirth. Compared with the principal factors studied, the presence of antibodies was more frequent in women who were carriers of HIV infection (3/3), in those who had suffered liver diseases (5/37) or who had transfusion (3/25). This was as opposed to women who did not have any risk factor (p &lt; 0.001). The prevalence of HCV-RNA was 1.3%; in relation to the antibody state, such a condition was more frequent in subjects with antibodies for 3 or 4 antigens (about 80%) compared with those who were positive for 1 or 2 antigens. HCV-RNA of the same genotype as the mother (type 1; 1a) was also found in the funicular blood of 2 of the 18 babies born to mothers who were positive for HCV-RNA. In the course of the follow-up (from the 3rd to the 18th month) the viral RNA was not found in any of the babies, nor was it found in the 2 who were positive at birth. Even the antibodies gradually disappeared, although slowly. At the 10th month, 91% of the babies resulted as having no antibodies and at the 18th month none of the babies resulted as having antibodies. Breast-feeding also appeared to have no influence on the transmission of the infection; out of 18 viremic mothers indeed 12 (67%) breast-fed their babies.</t>
  </si>
  <si>
    <t>S400-156</t>
  </si>
  <si>
    <t>SCOPUS_ID:85064194436</t>
  </si>
  <si>
    <t>10.1093/ije/dyy283</t>
  </si>
  <si>
    <t>Welfare regimes modify the association of disadvantaged adult-life socioeconomic circumstances with self-rated health in old age</t>
  </si>
  <si>
    <t>['Europe', 'healthy aging', 'longitudinal studies', 'multilevel analysis', 'Social conditions', 'social welfare']</t>
  </si>
  <si>
    <t>Background: Welfare regimes in Europe modify individuals' socioeconomic trajectories over their life-course, and, ultimately, the link between socioeconomic circumstances (SECs) and health. This paper aimed to assess whether the associations between life-course SECs (early-life, young adult-life, middle-age and old-age) and risk of poor self-rated health (SRH) trajectories in old age are modified by welfare regimes (Scandinavian [SC], Bismarckian [BM], Southern European [SE], Eastern European [EE]). Methods: We used data from the longitudinal SHARE survey. Early-life SECs consisted of four indicators of living conditions at age 10. Young adult-life, middle-age, and old-age SECs indicators were education, main occupation and satisfaction with household income, respectively. The association of life-course SECs with poor SRH trajectories was analysed by confounder-adjusted multilevel logistic regression models stratified by welfare regime. We included 24 011 participants (3626 in SC, 10 256 in BM, 6891 in SE, 3238 in EE) aged 50 to 96 years from 13 European countries. Results: The risk of poor SRH increased gradually with early-life SECs from most advantaged to most disadvantaged. The addition of adult-life SECs differentially attenuated the association of early-life SECs and SRH at older age across regimes: education attenuated the association only in SC and SE regimes and occupation only in SC and BM regimes; satisfaction with household income attenuated the association across regimes. Conclusions: Early-life SECs have a long-lasting effect on SRH in all welfare regimes. Adult-life SECs attenuated this influence differently across welfare regimes.</t>
  </si>
  <si>
    <t>S400-157</t>
  </si>
  <si>
    <t>SCOPUS_ID:0034104313</t>
  </si>
  <si>
    <t>10.1016/S0749-3797(00)00124-0</t>
  </si>
  <si>
    <t>Smoking cessation with and without assistance: A population-based analysis</t>
  </si>
  <si>
    <t>Objective: To examine usage rates of smoking-cessation assistance and to compare the success rate of those who used assistance with the success rate of those who did not. Methods: The data come from the 1996 California Tobacco Survey, a random sample of 4480 individuals (18 years or older) who tried to quit smoking in the 12 months before the survey. We calculated population estimates for demographics, smoking histories, rate of using assistance, and abstinence rates. Results: One fifth (19.9%) of those who attempted to quit smoking used one or more forms of assistance: self-help, counseling, and/or nicotine replacement therapy (NRT). Heavy smokers were more likely to use assistance than were light smokers. Women were more likely to use assistance than were men, and usage increased with age. Whites were more likely to use NRT than were other ethnic groups. Overall, those who used assistance had a higher success rate than those who did not; the 12-month abstinence rates were 15.2% and 7.0%, respectively. Conclusions: Use of assistance for smoking cessation has increased over recent years, from 7.9% in 1986 to 19.9% in 1996. The use of assistance is associated with a greater success rate. Anti-tobacco campaigns in California and increased availability of multiple forms of assistance probably facilitated the use of assistance and successful quitting for those using assistance. © 2000 American Journal of Preventive Medicine.</t>
  </si>
  <si>
    <t>S400-158</t>
  </si>
  <si>
    <t>SCOPUS_ID:0025122790</t>
  </si>
  <si>
    <t>10.1093/oxfordjournals.aje.a115687</t>
  </si>
  <si>
    <t>Defining osteoarthritis of the hip for epidemiologic studies</t>
  </si>
  <si>
    <t>['Diagnosis', 'Hip', 'Osteoarthritis']</t>
  </si>
  <si>
    <t>The authors compared seven radiologic indices of hip osteoarthritis to establish which provided the best definition of the disease for epidemiologic purposes. Hip joints were assessed from intravenous urograms taken in a British hospital between 1982 and 1987 in 1,315 men aged 60-75 years. The indices examined were an overall qualitative grading of osteoarthritis, four measures of joint space, the maximum thickness of subchondral sclerosis, and the size of the largest osteophyte. Minimal joint space (i.e., the shortest distance between the femoral head margin and the acetabulum) was the index most strongly associated with other radiologic features of osteoarthritis. Among a subset of 759 men who answered a questionnaire about symptoms, the overall qualitative grading, minimal joint space, and thickness of subchondral sclerosis were the radiologic indices most predictive of hip pain. Within- and between-observer repeatability were tested in a subset of 50 subjects. Measures of joint space were more reproducible than other indices. These data suggest that, at least in men, minimal joint space is the best radiologic criterion of hip osteoarthritis for use in epidemiotogic studies. © 1990 by The Johns Hopkins University School of Hygiene and Public Health.</t>
  </si>
  <si>
    <t>S400-159</t>
  </si>
  <si>
    <t>SCOPUS_ID:0037253184</t>
  </si>
  <si>
    <t>10.1023/A:1022556718939</t>
  </si>
  <si>
    <t>Relative and absolute gender gap in all-cause mortality in Europe and the contribution of smoking</t>
  </si>
  <si>
    <t>['Ecological', 'Epidemiology', 'Europe', 'Gender differences', 'International', 'Life expectancy', 'Male-female', 'Mortality', 'Smoking']</t>
  </si>
  <si>
    <t>This paper examined whether international variations in absolute and relative gender differences in mortality are related to the overall mortality rates, and whether the international variation in gender gap in mortality can in part be explained by smoking. I used data on mortality from all causes in 32 European countries published by the World Health Organisation, and indirect estimates of mortality attributable to smoking in the age band 35-69 years by Peto et al. The main analyses were restricted to the age band 35-69 years but results for mortality at all ages were virtually identical. The overall mortality rates (both sexes combined) were strongly related to absolute gender differences (r = 0.91) but only weakly to relative differences (r = 0.35). The gender gap was larger in eastern than in western Europe for rate differences (1005 vs. 530 per 100,000, respectively), but it was similar for rate ratios (2.3 vs. 2.1, respectively). Both absolute and relative gender differences in mortality were strongly related to the difference between men and women in the proportion of all deaths attributed to tobacco (partial correlations, after controlling for the overall death rates, were 0.59 and 0.66, respectively). Excluding tobacco-related deaths attenuated the associations between the overall mortality rates with absolute differences (r = 0.70) and reduced the difference in the absolute gender gap between eastern and western Europe. More importantly, excluding tobacco-related deaths eliminated entirely the association with relative differences (r = -0.15) as well as any suggestion that the relative gender gap is larger in eastern than in western Europe. These results show that tobacco plays an important role in generating international differences in the size of gender gap in mortality. The much discussed association between the overall life expectancy and the gender gap in life expectancy is a numerical product of absolute death rates (differences in life expectancy are driven by differences in rates). The association of overall mortality with male/female mortality ratios is much weaker.</t>
  </si>
  <si>
    <t>S400-160</t>
  </si>
  <si>
    <t>SCOPUS_ID:85183571500</t>
  </si>
  <si>
    <t>10.1016/j.ypmed.2024.107858</t>
  </si>
  <si>
    <t>The importance of a healthy lifestyle despite chronic pain: Prospective cohort with 11-year register follow-up</t>
  </si>
  <si>
    <t>['BMI', 'Disability pension', 'Physical activity', 'Risk behavior', 'Smoking']</t>
  </si>
  <si>
    <t>The purpose of the study was to investigate to which extent a healthy lifestyle in female healthcare workers with chronic pain contributes to reducing the risk of disability pension. We conducted a prospective cohort study with an 11-year registry follow-up. Overall, 2386 Danish female healthcare workers with chronic pain completed a questionnaire about work and lifestyle (leisure-time physical activity, smoking, and body mass index (BMI)). Data on disability benefit payments were obtained from the Danish Register for Evaluation of Marginalization. Two models (minimally and fully adjusted for different potential confounders) were tested using the Cox proportional hazards model. During the follow-up period, 17.9% of the healthcare workers obtained disability pension. Low levels of leisure time physical activity (reference: moderate level) increased the risk of disability pension in the minimally (Hazard Ratio: 1.38 (95% CI: 1.14–1.69)) and fully adjusted models (Hazard Ratio: 1.27 (95% CI: 1.04–1.56)). Being highly physically active, as opposed to being moderately active, did not confer additional protection. Additionally, a positive association was observed between smoking and disability pension in the minimally adjusted model (Hazard Ratio: 1.27 (95% CI: 1.05–1.54)). BMI was not an influential factor. In female healthcare workers with chronic pain, at least moderate levels of physical activity is a protective factor for disability pension. Effective promotion strategies should be designed for both workplace and non-workplace settings.</t>
  </si>
  <si>
    <t>S400-161</t>
  </si>
  <si>
    <t>SCOPUS_ID:0036205743</t>
  </si>
  <si>
    <t>10.1093/eurpub/12.1.16</t>
  </si>
  <si>
    <t>Some biological cardiovascular risk factors and diet in samples of the male population of Tallinn, Estonia in 1984/1985 and 1992/1993</t>
  </si>
  <si>
    <t>['Changes', 'Diet', 'Epidemiological studies', 'Male population', 'Risk factors']</t>
  </si>
  <si>
    <t>Background: The role of diet in the development of atherosclerosis and coronary heart disease is well known from animal, clinical and epidemiological studies; the influence of dietary factors is realized through their impact on body mass, lipids and blood pressure. The aim of this investigation was to study the levels of some biological risk factors: blood pressure, total cholesterol, triglycerides and body mass, as well as nutrition, in the male population of Tallinn, the capital of Estonia, in 1984/1985 and 1992/1993 (the transition period). Methods: Two independent random samples of the male population of Tallinn, aged 30 to 54, were examined in 1984/1985 (1,890 men) and in 1992/1993 (752 men). Standard epidemiological investigation methods were used; the diet was studied by the 24 h recall method. Results: By the time of the second survey the age-adjusted mean values of systolic and diastolic blood pressure, body mass index and triglycerides, as well as the prevalence of arterial hypertension, hypercholesterolaemia and hypertriglyceridaemia were lower than at the first survey. These data were in accordance with the dietary pattern: lower energy, animal protein, fat, saturated fatty acids, cholesterol intake and higher consumption of vegetable protein and P/S ratio at the second survey. Taking into account close relationships between many nutrients and biological risk factors found previously, changes in the diet of the population, which occurred in postsocialist Estonia in the early 1990s, could be regarded as one of the reasons for the differences in the levels of these risk factors.</t>
  </si>
  <si>
    <t>S400-162</t>
  </si>
  <si>
    <t>SCOPUS_ID:79958816946</t>
  </si>
  <si>
    <t>10.1093/aje/kwr050</t>
  </si>
  <si>
    <t>The gap of visual impairment between economic groups in shahroud, Iran: A blinder-oaxaca decomposition</t>
  </si>
  <si>
    <t>['health status disparities', 'Iran', 'socioeconomic factors', 'visual acuity']</t>
  </si>
  <si>
    <t>The authors assessed the role of economic inequality in visual impairment and decomposed the gap between high and low income groups. Study data were extracted from the first phase of the Shahroud Eye Cohort Study, performed in 2009, with 5,190 participants aged between 40 and 64 years. The participants were divided into low, medium, and high economic groups according to their assets by using a principal component analysis. The gap between low and high economic groups was decomposed to its determinants by using the Blinder-Oaxaca method. The prevalence of visual impairment, a presenting vision worse than 20/40 in the better eye, was 3.57% and 11.07% in the high and low economic groups, respectively. Age and education were the major factors in the decomposition model, contributing to 41.38% of the gap. Insurance status, gender, and education of the head of the household had no effect on this gap. Economic inequality in visual impairment was noteworthy. Although part of the gap between low and high economic groups was explained by differences in age and education, the greater part (58.62%) could be due to differences in health-care access and utilization. © 2011 The Author.</t>
  </si>
  <si>
    <t>S400-163</t>
  </si>
  <si>
    <t>SCOPUS_ID:34447328699</t>
  </si>
  <si>
    <t>10.1007/s10654-007-9129-y</t>
  </si>
  <si>
    <t>Epidemiology of cleft palate alone and cleft palate with accompanying defects</t>
  </si>
  <si>
    <t>['Birth defects', 'Cleft palate', 'Multiple abnormalities', 'Sex distribution']</t>
  </si>
  <si>
    <t>The epidemiology of cleft palate with multiple defects is often thought to be different from that of cleft palate alone, but there are few empirical data on this question. We explored this in a population-based data set created by combining data from two sources: the 1.8 million live births recorded from 1967 to 1998 in the Norwegian Birth Registry, and the two Norwegian surgical centers that repair cleft palate. Accompanying defects were identified from either source. Stratified analysis and logistic regression were used to assess relative risks by covariates. Of 1,431 babies with cleft palate, 31 % had another birth defect recorded by one or both sources. Prevalence of isolated cleft palate was steady over time, while cleft palate with other defects increased substantially. Girls had a higher risk of isolated cleft palate (relative risk 1.4; 95% confidence interval, 1.2-1.6) but not of cleft palate accompanied by other defects (1.1; 0.88-1.3). Older parents and parents who were first cousins had no increased risk of isolated cleft palate, but were twice as likely as others to have a baby with cleft palate accompanied by other defects. Risk factors differ between cases of cleft palate with and without accompanying defects. © 2007 Springer Science+Business Media B.V.</t>
  </si>
  <si>
    <t>S400-164</t>
  </si>
  <si>
    <t>SCOPUS_ID:0026644349</t>
  </si>
  <si>
    <t>10.1093/oxfordjournals.aje.a116420</t>
  </si>
  <si>
    <t>Second primary cancers following anal and cervical carcinoma: Evidence of shared etiologic factors</t>
  </si>
  <si>
    <t>['Anus neoplasms', 'Cervix neoplasms', 'Papillomaviruses', 'Registries', 'Smoking']</t>
  </si>
  <si>
    <t>The authors examined the incidence of second primary cancers occurring after cervical and anal cancer. Data from the Connecticut Tumor Registry for 1935-1988 and eight other US tumor registries for 1973-1988 were used. Women with primary invasive cervical cancer had a relative risk of 4.6 (95% confidence interval (Cl) 2.4-8.1) for subsequent invasive anal cancer. Increased relative risks after cervical cancer were also found for cancers of the oral cavity (relative risk (RR) =2.2), stomach (RR=1.5), rectum (RR=1.4), larynx (RR=3.4), lung (RR=3.0), vagina (RR=5.6), bladder (RR=2.7), and kidney (RR=1.9); decreased relative risks were noted for melanoma (RR=0.5)and breast cancer (RR=0.8). Patients with a primary diagnosis of anal cancer had relative risks for subsequent invasive and in situ cervical cancer of 1.3 (95%Cl 0.2-4.5) and 3.4 (95%Cl 0.9-8.8), respectively. Anal cancer was also associated with increased relative risk of subsequent lung (RR=2.5) and prostate (RR=1.8) cancers, whereas the relative risk of uterine cancer was 0.2 (95%Cl 0.0-0.9). These findings support other evidence for common factors, such as human papillomavirus infection and cigarette smoking, in the etiology of cervical and anal cancer. © 1992 by The Johns Hopkins University School of Hygiene and Public Health.</t>
  </si>
  <si>
    <t>S400-165</t>
  </si>
  <si>
    <t>SCOPUS_ID:85072057658</t>
  </si>
  <si>
    <t>10.1093/ije/dyz071</t>
  </si>
  <si>
    <t>The relationship between sleep duration, cognition and dementia: A Mendelian randomization study</t>
  </si>
  <si>
    <t>['cognition', 'dementia', 'Mendelian randomization', 'Sleep duration']</t>
  </si>
  <si>
    <t>Background: Short and long sleep duration have been linked with poorer cognitive outcomes, but it remains unclear whether these associations are causal. Methods: We conducted the first Mendelian randomization (MR) study with 77 single-nucleotide polymorphisms (SNPs) for sleep duration using individual-participant data from the UK Biobank cohort (N = 395 803) and summary statistics from the International Genomics of Alzheimer's Project (N cases/controls = 17 008/37 154) to investigate the potential impact of sleep duration on cognitive outcomes. Results: Linear MR suggested that each additional hour/day of sleep was associated with 1% [95% confidence interval (CI) = 0-2%; P = 0.008] slower reaction time and 3% more errors in visual-memory test (95% CI = 0-6%; P = 0.05). There was little evidence to support associations of increased sleep duration with decline in visual memory [odds ratio (OR) per additional hour/day of sleep = 1.10 (95% CI = 0.76-1.57); P = 0.62], decline in reaction time [OR = 1.28 (95% CI = 0.49-3.35); P = 0.61], all-cause dementia [OR = 1.19 (95% CI = 0.65-2.19); P = 0.57] or Alzheimer's disease risk [OR = 0.89 (95% CI = 0.67-1.18); P = 0.41]. Non-linear MR suggested that both short and long sleep duration were associated with poorer visual memory (P for non-linearity = 3.44e-9) and reaction time (P for non-linearity = 6.66e-16). Conclusions: Linear increase in sleep duration has a small negative effect on reaction time and visual memory, but the true association might be non-linear, with evidence of associations for both short and long sleep duration. These findings suggest that sleep duration may represent a potential causal pathway for cognition.</t>
  </si>
  <si>
    <t>S400-166</t>
  </si>
  <si>
    <t>SCOPUS_ID:53049110432</t>
  </si>
  <si>
    <t>10.1016/j.ypmed.2008.07.004</t>
  </si>
  <si>
    <t>The Groningen Active Living Model, an example of successful recruitment of sedentary and underactive older adults</t>
  </si>
  <si>
    <t>['Older adults', 'Primary prevention', 'Recruitment', 'Sedentary']</t>
  </si>
  <si>
    <t>Objective: Many physical activity interventions do not reach those people who would benefit the most from them. The Groningen Active Living Model (GALM) was successful in recruiting sedentary and underactive older adults. Method: In the fall of 2000 older adults in three municipalities in the Netherlands received written information, were visited at home and, if eligible according to the GALM recruitment criteria, filled in the Stages of Change questionnaire and the Voorrips physical activity questionnaire. Results: By using the strategy we succeeded in including 12.3% of the older adults (315 of the 2551 qualifying participants), 79.4% of whom could be indeed regarded as sedentary or underactive. These results can be considered in line with results described in the literature. The cost of successfully recruiting an older adult was estimated at $84. Conclusions: The GALM recruitment strategy is a potentially useful and effective method for reaching community-dwelling sedentary and underactive older adults. © 2008 Elsevier Inc. All rights reserved.</t>
  </si>
  <si>
    <t>I was borderline on this one, I initally thought it was mainly research outreach</t>
  </si>
  <si>
    <t>S400-167</t>
  </si>
  <si>
    <t>SCOPUS_ID:85104048158</t>
  </si>
  <si>
    <t>10.1093/aje/kwaa221</t>
  </si>
  <si>
    <t>Does the Union Make Us Strong? Labor-Union Membership, Self-Rated Health, and Mental Illness: A Parametric G-Formula Approach</t>
  </si>
  <si>
    <t>['g-computation', 'healthy-worker bias', 'labor movement', 'labor unions', 'occupational health', 'parametric g-formula', 'social determinants of health']</t>
  </si>
  <si>
    <t>Union members enjoy better wages and benefits and greater power than nonmembers, which can improve health. However, the longitudinal union-health relationship remains uncertain, partially because of healthy-worker bias, which cannot be addressed without high-quality data and methods that account for exposure-confounder feedback and structural nonpositivity. Applying one such method, the parametric g-formula, to US-based Panel Study of Income Dynamics data, we analyzed the longitudinal relationships between union membership, poor/fair self-rated health (SRH), and moderate mental illness (Kessler 6-item score of ≥5). The SRH analyses included 16,719 respondents followed from 1985-2017, while the mental-illness analyses included 5,813 respondents followed from 2001-2017. Using the parametric g-formula, we contrasted cumulative incidence of the outcomes under 2 scenarios, one in which we set all employed-person-years to union-member employed-person-years (union scenario), and one in which we set no employed-person-years to union-member employed-person-years (nonunion scenario). We also examined whether the contrast varied by sex, sex and race, and sex and education. Overall, the union scenario was not associated with reduced incidence of poor/fair SRH (relative risk = 1.01, 95% confidence interval (CI): 0.95, 1.09; risk difference = 0.01, 95% CI:-0.03, 0.04) or moderate mental illness (relative risk = 1.02, 95% CI: 0.92, 1.12; risk difference = 0.01, 95% CI:-0.04, 0.06) relative to the nonunion scenario. These associations largely did not vary by subgroup.</t>
  </si>
  <si>
    <t>S400-168</t>
  </si>
  <si>
    <t>SCOPUS_ID:85054501202</t>
  </si>
  <si>
    <t>10.1136/jech-2018-210961</t>
  </si>
  <si>
    <t>Impact of the NHS Health Check on inequalities in cardiovascular disease risk: A difference-in-differences matching analysis</t>
  </si>
  <si>
    <t>['cardiovascular disease', 'health inequalities', 'health services', 'prevention', 'screening']</t>
  </si>
  <si>
    <t>Background We assessed impacts of a large, nationwide cardiovascular disease (CVD) risk assessment and management programme on sociodemographic group inequalities in (1) early identification of hypertension, type 2 diabetes (T2D) and chronic kidney disease (CKD); and (2) management of global CVD risk among high-risk individuals. Methods We obtained retrospective electronic medical records from the Clinical Practice Research Datalink for a randomly selected sample of 138 788 patients aged 40-74 years without known CVD or diabetes, who were registered with 462 practices between 2009 and 2013. We estimated programme impact using a difference-in-differences matching analysis that compared changes in outcome over time between attendees and non-Attendees. Results National Health Service Health Check attendance was 21.4% (29 672/138 788). A significantly greater number of hypertension and T2D incident cases were identified in men than women (eg, an additional 4.02%, 95% CI 3.65% to 4.39%, and 2.08%, 1.81% to 2.35% cases of hypertension in men and women, respectively). A significantly greater number of T2D incident cases were identified among attendees living in the most deprived areas, but no differences were found for hypertension and CKD across socioeconomic groups. No major differences in CVD risk management were observed between sociodemographic subgroups (eg, programme impact on 10-year CVD risk score was â '1.13%, â '1.48% to â '0.78% in male and â '1.53%, â '2.36% to â '0.71% in female attendees). Conclusion During 2009-2013, the programme had low attendance and small overall impacts on early identification of disease and risk management. The age, sex and socioeconomic subgroups appeared to have derived similar level of benefits, leaving existing inequalities unchanged. These findings highlight the importance of population-wide interventions to address inequalities in CVD outcomes.</t>
  </si>
  <si>
    <t>S400-169</t>
  </si>
  <si>
    <t>SCOPUS_ID:32144437941</t>
  </si>
  <si>
    <t>10.1016/j.ypmed.2005.08.007</t>
  </si>
  <si>
    <t>Metabolic syndrome in Japanese men and women with special reference to the anthropometric criteria for the assessment of obesity: Proposal to use the waist-to-height ratio</t>
  </si>
  <si>
    <t>['BMI', 'Japanese', 'Metabolic syndrome', 'Waist circumference', 'Waist-to-height ratio']</t>
  </si>
  <si>
    <t>Backgrounds. Obesity is one of the criteria for defining metabolic syndrome. However, overt obesity in Asians is relatively low despite high prevalence of metabolic risks. Methods. We investigated the effectiveness of various anthropometric indices {body mass index (BMI), waist circumference, waist-to-height ratio (W/Ht)} for the evaluation of coronary risk factors (hypertension, hyperglycemia, hypertriglyceridemia, and low HDL cholesterol) and as one of the criteria for metabolic syndrome (clustering of three or more from one obesity and four coronary risk factors) in Japanese on 6141 men and 2137 women. Results. (1) The areas under the receiver operating characteristic curves for the different anthropometric indices to identify any one and two or more coronary risk factors were highest for W/Ht. (2) The sensitivities for the identification of any one and two or more coronary risk factors were greater for W/Ht ≥0.5 than BMI ≥25, ≥23, and indices of waist circumference (Adult Treatment Panel III and Japan Society for the Study of Obesity). (3) The prevalence of metabolic syndrome varied greatly by different anthropometric indices, and the percentages of obesity risk factors in metabolic syndrome were highest for W/Ht ≥0.5 in both genders (approximate 95%). Conclusions. W/Ht ≥0.5 may be the most effective anthropometric index for screening Japanese people for metabolic syndrome. © 2005 Elsevier Inc. All rights reserved.</t>
  </si>
  <si>
    <t>S400-170</t>
  </si>
  <si>
    <t>SCOPUS_ID:0025922652</t>
  </si>
  <si>
    <t>10.1136/jech.45.2.125</t>
  </si>
  <si>
    <t>All cause mortality and its determinants in middle aged men in Finland, The Netherlands, and Italy in a 25 year follow up</t>
  </si>
  <si>
    <t>Study objective: The aims were (1) to compare all cause mortality in population samples of different cultures; and (2) to cross predict fatal event by risk functions involving risk factors usually measured in cardiovascular epidemiology. Design: The study was a 25 year prospective cohort study. The prediction of all cause mortality was made using the multiple logistic equation as a function of 12 risk factors; the prediction of months lived after entry examination was made by the multiple linear regression using the same factors. Population samples: There were five cohorts of men aged 40-59 years, from Finland (two cohorts, 1677 men), from The Netherlands (one cohort, 878 men), and from Italy (two cohorts, 17 12 men). Setting: The Finnish cohorts came from geographically defined rural areas, the Dutch cohort from a small town in central Holland, and the Italian cohorts from rural villages in northern and central Italy. Measurements and main results: All cause mortality was highest in Finland (557 per 1000), and lower in The Netherlands (477) and in Italy (475). The solutions of the multiple logistic function showed the significant and almost universal predictive role of certain factors, with rare exceptions. These were age, blood pressure, cigarette smoking, and arm circumference (the latter with a negative relationship). Similar results were obtained when solving a multiple linear regression equation predicting the number of months lived after entry examination as a function of the same factors. The prediction of fatal events in each country, using the risk functions of the others, produced limited errors, the smallest one being - 2% and the largest +11%. When solving the logistic model in the pool of all the cohorts with the addition of dummy variables for the identification of nationality, it also appeared that only a small part of the mortality differences between countries is not explained by 12 available risk factors. Conclusions: A small set of risk factors seems to explain the intercohort differences of 25 year all cause mortality in population samples of three rather different cultures.</t>
  </si>
  <si>
    <t>S400-171</t>
  </si>
  <si>
    <t>SCOPUS_ID:84939634501</t>
  </si>
  <si>
    <t>10.1093/ije/dyv061</t>
  </si>
  <si>
    <t>Resting heart rate on the decline: The Tromsø Study 1986-2007</t>
  </si>
  <si>
    <t>['Epidemiology', 'Heart rate', 'Linear mixed models', 'Longitudinal', 'Risk factors', 'Trends']</t>
  </si>
  <si>
    <t>Background: We examined secular changes in resting heart rate (RHR) and their relationship with changes in other cardiovascular risk factors in adult men and women over a 22-year period.Methods: A single-centre population-based longitudinal study comprised 30 699 men and women aged 30-89 years who participated in at least one of the 1986, 1994, 2001 and 2007 surveys of the Tromsø Study, Tromsø, Norway.Results: During the study period, the age-adjusted means of RHR declined from 73.4 to 64.7 beats per minute (b.p.m.) in men, and from 78.3 to 66.4 b.p.m. in women. The decline was persistent from one survey to the next and was of similar size in both sexes and for all age groups and birth cohorts. RHR declined gradually over time for different levels of cardiovascular risk factors, and it declined more in those who moved from adverse to favourable values or categories of blood pressure, total and high-density lipoprotein cholesterol, triglycerides, body mass index, smoking and physical activity, and those who started to take blood pressure medication. The strongest predictors of individual decline in RHR were decrease in systolic blood pressure and triglycerides, increase in physical activity, taking blood pressure treatment and smoking cessation.Conclusion: A considerable decline in RHR has occurred in Tromsø over the past two decades in men and women of all ages. The decline is partly related to changes in several cardiovascular risk factors, and reasons behind this need to be further elucidated. The findings suggest that new definitions of normal RHR may be needed.</t>
  </si>
  <si>
    <t>S400-172</t>
  </si>
  <si>
    <t>SCOPUS_ID:85110988216</t>
  </si>
  <si>
    <t>10.1093/aje/kwab031</t>
  </si>
  <si>
    <t>Prediction of Cardiovascular Disease Risk Accounting for Future Initiation of Statin Treatment</t>
  </si>
  <si>
    <t>['cardiovascular disease', 'electronic health records', 'future statin initiation', 'longitudinal data', 'risk prediction', 'treatment drop-in']</t>
  </si>
  <si>
    <t>Cardiovascular disease (CVD) risk-prediction models are used to identify high-risk individuals and guide statin initiation. However, these models are usually derived from individuals who might initiate statins during follow-up. We present a simple approach to address statin initiation to predict "statin-naive"CVD risk. We analyzed primary care data (2004-2017) from the UK Clinical Practice Research Datalink for 1,678,727 individuals (aged 40-85 years) without CVD or statin treatment history at study entry. We derived age-and sex-specific prediction models including conventional risk factors and a time-dependent effect of statin initiation constrained to 25% risk reduction (from trial results). We compared predictive performance and measures of public-health impact (e.g., number needed to screen to prevent 1 event) against models ignoring statin initiation. During a median follow-up of 8.9 years, 103,163 individuals developed CVD. In models accounting for (versus ignoring) statin initiation, 10-year CVD risk predictions were slightly higher; predictive performance was moderately improved. However, few individuals were reclassified to a high-risk threshold, resulting in negligible improvements in number needed to screen to prevent 1 event. In conclusion, incorporating statin effects from trial results into risk-prediction models enables statin-naive CVD risk estimation and provides moderate gains in predictive ability but had a limited impact on treatment decision-making under current guidelines in this population.</t>
  </si>
  <si>
    <t>S400-173</t>
  </si>
  <si>
    <t>SCOPUS_ID:0026614455</t>
  </si>
  <si>
    <t>10.1136/jech.46.3.293</t>
  </si>
  <si>
    <t>Quantitative indicators for a healthy city - The Rotterdam local health information system</t>
  </si>
  <si>
    <t>Study objective - The aim was to develop a local health information system for monitoring health status and for contributing to the development of local health policy. Design - At district or even at neighbourhood level, data are collected on health status and factors related to health, including lifestyle, social and physical and environment, and the health care system. Data are collected from central and municipal Bureaus of Statistics, health care services, regional and municipal institutions, and by means of regularly performed local health surveys. Setting - The 84 neighbourhoods of the Rotterdam Municipality. Main results - In the local health information system three sorts of data are collected: data on health status, data on health risk factors, and socioeconomic and demographic data. Two examples of data on health status are given (mortality and mental health) which were analysed. These data show differences in health status between several districts in Rotterdam, which can be related to differences in socioeconomic status between these districts. Examples are given of the influence of the project on local health policy in Rotterdam. Conclusions - The main conclusion is that the local health information system has great promise as an information system to give direction to local health policy. However if this promise is to be fulfilled, it will be necessary to obtain data from more varied sources.</t>
  </si>
  <si>
    <t>S400-174</t>
  </si>
  <si>
    <t>SCOPUS_ID:0028991655</t>
  </si>
  <si>
    <t>10.1136/jech.49.4.431</t>
  </si>
  <si>
    <t>The ten questions screen for childhood disabilities: Its uses and limitations in Pakistan</t>
  </si>
  <si>
    <t>Objective - To assess the accuracy of the ten questions screen as a measure of childhood disability for epidemiologic studies in populations lacking resources for professional assessment of children's development and functioning. Design - Household survey and screening of children in phase one followed by clinical assessments in phase two. Setting - Karachi, Pakistan. Participants - A cluster sample of 6365 children, aged 2 to 9 years, screened using the ten questions and a subsample referred for clinical assessments, Main results - Although the sensitivity of the ten questions as a global screen for serious cognitive, motor, and seizure disabilities is high (84-100%), its sensitivity for identifying and distinguishing specific types of disability and for detecting vision, hearing, and mild disabilities, overall, is limited (generally &lt; 80% and as low as 4% for mild vision disability). The predictive value of a positive screening result is also limited - using the ten questions in surveys without clinical confirmation results in overestimation of the prevalence of serious disability by more than 300%. Conclusions - The ten questions screen is not an assessment tool. Its utility lies in its ability to screen or select a fraction of the population at high risk for serious disability. As a screening tool, it allows scarce diagnostic and other professional resources to be efficiently directed toward those at high risk.</t>
  </si>
  <si>
    <t>I think this is only about research screening</t>
  </si>
  <si>
    <t>S400-175</t>
  </si>
  <si>
    <t>SCOPUS_ID:45449091729</t>
  </si>
  <si>
    <t>10.1016/j.ypmed.2008.02.027</t>
  </si>
  <si>
    <t>Physical activity and perceived environmental attributes in a sample of Portuguese adults: Results from the Azorean Physical Activity and Health Study</t>
  </si>
  <si>
    <t>['Environmental attributes', 'IPAQ', 'Physical activity']</t>
  </si>
  <si>
    <t>Objectives: The aim of the present study was to determine whether the relation of perceived neighbourhood attributes to reported Physical Activity (PA) levels in Azorean adults varied by gender and body mass index (BMI). Methods: 7330 adult participants (4104 women), aged 38.1 ± 9.3 years, from the 2004 Azorean Physical Activity and Health Study. They answered the Environmental Module and the short version of the International Physical Activity Questionnaire (IPAQ). Height and weight were self-reported. Results: After adjustments for age, BMI, education level and island of residence, the dimension Infrastructures, Access to destinations, Social environment and Aesthetics was positively associated with moderate PA level and Health-Enhancing Physical Activity (HEPA) level, only in women. When participants were categorized by BMI status, the same dimension was a significant predictor for moderate PA level in normal weight men and women, and for HEPA level only in overweight/obese women, after controlling for age, education level and island of residence. Conclusions: The dimension Infrastructures, Access to destinations, Social environment and Aesthetics was predictors of higher PA levels in Azorean adults. Targeted programs for Azoreans to increase PA levels should consider that this set of environmental features seem to act synergistically and are positively associated with PA. © 2008 Elsevier Inc. All rights reserved.</t>
  </si>
  <si>
    <t>S400-176</t>
  </si>
  <si>
    <t>SCOPUS_ID:34447340936</t>
  </si>
  <si>
    <t>10.1093/ije/dyl252</t>
  </si>
  <si>
    <t>The relationship between parity and overweight varies with household wealth and national development</t>
  </si>
  <si>
    <t>['Developing countries', 'Obesity', 'Overweight', 'Parity', 'Reproduction']</t>
  </si>
  <si>
    <t>Background: Recent studies support a positive relationship between parity and overweight among women of developing countries; however, it is unclear whether these effects vary by household wealth and national development. Our objective was to determine whether the association between parity and overweight [body mass index (BMI) ≥25 kg/m2] in women living in developing countries varies with levels of national human development and/or household wealth. Methods: We used data from 28 nationally representative, cross-sectional surveys conducted between 1996 and 2003 (n = 275 704 women, 15-49 years). The relationship between parity and overweight was modelled using logistic regression, controlling for several biological and sociodemographic factors and national development, as reflected by the United Nations' Human Development Index. We also modelled the interaction between parity and national development, and the three-way interaction between parity, household wealth and national development. Results: Parity had a weak, positive association with overweight, which varied by household wealth and national development. Among the poorest women and women in the second tertile of household wealth, parity was positively related to overweight only in the most developed countries. Among the wealthiest women, parity was positively related to overweight regardless of the level of national development. Conclusions: As development increases, the burden of parity-related overweight shifts to include poor as well as wealthy women. In the least-developed countries, programmes to prevent parity-related overweight should target wealthy women, whereas such programmes should be provided to all women in more developed countries. © The Author 2006; all rights reserved.</t>
  </si>
  <si>
    <t>S400-177</t>
  </si>
  <si>
    <t>SCOPUS_ID:0030912127</t>
  </si>
  <si>
    <t>10.1016/s0749-3797(18)30192-2</t>
  </si>
  <si>
    <t>Use of automated reminders for tuberculin skin test return</t>
  </si>
  <si>
    <t>['Automation', 'Reminder systems', 'Telephone', 'Tuberculin test', 'Tuberculosis']</t>
  </si>
  <si>
    <t>Introduction: This study assessed the impact of automated telephone reminders on tuberculin skin test returns. Methods: A total of 701 English- speaking and Spanish-speaking patients of a public health immunization program were randomly assigned to an intervention or a control group. Those in the intervention group received an automated telephone reminder to return for the reading of their skin test. Results: Automated telephone reminders significantly reduced return failures 53% (from 14% to 7%) when the scheduled interval between test administration and reading was three days, but had no impact for a two-day interval. Effectiveness of reminders did not differ significantly by patient age, gender, or language (English versus Spanish). Conclusions: Results suggest the value of automated reminder calls for intra- appointment intervals as short as three days.</t>
  </si>
  <si>
    <t>S400-178</t>
  </si>
  <si>
    <t>SCOPUS_ID:0026705537</t>
  </si>
  <si>
    <t>10.1016/0091-7435(92)90057-O</t>
  </si>
  <si>
    <t>Anticarcinogenic effects of (-)-epigallocatechin gallate</t>
  </si>
  <si>
    <t>Background. Our research objective is to develop nontoxic cancer chemopreventive agents and to apply these agents in treating humans. We are identifying agents that inhibit the process of tumor promotion in two-stage carcinogenesis experiments on mouse skin. Methods. We review (a) the inhibitory effect of penta-O-galloyl-β-d-glucose (5GG) on tumor promotion by teleocidin, one of the 12-O-tetradecanoylphorbol-13-acetate (TPA)-type tumor promoters (5GG is structurally similar to (-)-epigallocatechin gallate (EGCG) and is isolated from hydrolyzed tannic acid); (b) the inhibitory effects of EGCG, the main constituent of Japanese green tea, on tumor promotion with two tumor promoters, teleocidin and okadaic acid, a non-TPA-type tumor promoter; (c) the mechanisms of action of EGCG, a single application of which reduced the specific binding of [3H]TPA and [3H]okadaic acid to a particulate fraction of mouse skin; and (d) the anticarcinogenic effects of EGCG on duodenal carcinogenesis induced by N-ethyl-N′-nitro-N-nitrosoguanidine in male C57BL/6 mice. EGCG is a nontoxic compound. Conclusion. We believe that the main constituent of Japanese green tea, EGCG, is a practical cancer chemopreventive agent available in everyday life. © 1992.</t>
  </si>
  <si>
    <t>S400-179</t>
  </si>
  <si>
    <t>SCOPUS_ID:0028212545</t>
  </si>
  <si>
    <t>10.1136/jech.48.1.26</t>
  </si>
  <si>
    <t>Demographic and dietary profiles of high and low fat consumers in Australia</t>
  </si>
  <si>
    <t>Study objective - To determine the sociodemographic, attitudinal, and dietary correlates of high and low fat consumption in the community. Design - The study was undertaken using a postal survey format. A questionnaire was sent for self completion to a randomised sample of the adult population of two Australian states. Participants - Adult participants were selected randomly from the Electoral Rolls of the states of Victoria and South Australia. As voting at elections is compulsory in Australia, these rolls contain the names of all Australian citizens over the age of 18 years. Altogether 3209 respondents completed the survey giving a response rate of 67%. Main results - Lower than average fat consumption was more common in women. Age was a significant factor only in men. Occupation was not related to lower than average fat consumption but manual work and low occupational prestige were linked to higher than average consumption in men. People with a history of conditions related to heart disease were more likely to be low consumers but medical history did not distinguish high from average consumers. Low fat consumption was linked to higher refined and natural sugar consumption and higher alcohol consumption, but protein and complex carbohydrate consumption did not vary with fat consumption. Low fat diets also had higher densities of fibre and most vitamins and minerals, the exceptions being retinol, zinc, and vitamin B12, nutrients generally linked to meat and dairy consumption. Of the latter, only the low zinc concentrations, which are already borderline in the community, pose a potential nutritional problem. Conclusions - This study showed very strong links between dietary fat intake and the intake of nearly all other nutrients in the diet. The results highlight the need to consider relationships between nutrients not only for purposes of nutrition education but also in relation to nutritional epidemiology studies.</t>
  </si>
  <si>
    <t>I agree that it is borderline. Might be again only about research?</t>
  </si>
  <si>
    <t>S400-180</t>
  </si>
  <si>
    <t>SCOPUS_ID:0025340190</t>
  </si>
  <si>
    <t>10.1136/jech.44.2.142</t>
  </si>
  <si>
    <t>Upper respiratory tract infection in children, domestic temperatures, and humidity</t>
  </si>
  <si>
    <t>The aim of the study was to seek for a possible association between the incidence of upper respiratory tract infections and air temperature and humidity in the home. Recordings of temperature and relative humidity were made in living rooms and children's bedrooms over a six month period and related to incidence of upper respiratory tract infection. The study was carried out in one general practice of 10,000 patients. 297 children aged 24-59 months were studied, selected in random order from the practice age-sex register. Temperature and humidity recordings were made with thermohygrograph recorders over six days. Upper respiratory tract infections were recorded (a) retrospectively over the previous 12 months, and (b) during the study period. Past history of acute otitis media and recent family history of respiratory infection were also obtained. No significant association was found between the variables, although the bedrooms of children with reported upper respiratory tract infections were cooler overnight than those of non-infected children (mean difference 0.8°C, 95% confidence limits 0.7°C). No association was found between reported or recorded upper respiratory tract infections and age or type of home, family size, level of occupancy, social class, or smoking habits. Only 15 children (5%) were identified by their parents as having had asthma, but 58 (19.5%) had had a 'wheezy chest'. A greater proportion of children who wheezed slept in cooler bedrooms, had gas fires rather than central heating, and had more smokers in the house. No association between upper respiratory tract infection and domestic temperature or humidity levels could be shown in this study. Since dampness is repeatedly presented as a health risk, further study is required.</t>
  </si>
  <si>
    <t>S400-181</t>
  </si>
  <si>
    <t>SCOPUS_ID:0346724561</t>
  </si>
  <si>
    <t>10.1093/eurpub/13.4.306</t>
  </si>
  <si>
    <t>Increasing prevalence of overweight, obesity and physical inactivity: Two population-based studies 1986 and 1994</t>
  </si>
  <si>
    <t>['Education', 'Obesity', 'Overweight', 'Physical inactivity']</t>
  </si>
  <si>
    <t>Introduction: The aim of this study was to investigate the 1986-1994 trend in obesity, overweight and sedentary leisure-time physical activity status, and the educational gradient in overweight and obesity in the city of Malmö, Sweden. Material/Methods: The public health surveys in Malmö 1986 and 1994 are cross-sectional studies. A total of 4,800 and 5,600 individuals aged 20-80 years were randomly chosen to be interviewed by a postal questionnaire. The participation rates were 74% and 71%. Obesity was defined as BMI 30.0 or more and overweight as BMI 25.0-29.9. The prevalences of leisure-time physical inactivity, obesity and overweight were computed, and the differences between 1986 and 1994 as well as educational gradients in overweight and obesity were assessed. Results: The prevalence of obesity increased from 4.6% to 11.4% (p&lt;0.001) among men and from 6.1% to 9.8% (p&lt;0.001) among women. The prevalence of overweight (BMI 25.0-29.9) increased from 33.9% to 45.2% (p&lt;0.001) among men, and from 19.6% to 29.1% (p&lt;0.001) among women. The prevalence of leisure time physical inactivity increased among men from 14.7% to 18.1% (p&lt;0.001) among men and from 19.4% to 26.7% (p&lt;0.001) among women. The increasing prevalences of obesity, overweight and physical inactivity were observed in all age, country of origin and educational status groups. The educational differences in BMI 25.0+ observed among both men and women in 1986 disappeared among men in 1994. In contrast, educational differences in obesity (BMI 30.0+), not seen in 1986, appeared in 1994 among men. Conclusion: The proportions of the population with obesity and overweight increased significantly between 1986 and 1994 for both men and women. The increasing prevalence of physical inactivity seems to be an important explanation.</t>
  </si>
  <si>
    <t>S400-182</t>
  </si>
  <si>
    <t>SCOPUS_ID:0025370273</t>
  </si>
  <si>
    <t>10.1016/0091-7435(90)90019-G</t>
  </si>
  <si>
    <t>Cholesterol reduction through low-intensity interventions: Results from the Minnesota heart health program</t>
  </si>
  <si>
    <t>The National Cholesterol Education Program has underscored the need for health professionals to work together to promote dietary changes and reduce blood cholesterol levels across the population. This article reports the results of an evaluation of several low-intensity intervention programs designed for the general public that could be offered on a larger scale, either through traditional outlets for short courses or on an outpatient basis after physician referral. The interventions were designed as classes, required approximately 8 hr of contact time with the participants, cost approximately $20 per participant, and were taught by nutritionists and dietitians recruited from the community and trained for this program. Results indicated that similar net reductions in total cholesterol of about 4% were achieved at 1-yr follow-up either from a course which focused on changing eating patterns or from one which focused on weight loss and weight-loss management. These results support the hypothesis that cholesterol reduction is possible with inexpensive and simple methods in healthy, low-risk populations. © 1990.</t>
  </si>
  <si>
    <t>S400-183</t>
  </si>
  <si>
    <t>SCOPUS_ID:84891671522</t>
  </si>
  <si>
    <t>10.2105/AJPH.2013.301475</t>
  </si>
  <si>
    <t>Cigarettes become a dangerous product: Tobacco in the rearview mirror, 1952-1965</t>
  </si>
  <si>
    <t>Tobacco control's unparalleled success comes partly from advocates broadening the focus of responsibility beyond the smoker to include industry and government. To learn how this might apply to other issues, we examined how early tobacco control events were framed in news, legislative testimony, and internal tobacco industry documents. Early debate about tobaccois stunning for its absence of the personal responsibility rhetoric prominent today, focused instead on the health harms from cigarettes. The accountabilityofgovernment, rather than the industry or individual smokers, is mentioned often; solutions focused not on whether government had a responsibility to act, but on how to act. Tobacco lessons can guide advocates fighting the food and beverage industry, but must be reinterpreted in current political contexts.</t>
  </si>
  <si>
    <t>S400-184</t>
  </si>
  <si>
    <t>SCOPUS_ID:84863990876</t>
  </si>
  <si>
    <t>10.1136/jech.2010.128371</t>
  </si>
  <si>
    <t>Depression, anxiety and physical function: Exploring the strength of causality</t>
  </si>
  <si>
    <t>Background Depression, anxiety and physical function may be bi-directionally related. We aim to estimate the strength of the longitudinal associations between depression, anxiety and physical function. Methods Prospective cohort study of general practice attendees across Europe (N1/44757) assessed at baseline, 6, 12 and 24 months. Main outcome measures were Diagnostic and Statistical Manual of Mental Disorders-IV major depression, Patient Health Questionnaire anxiety and Short Form 12 physical function. Complete-case analyses using random coefficient models and logistic regression models were performed. Results Those with depression (β = -1.90, 95% CI -3.42 to -0.39), anxiety (β = -4.12, 95% CI -5.39 to -2.86) or depression and anxiety (β = -5.74, 95% CI -7.38 to -4.10) had lower levels of physical function at baseline and over time compared with no diagnosis after adjustment for potential confounders. Physical function increased over time, but the rate of increase was not different between the groups. When compared with depression, those with anxiety (β = -2.22, 95% CI -4.08 to -0.36) or depression and anxiety (β = -3.83, 95% CI -5.95 to -1.71) had significantly lower levels of physical function at baseline. Lower levels of physical function at baseline were associated with onset of depression (OR 1.83, 95% CI 1.08 to 3.10) but even stronger with anxiety (OR 2.79, 95% CI 1.52 to 5.12) or depression and anxiety (OR 5.05, 95% CI 2.55 to 9.99) during 24 months compared with no dysfunction, after adjustment for potential confounders. Conclusion It is essential to prevent lower levels of physical function as this is likely to lead to onset of depression and anxiety over time.</t>
  </si>
  <si>
    <t>S400-185</t>
  </si>
  <si>
    <t>SCOPUS_ID:32144433507</t>
  </si>
  <si>
    <t>10.1093/ije/dyi226</t>
  </si>
  <si>
    <t>Weight change and risk of endometrial cancer</t>
  </si>
  <si>
    <t>['Body mass index', 'Body weight', 'Endometrial cancer', 'Weight gain', 'Weight loss']</t>
  </si>
  <si>
    <t>Background: Obesity is an established risk factor for endometrial cancer. Less well understood is the role of weight gain and weight change in determining risk. Methods: We analysed data from a population-based case-control study to evaluate the associations of body mass index (BMI), weight gain, and weight cycling with risk of endometrial cancer. Cases (n = 740) under age 80 with a new diagnosis of endometrial cancer were identified from Wisconsin's cancer registry. Controls (n = 2342) were randomly selected from driver's license lists and Medicare beneficiary files. Body size at three time points and other risk factor information were ascertained by interview in 1992-95. Results: Endometrial cases were more likely than controls to be nulliparous, have early ages at menarche and late ages at menopause, be diabetic, smoke cigarettes, and use post-menopausal hormones. After adjustment for these factors, increasing BMI was associated with increased risk (P-trend &lt; 0.001); women in the top quartile of BMI (&gt;29 kg/m2) had a 3-fold greater risk of endometrial cancer [95% confidence interval (95% CI) 2.4-4.2] compared with women in the lowest quartile (&lt;23 kg/-m2). For each 5 kg weight gain, the odds ratio (OR) for endometrial cancer risk equalled 1.2 (95% CI 1.2-1.3). History of weight cycling modestly increased risk after adjustment for BMI and other factors (OR = 1.3; 95% CI 1.0-1.6). In addition, women who reported sustained weight loss had a reduced risk of endometrial cancer (OR = 0.7; 95% CI 0.6-0.9). Conclusions: These results suggest that weight gain and lack of weight stability are associated with risk of endometrial cancer. © The Author 2005; all rights reserved.</t>
  </si>
  <si>
    <t>S400-186</t>
  </si>
  <si>
    <t>SCOPUS_ID:85032969021</t>
  </si>
  <si>
    <t>10.1016/j.amepre.2017.08.024</t>
  </si>
  <si>
    <t>Health Insurance Status and Clinical Cancer Screenings Among U.S. Adults</t>
  </si>
  <si>
    <t>Introduction Health insurance coverage is linked to clinical preventive service use. This study examined cancer screenings among U.S. adults by health insurance status. Methods The Behavioral Risk Factor Surveillance System collected data on healthcare access and cancer screenings from 42 states and the District of Columbia in 2014. Data analyses were conducted in 2016. Participants’ health insurance status during the preceding 12 months was categorized as adequately insured, underinsured, or never insured. Primary type of insurance coverage was categorized as employer-based or Medicare (aged ≥65 years), self-purchased plan, Medicaid/Medicare (aged &lt;65 years), and other public insurance. Clinical cancer screenings were assessed following the U.S. Preventive Services Task Force recommendations. Results Compared with adequately insured adults, underinsured and never insured women were 6% (p&lt;0.001) and 41% (p&lt;0.001) less likely to receive breast cancer screening, respectively; 1% (p&lt;0.05) and 19% (p&lt;0.001) less likely to receive cervical cancer screening, respectively; and 3% (p&lt;0.01) and 47% (p&lt;0.001) less likely to receive colorectal cancer screening, respectively; underinsured and never insured men were 6% (p&lt;0.001) and 52% (p&lt;0.001) less likely to receive colorectal cancer screening, respectively. Compared with adults with employer-based insurance/Medicare (aged ≥65 years), women with all other types of insurance were less likely to receive breast and cervical cancer screenings; women and men with self-purchased plans were less likely to receive colorectal cancer screening; however, men with other public insurance were more likely to receive colorectal cancer screening. Conclusions Disparities in cancer screenings by health insurance status and type of insurance exist among U.S. adults. Greater efforts to increase screening rates and to reduce disparities in cancer screenings are an important strategy to help improve overall population health.</t>
  </si>
  <si>
    <t>S400-187</t>
  </si>
  <si>
    <t>SCOPUS_ID:85139759307</t>
  </si>
  <si>
    <t>10.2105/AJPH.2022.307022</t>
  </si>
  <si>
    <t>Gender, Race/Ethnicity, and Unionization in Direct Care Occupations</t>
  </si>
  <si>
    <t>Objectives. The goal of this study was to measure unionization in the direct care workforce and the relationship between unionization and earnings, looking closely at differences across race/ethnicity and gender. Methods. Using data from the Current Population Survey from 2010 to 2020, we first used logit analyses to predict the probability of unionization among direct care workers across race/ethnicity and gender. We then measured the relationship between unionization and weekly earnings. Results. We found that male (12%) and Black (14%) direct care workers were most likely to be unionized, followed by Hispanic and other direct care workers of color. Unionized direct care workers earn wages that are about 7.8% higher than nonunionized workers, but unionized workers of color earn lower rewards for unionization compared with White direct care workers. Conclusions. Unions are a mechanism for improving job quality in direct care work, and protecting workers' rights to unionize and participate in collective bargaining equitably may be a way to stabilize and grow the direct care workforce.</t>
  </si>
  <si>
    <t>S400-188</t>
  </si>
  <si>
    <t>SCOPUS_ID:84971657504</t>
  </si>
  <si>
    <t>10.1093/ije/dyv355</t>
  </si>
  <si>
    <t>Application of linear mixed models to study genetic stability of height and body mass index across countries and time</t>
  </si>
  <si>
    <t>['BMI', 'GCTA', 'Genetic stability', 'GREML', 'Height', 'LD score regression', 'Polygenic prediction', 'Unrelated samples', 'Weight']</t>
  </si>
  <si>
    <t>Background: It is now possible to estimate genetic correlations between two independent samples when there is no overlapping phenotypic information. We applied the latest bivariate genomic methods to children in the UK and older adults in Sweden to ask two questions. Are the same variants driving individual differences in anthropometric traits in these two populations, and are these variants as important in childhood as they are later in life? Methods: A sample of 3152 11-year-old children in the UK was compared with a sample of 6813 adults with an average age of 65 in Sweden. Genotypes were imputed from 1000 genomes with combined 9 767 136 single nucleotide polymorphisms meeting quality control criteria in both samples. Two cross-sample GCTA-GREML analyses and linkage disequilibrium (LD) score regressions were conducted to assess genetic correlations across more than 50 years: Child versus adult height and child versus adult body mass index (BMI). Consistency of effects was tested using the recently proposed polygenic scoring method. Results: For height, GCTA-GREML and LD score indicated strong genetic stability between children and adults, 0.58 (0.16) and 1.335 (1.09), respectively. For BMI, both methods produced similarly strong estimates of genetic stability 0.75 (0.26) and 0.855 (0.49), respectively. In height, adult polygenic score explained 60% of genetic variance in childhood and 10% of variance in BMI. Conclusions: Here we replicated and extended previous findings of longitudinal genetic stability in anthropometric traits to cross-cultural dimensions, and showed that for height but not BMI these variants are as important in childhood as they are in adulthood.</t>
  </si>
  <si>
    <t>S400-189</t>
  </si>
  <si>
    <t>SCOPUS_ID:85186425554</t>
  </si>
  <si>
    <t>10.1016/S2468-2667(23)00326-2</t>
  </si>
  <si>
    <t>Effect of calorie labelling in the out-of-home food sector on adult obesity prevalence, cardiovascular mortality, and social inequalities in England: a modelling study</t>
  </si>
  <si>
    <t>The Lancet Public Health</t>
  </si>
  <si>
    <t>Background: England implemented a menu calorie labelling policy in large, out-of-home food businesses in 2022. We aimed to model the likely policy impact on population-level obesity and cardiovascular disease mortality, as well as the socioeconomic equity of estimated effects, in the adult population in England. Methods: For this modelling analysis, we built a comparative assessment model using two scenarios: the current implementation scenario refers to actual deployment only in large (≥250 employees), out-of-home food businesses, whereas the full implementation scenario refers to deployment in every out-of-home food business. We compared each scenario with a counterfactual: the scenario in which no intervention is implemented (ie, baseline). For both scenarios, we modelled the impact of the policy through assumed changes in energy intake due to either consumer response or product reformulation by retailers. We used data from the Office for National Statistics and the National Diet and Nutrition Survey 2009–19, and modelled the effect over 20 years (ie, 2022–41) to capture the long-term impact of the policy and provided mid-period results after 10 years. We used the Monte Carlo approach (2500 iterations) to estimate the uncertainty of model parameters. For each scenario, the model generated the change in obesity prevalence and the total number of deaths prevented or postponed. Findings: The current implementation scenario was estimated to reduce obesity prevalence by 0·31 percentage points (absolute; 95% uncertainty interval [UI] 0·10–0·35), which would prevent or postpone 730 cardiovascular disease deaths (UI 430–1300) of the 830 000 deaths (UI 600 000–1 200 000) expected over 20 years. However, the health benefits would be increased if calorie labelling was implemented in all out-of-home food businesses (2·65 percentage points reduction in obesity prevalence [UI 1·97–3·24] and 9200 cardiovascular disease deaths prevented or postponed [UI 5500–16 000]). Results were similar in the most and the least deprived socioeconomic groups. Interpretation: This study offers the first modelled estimation of the impact of the menu calorie labelling regulation on the adult population in England, although we did not include a cost-effectiveness analysis. Calorie labelling might result in a reduction in obesity prevalence and cardiovascular disease mortality without widening health inequalities. However, our results emphasise the need for the government to be more ambitious by applying this policy to all out-of-home food businesses to maximise impact. Funding: European Research Council.</t>
  </si>
  <si>
    <t>S400-190</t>
  </si>
  <si>
    <t>SCOPUS_ID:67349200243</t>
  </si>
  <si>
    <t>10.1016/j.ypmed.2009.04.002</t>
  </si>
  <si>
    <t>Does TV viewing during family meals make a difference in adolescent substance use?</t>
  </si>
  <si>
    <t>['Adolescents', 'Family meals', 'Substance use']</t>
  </si>
  <si>
    <t>Objective: Family meals are important to adolescent health, but relatively little is known about TV viewing during family meals. The present paper examines the role that TV viewing during family meals may have on substance use behaviors among adolescents. Methods: A diverse sample of 806 Minnesota high school students (mean age 17.2 years) provided survey data in 2003-2004 regarding family meal frequency, substance use behavior and general family connectedness. General linear modeling was used to compare substance use across three family meal/TV categories in a cross-sectional analysis. Results: 28.6% of participants ate regular family meals without TV, and 27.5% had regular family meals while watching TV. Significant differences in cigarette smoking, alcohol and marijuana use were found for females reporting regular family meals versus no regular family meals, but did not differ significantly by TV viewing. No significant differences were found across groups of males. Conclusions: Results from this study indicate that TV viewing during family meals does not appear to attenuate the previously observed protective relationship between family meals and substance use for females. Benefits of family meals may be derived simply from having adolescents at home during mealtimes. © 2009 Elsevier Inc. All rights reserved.</t>
  </si>
  <si>
    <t>S400-191</t>
  </si>
  <si>
    <t>SCOPUS_ID:0036891768</t>
  </si>
  <si>
    <t>10.2105/AJPH.92.12.1994</t>
  </si>
  <si>
    <t>Knowledge of, attitudes toward, and experience of complementary and alternative medicine in Western medicine- and Oriental medicine-trained physicians in Korea</t>
  </si>
  <si>
    <t>Objectives. We compared knowledge of, attitudes toward, and experience with complementary and alternative medicine (CAM) among Western medicine-trained doctors (WMDs) and Oriental medicine-trained doctors (OMDs). Methods. In Korea, 502 WMDs and 500 OMDs were interviewed with a structured questionnaire. Results. OMDs held more favorable attitudes toward CAM than did WMDs. OMDs possessed a deeper understanding of and greater experience with CAM. OMDs more readily endorsed health beliefs congruent with CAM. Conclusions. In the future, CAM can be more readily used by OMDs than by WMDs. Because evidence for the effectiveness of CAM remains sparse, more research is needed for the prudent use of CAM in Korea. An education and training system for potential CAM providers remains to be developed.</t>
  </si>
  <si>
    <t>borderline, implicit</t>
  </si>
  <si>
    <t>I read this as a recommendaiton for future research</t>
  </si>
  <si>
    <t>S400-192</t>
  </si>
  <si>
    <t>SCOPUS_ID:79960548745</t>
  </si>
  <si>
    <t>10.1093/aje/kwr088</t>
  </si>
  <si>
    <t>Sex differences in subclinical atherosclerosis by race/ethnicity in the multi-ethnic study of atherosclerosis</t>
  </si>
  <si>
    <t>['calcification, physiologic', 'continental population groups', 'coronary vessels', 'sex', 'social class']</t>
  </si>
  <si>
    <t>Sex differences in cardiovascular disease mortality are more pronounced among non-Hispanic whites than other racial/ethnic groups, but it is unknown whether this variation is present in the earlier subclinical stages of disease. The authors examined racial/ethnic variation in sex differences in coronary artery calcification (CAC) and carotid intimal media thickness at baseline in 2000-2002 among participants (n = 6,726) in the Multi-Ethnic Study of Atherosclerosis using binomial and linear regression. Models adjusted for risk factors in several stages: age, traditional cardiovascular disease risk factors, behavioral risk factors, psychosocial factors, and adult socioeconomic position. Women had a lower prevalence of any CAC and smaller amounts of CAC when present than men in all racial/ethnic groups. Sex differences in the prevalence of CAC were more pronounced in non-Hispanic whites than in African Americans and Chinese Americans after adjustment for traditional cardiovascular disease risk factors, and further adjustment for behavioral factors, psychosocial factors, and socioeconomic position did not modify these results (for race/sex, Pinteraction = 0.047). Similar patterns were observed for amount of CAC among adults with CAC. Racial/ethnic variation in sex differences for carotid intimal media thickness was less pronounced. In conclusion, coronary artery calcification is differentially patterned by sex across racial/ethnic groups. © 2011 The Author.</t>
  </si>
  <si>
    <t>S400-193</t>
  </si>
  <si>
    <t>SCOPUS_ID:0028927818</t>
  </si>
  <si>
    <t>10.2105/AJPH.85.3.387</t>
  </si>
  <si>
    <t>Preventive services for the elderly: Would coverage affect utilization and costs under Medicare?</t>
  </si>
  <si>
    <t>Objectives. This study was undertaken to determine whether adding a benefit for preventive services to older Medicare beneficiaries would affect utilization end costs under Medicare. Methods. The demonstration used an experimental design, enrolling 4195 older, community-dwelling Medicare recipients. Medicare claims data for the 2 years in which the preventive visits occurred were compared for the intervention (n = 2105) and control (n=2090) groups. Monthly allowable charges for Part A and Part B services and number of hospital discharges end ambulatory visits were compared. Results. There were no significant differences in the charges between the groups owing to the intervention, although total charges were somewhat lower for the intervention group even when the cost of the intervention was included. Charges for both groups rose significantly as would be expected for en aging population. A companion paper describes a modest health benefit. Conclusions. There appears to be a modest health benefit with no negative cost impact. This finding gives en early quantitative basis for the discussion of whether to extend Medicare benefits to include a general preventive visit from a primary care clinician.</t>
  </si>
  <si>
    <t>S400-194</t>
  </si>
  <si>
    <t>SCOPUS_ID:0035879585</t>
  </si>
  <si>
    <t>10.1093/aje/154.2.106</t>
  </si>
  <si>
    <t>Parental occupational exposures to chemicals and incidence of neuroblastoma in offspring</t>
  </si>
  <si>
    <t>['Child', 'Dust', 'Hydrocarbons', 'Metals', 'Neuroblastoma', 'Occupational exposure']</t>
  </si>
  <si>
    <t>To evaluate the effects of parental occupational chemical exposures on incidence of neuroblastoma in offspring, the authors conducted a multicenter case-control study, using detailed exposure information that allowed examination of specific chemicals. Cases were 538 children aged 19 years who were newly diagnosed with confirmed neuroblastoma in 1992-1994 and were registered at any of 139 participating hospitals in the United States and Canada. One age-matched control for each of 504 cases was selected through random digit dialing. Self-reported exposures were reviewed by an industrial hygienist, and improbable exposures were reclassified. Effect estimates were calculated using unconditional logistic regression, adjusting for child's age and maternal demographic factors. Maternal exposures to most chemicals were not associated with neuroblastoma. Paternal exposures to hydrocarbons such as diesel fuel (odds ratio (OR) = 1.5; 95% confidence interval (Cl): 0.8, 2.6), lacquer thinner (OR = 3.5; 95% Cl: 1.6, 7.8), and turpentine (OR = 10.4; 95% Cl: 2.4, 44.8) were associated with an increased incidence of neuroblastoma, as were exposures to wood dust (OR = 1.5; 95% Cl: 0.8, 2.8) and solders (OR = 2.6; 95% Cl: 0.9, 7.1). The detailed exposure information available in this study has provided additional clues about the role of parental occupation as a risk factor for neuroblastoma.</t>
  </si>
  <si>
    <t>S400-195</t>
  </si>
  <si>
    <t>SCOPUS_ID:0027416466</t>
  </si>
  <si>
    <t>10.1016/s0749-3797(18)30769-4</t>
  </si>
  <si>
    <t>The effect of routine use of computer-generated preventive reminders in a clinical practice</t>
  </si>
  <si>
    <t>Computer-generated reminders for patients and physicians can increase provision of preventive services. On July 1, 1989, the Department of Family Medicine at the Medical University of South Carolina extended a computerized prevention reminder system to all physicians and adult patients in the department's clinical practice. The prevention program consisted of computer-generated physician reminders for any deficiencies in five preventive services at the time of patient visits, a personalized patient reminder letter sent just before a patient's birthday, and educational interventions. We defined adherence using a population-based approach, that is, the percentage of all eligible patients who had received the preventive services within the recommended period of time. The data revealed that the percentage of patients who received preventive services either increased or remained stable during the 12-month study period, which ended July 1, 1990. Adherence was greater for women, for older patients, and for those with Medicare/Medicaid and HMO insurance. We noted higher rates of adherence for all five preventive services, compared with baseline rates of adherence recorded on July 1, 1988. A population-based approach to prevention allows physicians to become more active in providing preventive care to patients. Computer-based reminder and tracking systems can integrate population-based prevention into practice.</t>
  </si>
  <si>
    <t>S400-196</t>
  </si>
  <si>
    <t>SCOPUS_ID:0025287962</t>
  </si>
  <si>
    <t>10.2105/AJPH.80.6.704</t>
  </si>
  <si>
    <t>Spanish version of the Nottingham Health Profile: Translation and preliminary validity</t>
  </si>
  <si>
    <t>We report the transfer into Spanish of a multidimensional measure of perceived health originally developed in Great Britain, the Nottingham Health Profile (NHP), and an assessment of the preliminary validity of the version is presented. Translation of the questionnaire was obtained from experts and from a Spanish monolingual lay group. Construct validity of the version was assessed in two studies: testing relationship of NHP scores to other self-reported measures of health in a general population survey; and comparing NHP scores for a group of frequent users and for a group of non-users of primary health services. Mean scores of NHP dimensions were higher for people with poorer self-reported health and higher for the frequent health services users than for the non-users. Findings suggest that the Spanish version of the NHP is culturally equivalent to the original questionnaire, and has a similar level of construct validity. Nevertheless, further research on reliability and on the weighting system is required to establish the equivalence of the Spanish version definitively.</t>
  </si>
  <si>
    <t>S400-197</t>
  </si>
  <si>
    <t>SCOPUS_ID:0036298731</t>
  </si>
  <si>
    <t>10.1016/S0749-3797(02)00447-6</t>
  </si>
  <si>
    <t>Estimating the cost of unmet HIV-prevention needs in the United States</t>
  </si>
  <si>
    <t>Background: Although new HIV infection cases have dropped from over 160,000 per year in the mid-1980s to 40,000 per year in the 1990s, HIV incidence has been relatively unchanged for a decade. This number of annual incident infections suggests that substantial, unmet HIV-prevention needs continue to fuel the HIV epidemic in the United States. Objectives: This study estimates the cost of addressing the unmet HIV-prevention needs in the United States and establishes a performance standard by estimating the number of HIV infections that would have to be prevented in order for these programs to be considered cost saving to society. Methods: Standard methods of cost and threshold analysis were employed in this study. Interventions needed to address unmet behavioral risks include services to reduce sexual risk of HIV infection, services to provide access to sterile syringes for people who cannot stop injecting drugs, HIV counseling and testing, and intensive preventive services to help HIV-seropositive people avoid transmitting the virus to others. Results: If brief interventions are utilized to address sexual behavior risk, the total program cost (over and above current resource levels) is just over $817 million; and if more expensive multisession, small-group interventions are used, the costs increase to over $1.85 billion. However, even the higher-cost program has a threshold of only 12,000 infections that must be prevented in order for the program to be considered a cost saving to society. Conclusions: Addressing the remaining unmet HIV-preventive needs in the United States will require a substantial commitment of resources. However, even a greatly expanded HIV-preventive program in the United States could pay for itself through savings in averted medical care costs. © 2002 American Journal of Preventive Medicine.</t>
  </si>
  <si>
    <t>S400-198</t>
  </si>
  <si>
    <t>SCOPUS_ID:0025338283</t>
  </si>
  <si>
    <t>10.2105/AJPH.80.6.734</t>
  </si>
  <si>
    <t>Pertussis immunization in eight-month-old children in North Carolina</t>
  </si>
  <si>
    <t>Between 1984 and 1987 reported pertussis cases in North Carolina increased threefold. Pertussis immunization rates were examined for those years in three one-year cohorts drawn from a random selection of North Carolina birth records. The percentage of children immunized with three DTPs at eight months of age was 58.1, 58.6, and 56.7 for the three cohorts. Only 20.5 percent of 117 reported pertussis cases in children 9-36 months of age during the last 10 years were adequately immunized. The low pertussis immunization rate may have contributed to the recent increase in pertussis cases in North Carolina.</t>
  </si>
  <si>
    <t>S400-199</t>
  </si>
  <si>
    <t>SCOPUS_ID:35748940346</t>
  </si>
  <si>
    <t>10.2105/AJPH.2007.113282</t>
  </si>
  <si>
    <t>Political will: A bridge between public health knowledge and action</t>
  </si>
  <si>
    <t>We propose a new model of the public health policy cycle: the Bridges From Knowledge to Action model. Many prevention initiatives require policy change to achieve broad implementation. Political will, society's commitment to support or alter prevention initiatives, is essential for securing the resources for policy change. We focus on the role of political will in developing and implementing public health policy that integrates scientific evidence and community participation.</t>
  </si>
  <si>
    <t>S400-200</t>
  </si>
  <si>
    <t>SCOPUS_ID:0032979016</t>
  </si>
  <si>
    <t>10.2105/AJPH.89.3.395</t>
  </si>
  <si>
    <t>Trends in body weight among American Indians: Findings from a telephone survey, 1985 through 1996</t>
  </si>
  <si>
    <t>Objectives. This study compared trends in body mass index for American Indian men and women across selected regions of the United States. Methods. Self-reported data were collected from the Behavioral Risk Factor Surveillance System. Results. Among women in the Dakotas, New Mexico and Arizona, and Washington and Oregon, average adjusted body mass index increased significantly by 0.1 to 0.2 units per year. Among men in Alaska and the Dakotas, average adjusted body mass index also increased significantly by 0.1 to 0.2 units each year. Conclusions. Because of rapid increases in average body mass index, some American Indian populations could be burdened by an increased incidence of chronic disease.</t>
  </si>
  <si>
    <t>S400-201</t>
  </si>
  <si>
    <t>SCOPUS_ID:0042836551</t>
  </si>
  <si>
    <t>10.1093/aje/kwg170</t>
  </si>
  <si>
    <t>Influence of participation in high-impact sports during adolescence and adulthood on bone mineral density in middle-aged men: A 27-year follow-up study</t>
  </si>
  <si>
    <t>['Adolescence', 'Bone density', 'Densitometry, x-ray', 'Exercise', 'Follow-up studies', 'Men', 'Sports']</t>
  </si>
  <si>
    <t>This study examined whether participation in high-impact sports during adolescence and adulthood contributes to bone health in males aged 40 years. Data were analyzed on 154 Belgian men aged 13 years at study onset in 1969 and aged 40 years at the end of the 27-year follow-up. In a second analysis, subjects were divided into three groups according to their sports participation history: participation during adolescence and adulthood in high-impact sports (HH; n = 18), participation during adolescence in high-impact sports and during adulthood in nonimpact sports or no sports (HN; n = 15), and participation during adolescence and adulthood in nonimpact sports or no sports (NN; n = 14). Body mass and impact loading during adulthood were significant predictors of total body bone mineral density (BMD) and lumbar spine BMD. Analysis of variance revealed significant differences for lumbar spine BMD between the HH (1.12 g/cm2) group and the HN (1.01 g/cm2) and NN (0.99 g/cm2) groups (F = 5.07, p = 0.01). Total body BMD was also higher in the HH group at age 40 years, but not significantly (F = 3.17, p = 0.0515). Covariance analyses for total body BMD and lumbar spine BMD, with body mass and time spent participating in sports as covariates, confirmed these results. Continued participation in impact sports is beneficial for the skeletal health of males aged 40 years.</t>
  </si>
  <si>
    <t>borderline, implictly suggests need for continued participation (a policy of a kind)</t>
  </si>
  <si>
    <t>I considered this to be a research recommendaiton</t>
  </si>
  <si>
    <t>S400-202</t>
  </si>
  <si>
    <t>SCOPUS_ID:0032535639</t>
  </si>
  <si>
    <t>10.1093/oxfordjournals.aje.a009609</t>
  </si>
  <si>
    <t>International variability in ages at menarche, first livebirth, and menopause</t>
  </si>
  <si>
    <t>['Menstruation', 'Reproductive history', 'Surveys']</t>
  </si>
  <si>
    <t>The occurrences and timing of reproduction-related events, such as menarche, first birth, and menopause, play major roles in a woman's life. There is a lack of comparative information on the overall patterns of the ages at and the timing between these events among different populations of the world. This study describes the variability in reproductive factors across populations in Europe, the Americas, Asia, Australia, and Africa. The study sample consisted of 18,997 women from 13 centers in 11 countries interviewed between 1979 and 1988 who comprised the control group in a World Health Organization international, multicenter case-control study of female cancers. All were surveyed with the same questionnaire and methodology. Overall, a typical woman in this study reached menarche at age 14 years and delivered her first live child 8 years later, at age 22. She was 50 years old at natural menopause and had had 36 years of reproductive life. The median ages at menarche varied across centers from 13 to 16 years. For all centers, the median age at first livebirth was 20 or more years, with the largest observed median (25 years) occurring in China. The median delay from menarche to first livebirth ranged from 5 to 11 years. Among the centers, the median age at natural menopause ranged between 49 and 52 years. In most populations, younger women had a first birth at a later age than did older women. This tendency was more accentuated in some populations. These results reveal, perhaps for the first time, the variability of reproductive histories across different populations in a large variety of geographic and cultural settings. Except for menopause, international variability is substantial for both biologically related variables (age at menarche) and culturally related variables (age at first birth). There is a generational effect, characterized by more variability of age at first birth and delay to first birth in the younger than in the older generations.</t>
  </si>
  <si>
    <t>S400-203</t>
  </si>
  <si>
    <t>SCOPUS_ID:33646471734</t>
  </si>
  <si>
    <t>10.1093/ije/dyl043</t>
  </si>
  <si>
    <t>Estimating the causes of 4 million neonatal deaths in the year 2000</t>
  </si>
  <si>
    <t>['Cause of death', 'Infant', 'Mortality', 'Newborn']</t>
  </si>
  <si>
    <t>Background: Information on cause-of-death is lacking for 98% of the world's 4 million neonatal deaths that occur in countries with inadequate vital registration (VR). Our aim was to estimate, by country for the year 2000, the distribution of neonatal deaths across programme-relevant causes including: asphyxia, preterm birth, congenital abnormalities, sepsis/pneumonia, neonatal tetanus, diarrhoea, and 'other'. Methods: Two sources of neonatal cause-of-death data were examined: VR datasets for countries with high coverage (&gt;90%), and published and unpublished studies identified through systematic searches. Multinomial regression was used to model the distribution of neonatal deaths. A VR-based model was used to estimate the distribution of causes of death for 37 low-mortality countries without national data. A study-based model was applied to obtain estimates for 111 high-mortality countries. Uncertainty estimates were derived using the jackknife approach. Results: Data from 44 countries with VR (96 797 neonatal deaths) and from 56 studies (29 countries, 13 685 neonatal deaths) met inclusion criteria. The distribution of reported causes of death varied substantially between countries and across studies. Based on 193 countries, the major causes of neonatal death globally were estimated to be infections (sepsis/pneumonia, tetanus, and diarrhoea, 35%), preterm birth (28%), and asphyxia (23%). Regional variation is important. Substantial uncertainty surrounds these estimates. Conclusions: This exercise highlights the lack of reliable cause-of-death data in the settings in which most neonatal deaths occur. Complex statistical models are not a panacea. Representative data with comparable case definitions and consistent hierarchical cause-of-death attribution are required. © 2006 Oxford University Press.</t>
  </si>
  <si>
    <t>this read like a stats or demogrpahic methods paper to me</t>
  </si>
  <si>
    <t>S400-204</t>
  </si>
  <si>
    <t>SCOPUS_ID:85205276146</t>
  </si>
  <si>
    <t>10.1093/eurpub/ckae088</t>
  </si>
  <si>
    <t>Environmental impact of dietary patterns in 10 European countries; a cross-sectional analysis of nationally representative dietary surveys</t>
  </si>
  <si>
    <t>Background. Changing dietary patterns is essential to reducing the substantial environment impact of agriculture and food production systems. We performed a cross-country comparison of dietary patterns and their associated environmental impact in Europe, including by sociodemographic factors. Methods. We analyzed pooled cross-sectional dietary records collected during 2010–18 from 10 European countries using the European Food Safety Authority (EFSA) Comprehensive European Food Database (16 508 adults; aged 18–79 years). Each food consumed was mapped to the corresponding environmental impact data using the SHARP Indicators Database, which provides greenhouse gas emission (GHGE) and land use (LU) values of approximately 900 foods. Total diet-associated environmental impact was calculated for each person and averaged across multiple days. Multivariable linear regression models were used to compare diet-associated GHGE and LU between population subgroups (gender, age, education and diet type) with country-level fixed effects. Results. The mean dietary GHGE and LU per capita ranged from 4.0 kgCO2/day and 5.0 m2*year/day in Spain to 6.5 kgCO2eq/day and 8.2 m2*year/day in France. Diet-related GHGE and LU (per kg/food) were lower among females (2.6 kgCO2eq/day, B = −0.08, P &lt; 0.01; 3.2 m2*year/day, B = −0.11, P &lt; 0.01), older population aged 66–79 (2.6 kgCO2eq/day, B = −0.03, P &lt; 0.01; 3.4 m2*year/day, B = −0.4, P &lt; 0.01), people following vegetarian diets (1.7 kgCO2eq/day, B = −0.07, P &lt; 0.01; 2.0 m2*year/day, B = −0.07, P &lt; 0.01), and higher among individuals with secondary education (2.7 kgCO2eq/day, B = 0.05, P &lt; 0.01; 3.6 m2*year/day, B = −0.05, P &lt; 0.01). Conclusions. Environmental footprints vary substantially across countries, dietary patterns and between different sociodemographic groups in Europe. These findings are crucial for the development of country-specific food policies aimed at promoting environmentally sustainable diets.</t>
  </si>
  <si>
    <t>S400-205</t>
  </si>
  <si>
    <t>SCOPUS_ID:85183513148</t>
  </si>
  <si>
    <t>10.1016/j.ypmed.2024.107878</t>
  </si>
  <si>
    <t>Prevalence of occupational injury and its associated factors among emergency department physicians in China: A large sample, cross-sectional study</t>
  </si>
  <si>
    <t>['Emergency department', 'Occupational injury', 'Physicians', 'Workplace exposures']</t>
  </si>
  <si>
    <t>Background: Medical personnel, particularly emergency department (ED) physicians, face a variety of occupational hazards. However, the current state of occupational injuries among ED physicians remains unknown. This study aimed to assess the occupational injury of Chinese ED physicians and to identify its associated factors. Methods: From July to August 2018, a cross-sectional survey was conducted in Chinese emergency departments. A structured questionnaire covering sociodemographic characteristics, individual health behaviours, and work-related characteristics was completed by 10,457 ED physicians. Binary logistic regression was used to analyse the factors associated with occupational injuries. Results: In this study, 81.13% of ED physicians reported occupational injuries in the previous 12 months. All participants who had experienced occupational injuries had suffered verbal violence. Among physicians who experienced at least one injury, 76.57% and 71.30% reported injuries sustained while moving patients and from falls, slips, and sprains during office visits, respectively. Occupational injuries were significantly associated with gender, education level, drinking behaviour, sleep quality, the frequency of night shifts per month, self-perceived physician shortage, and work-family conflict. Physicians who experienced effort–reward imbalance were at a higher risk of occupational injury. Conclusion: In China, occupational injuries are common among ED physicians. Individual factors as well as work-related factors are independently linked to occupational injuries. To reduce the rate of occupational injuries among ED physicians, health policymakers and healthcare facility managers should consider multi-injury interventions.</t>
  </si>
  <si>
    <t>S400-206</t>
  </si>
  <si>
    <t>SCOPUS_ID:85126656916</t>
  </si>
  <si>
    <t>10.1016/j.ypmed.2022.107019</t>
  </si>
  <si>
    <t>Human papilloma virus vaccination and cervical cancer screening coverage in managed care plans — United States, 2018</t>
  </si>
  <si>
    <t>['Cervical cancer screening', 'Human papilloma virus vaccination', 'Managed care plans', 'Quality measures']</t>
  </si>
  <si>
    <t>Human papilloma virus (HPV) vaccination for adolescents aged 11–12 years and cervical cancer screening for women aged 21–65 years are recommended to help prevent cervical cancer. The purpose of this study was to describe 2018 National Committee for Quality Assurance (NCQA) Healthcare Effectiveness Data and Information Set (HEDIS®) data for the United States on HPV vaccination and cervical cancer screening from 275 commercial preferred provider organizations (PPOs), 219 commercial health maintenance organizations (HMOs), and 204 Medicaid HMOs. The Centers for Disease Control and Prevention and NCQA analyzed the data in 2021. The HEDIS® measure for HPV vaccination was the percentage of male and female adolescents aged 13 years who completed HPV immunization (2– or 3–dose series) on or before their 13th birthday. The measure for cervical cancer screening was the percentage of women screened either with cervical cytology within the last 3 years for women aged 21–64 years or with cervical cytology/HPV co-testing within the last 5 years for women aged 30–64 years. Nationally, the mean rate for HPV vaccination in 2018 was 37.8% in Medicaid HMOs, 30.3% in commercial HMOs, and 24.9% in commercial PPOs. The mean rate for cervical cancer screening was 75.9% in commercial HMOs, 72.6% in commercial PPOs, and 60.3% among Medicaid HMOs. Medicaid HMOs reported higher HPV vaccination rates but lower cervical cancer screening rates than commercial plans. These differences raise questions about explanatory factors and how to improve prevention performance by plan category.</t>
  </si>
  <si>
    <t>S400-207</t>
  </si>
  <si>
    <t>SCOPUS_ID:3042584228</t>
  </si>
  <si>
    <t>10.1016/j.ypmed.2004.01.031</t>
  </si>
  <si>
    <t>Adolescent dairy consumption and physical activity associated with bone mass</t>
  </si>
  <si>
    <t>['Adolescent', 'Bone', 'Dairy', 'Ethnicity', 'Physical activity']</t>
  </si>
  <si>
    <t>Background. This study identifies key modifiable factors influencing Asian and White adolescent bone development. Cross-sectional analysis of baseline data of cohort. Methods. Three hundred and twenty-three girls were examined from age-eligible girls at Kaiser Permanente Oahu in Hawaii. Girls' age, ethnicity, Tanner stage, 3-day diet record, level of physical activity, anthropometry, and calcaneal bone status were obtained by questionnaire and measurement, respectively. Lunar Achilles calcaneal was used to measure calcaneal bone mass. Multiple regression was used for analysis of factors influencing bone mass. Results. The mean age of adolescents was 11.6 ± 1.5 years. Girls were generally ethnically mixed; the mean Asian ethnic proportion was 48% while White ethnic proportion was 43% and other ethnic proportion was 10%. Multiple regression explained 40.8% and 25.6% of the variation in calcaneal broadband ultrasound attenuation (BUA) and speed of sound (SOS), respectively, in a model where age, weight, biacromial breadth, Tanner pubic hair stage, Asian ethnicity, dairy intake, and physical activity positively influenced bone mass. Conclusions. Tanner pubic hair stage, ethnicity, and biacromial breadth had the greatest influence on SOS; while physical activity, body weight, and dairy product intake had the greatest influence on BUA. © 2004 The Institute For Cancer Prevention and Elsevier Inc. All rights reserved.</t>
  </si>
  <si>
    <t>S400-208</t>
  </si>
  <si>
    <t>SCOPUS_ID:84916897472</t>
  </si>
  <si>
    <t>10.1136/jech-2014-204020</t>
  </si>
  <si>
    <t>Preterm delivery among first-time Mexico-born mothers: A binational population-based comparison of deliveries in California and Mexico</t>
  </si>
  <si>
    <t>Background: While studies have attributed the favourable birth outcomes of Mexico-born mothers in the USA to a 'healthy immigrant effect' that confers protection to immigrants, a comparison of immigrants with the source population in Mexico has been lacking. We compared preterm delivery (PTD) rates of Mexicoborn immigrants who delivered in California with Mexico-born women who delivered in Mexico (WIMX) and with a subgroup who delivered in the five top immigrant sending states in Mexico. Methods: Using 2009 birth records, we selected all live-born singletons of primiparous WIMX (699 129) and immigrants in California (33 251). We examined the unadjusted and adjusted association between place of delivery and any PTD (&lt;37 weeks gestation), including PTD subcategories (early, moderate, late), using relative risks (RR) and 95% CIs. Multivariate models controlled for demographic and health system characteristics. Results: PTD rates were higher among immigrants in California (6.7%) than WIMX (5.8%) and compared to women in the sending states (5.5%). The unadjusted risk of any PTD (RR=1.17 (1.12 to 1.22)), early/ moderate PTD (&lt;34 weeks gestation; RR=1.27 (1.18 to 1.38)) and late PTD (34-36 weeks; RR=1.14 (1.08 to 1.19)) was higher for immigrants than for WIMX and remained higher when controlling for age, education and healthcare variables. Birth weight &lt;1500 g was also higher among immigrants (RR=1.27 (1.14 to 1.44)). Similar patterns were observed when comparing women in the sending states. Conclusions: We found no evidence of a 'healthy immigrant effect'. Further research must assess the comparability of gestational-age data in Mexican and Californian birth certificates.</t>
  </si>
  <si>
    <t>S400-209</t>
  </si>
  <si>
    <t>SCOPUS_ID:85149681297</t>
  </si>
  <si>
    <t>10.1016/j.amepre.2023.01.036</t>
  </si>
  <si>
    <t>Widening Gaps and Disparities in the Treatment of Adolescent Alcohol and Drug Use Disorders</t>
  </si>
  <si>
    <t>Introduction: The overall prevalence of alcohol use disorders and drug use disorders in adolescents has been declining in recent years, yet little is known about treatment use for these disorders among adolescents. This study aimed to examine the patterns and demographics of treatment of alcohol use disorders, drug use disorders, and both conditions among U.S. adolescents. Methods: This study used publicly available data for adolescents aged 12–17 years from the annual cross-sectional surveys of the National Survey on Drug Use and Health, 2011–2019. Data were analyzed between July 2021 and November 2022. Results: From 2011 to 2019, fewer than 11%, 15%, and 17% of adolescents with 12-month alcohol use disorders, drug use disorders, and both conditions received treatment, respectively, with significant decreases in treatment use for drug use disorders (OR=0.93; CI=0.89, 0.97; p=0.002). Overall, treatment use in outpatient rehabilitation facilities and self-help groups was most common but decreased over the course of the study period. Extensive disparities in treatment use were further identified on the basis of adolescents’ gender, age, race, family structure, and mental health. Conclusions: To improve adolescent treatment use for alcohol and drug use disorders, assessments and engagement interventions that are gender specific, developmentally appropriate, culturally sensitive, and contextually informed are especially needed.</t>
  </si>
  <si>
    <t>S400-210</t>
  </si>
  <si>
    <t>SCOPUS_ID:33845253124</t>
  </si>
  <si>
    <t>10.2105/AJPH.2004.053744</t>
  </si>
  <si>
    <t>Infant mortality trends and differences between American Indian/Alaska Native infants and white infants in the United States, 1989-1991 and 1998-2000</t>
  </si>
  <si>
    <t>Objectives. To describe changes in infant mortality rates, including birthweight-specific rates and rates by age at death and cause. Methods. We analyzed US linked birth/infant-death data for 1989-1991 and 1998-2000 for American Indians/Alaska Native (AIAN) and White singleton infants at ≥20 weeks' gestation born to US residents. We calculated birth weight-specific infant mortality rates (deaths in each birthweight category per 1000 live births in that category), and overall and cause-specific infant mortality rates (deaths per 100 000 live births) in infancy (0-364 days) and in the neonatal (0-27 days) and postneonatal (28-364 days) periods. Results. Birthweight-specific infant mortality rates declined among AIAN and White infants across all birthweight categories, but AIAN infants generally had higher birthweight-specific infant mortality rates. Infant mortality rates declined for both groups, yet in 1998-2000, AIAN infants were still 1.7 times more likely to die than White infants. Most of the disparity was because of elevated postneonatal mortality, especially from sudden infant death syndrome, accidents, and pneumonia and influenza. Conclusions. Although birthweight-specific infant mortality rates and infant mortality rates declined among both AIAN and White infants, disparities in infant mortality persist. Preventable causes of infant mortality identified in this analysis should be targeted to reduce excess deaths among AIAN communities.</t>
  </si>
  <si>
    <t>I was on the fence, but they do talk about a spcific target for intervention</t>
  </si>
  <si>
    <t>S400-211</t>
  </si>
  <si>
    <t>SCOPUS_ID:84929603362</t>
  </si>
  <si>
    <t>10.1093/aje/kwu350</t>
  </si>
  <si>
    <t>Violent victimization, mental health, and service utilization outcomes in a cohort of homeless and unstably housed women living with or at risk of becoming infected with HIV</t>
  </si>
  <si>
    <t>['depressive disorder', 'HIV', 'partner violence', 'quality of life', 'rape']</t>
  </si>
  <si>
    <t>Most studies about the association between exposure to violence and higher psychological vulnerability have been cross-sectional in nature. Using longitudinal data from the Shelter, Health, and Drug Outcomes Among Women Study on 300 homeless or unstably housed women infected with or at risk of becoming infected with human immunodeficiency virus who were living in San Francisco, California, in 2008-2012, we examined the relationship between recent violent victimization and mental health status, mental health-related emergency department visits, and psychiatric hospitalization. We used generalized estimating equations to account for potentially confounding time-invariant and time-varying variables, including comorbid psychiatric conditions and lifetime history of child abuse. A total of 207 (69%) women experienced childhood abuse. The median number of psychiatric diagnoses per woman at baseline was 8 (interquartile range, 5-11). Recent exposure to violence was associated with lower mental health status (b =-1.85, 95% confidence interval:-3.02,-0.68) and higher risks of mental health-related emergency department visits (adjusted risk ratio = 2.96, 95% confidence interval: 1.51, 5.78) and psychiatric hospitalizations (adjusted risk ratio = 2.32, 95% confidence interval: 1.10, 4.91). We did not find strong evidence of a reciprocal relationship. Among homeless or unstably housed women with severe preexisting comorbid psychiatric conditions, recent violence has adverse mental health consequences. Reducing ongoing violence may improve mental health in this population.</t>
  </si>
  <si>
    <t>I did not read a policy recommendation here</t>
  </si>
  <si>
    <t>S400-212</t>
  </si>
  <si>
    <t>SCOPUS_ID:85042694988</t>
  </si>
  <si>
    <t>10.1016/j.ypmed.2018.02.019</t>
  </si>
  <si>
    <t>Attitudes towards tobacco product regulations and their relationship with the tobacco control policies</t>
  </si>
  <si>
    <t>['Attitudes', 'Tobacco Control', 'Tobacco Control Legislations', 'Tobacco Control Scale']</t>
  </si>
  <si>
    <t>The objective of this work is to describe the acceptability of some tobacco products regulations and to explore their relation with tobacco control legislation levels in Europe. We used data on tobacco control activities in Europe in 2007, 2010 and 2013 measured by the Tobacco Control Scale (TCS) and data regarding attitudes about tobacco control regulations (i.e. adding picture health warnings on all packages of tobacco products or increasing taxes on tobacco products) from the Special Eurobarometer of 2009, 2012 and 2014 (n = 80,831). We calculated the prevalence ratio of favorable attitudes towards tobacco products restrictions in the reference year 2009 vs. the most current year (i.e. 2009 vs 2014), and the effect of previous TCS scores on the attitudes towards tobacco products regulations adjusted for sociodemographic variables. Strong support for the studied tobacco products regulations, which modestly increased over time, was observed. A positive relation was generally observed between TCS scores and support for the studied tobacco products regulations at both the ecological and individual level. A positive correlation was found between TCS scores and support for increasing taxes on tobacco products (r sp :0.29; 95%CI: 0.10, 0.48) at the ecological level, while at the individual level, the positive association was more remarkable in the case of support for adding large health warning labels to packaging. In conclusion, support for the studied tobacco products regulations were positively related with European tobacco control levels of implementation both at the ecological and individual level.</t>
  </si>
  <si>
    <t>S400-213</t>
  </si>
  <si>
    <t>SCOPUS_ID:85194884968</t>
  </si>
  <si>
    <t>10.1007/s10654-024-01133-5</t>
  </si>
  <si>
    <t>Source-specific nitrate intake and all-cause mortality in the Danish Diet, Cancer, and Health Study</t>
  </si>
  <si>
    <t>['Meat', 'Mortality', 'Nitrate', 'Nitrite', 'Vegetables', 'Water']</t>
  </si>
  <si>
    <t>Introduction: Nitrate and nitrite are naturally occurring in both plant- and animal-sourced foods, are used as additives in the processing of meat, and are found in water. There is growing evidence that they exhibit a spectrum of health effects, depending on the dietary source. The aim of the study was to examine source-dependent associations between dietary intakes of nitrate/nitrite and both all-cause and cause-specific mortality. Methods: In 52,247 participants of the Danish Diet, Cancer and Health Study, associations between source-dependent nitrate and nitrite intakes––calculated using comprehensive food composition and national drinking water quality monitoring databases––and all-cause, cardiovascular disease (CVD)-related, and cancer-related mortality over 27 years were examined using restricted cubic splines within Cox proportional hazards models adjusting for demographic, lifestyle, and dietary confounders. Analyses were stratified by factors hypothesised to influence the formation of carcinogenic N-nitroso compounds (namely, smoking and dietary intakes of vitamin C, vitamin E, folate, and polyphenols). Results: Plant-sourced nitrate intake was inversely associated with all-cause mortality [HRQ5vsQ1: 0.83 (0.80, 0.87)] while higher risks of all-cause mortality were seen for higher intakes of naturally occurring animal-sourced nitrate [1.09 (1.04, 1.14)], additive permitted meat-sourced nitrate [1.19 (1.14, 1.25)], and tap water-sourced nitrate [1.19 (1.14, 1.25)]. Similar source-dependent associations were seen for nitrite and for CVD-related and cancer-related mortality except that naturally occurring animal-sourced nitrate and tap water-sourced nitrate were not associated with cancer-related mortality and additive permitted meat-sourced nitrate was not associated with CVD-related mortality. No clear patterns emerged in stratified analyses. Conclusion: Nitrate/nitrite from plant sources are inversely associated while those from naturally occurring animal-sources, additive-permitted meat sources, and tap water-sources are positively associated with mortality.</t>
  </si>
  <si>
    <t>S400-214</t>
  </si>
  <si>
    <t>SCOPUS_ID:85061655307</t>
  </si>
  <si>
    <t>10.1016/j.ypmed.2019.02.004</t>
  </si>
  <si>
    <t>Tiempo de Vacunarte (time to get vaccinated): Outcomes of an intervention to improve HPV vaccination rates in a predominantly Hispanic community</t>
  </si>
  <si>
    <t>['Hispanic population', 'HPV education', 'HPV prevention', 'HPV vaccination completion', 'Promontora']</t>
  </si>
  <si>
    <t>The purpose of this study was to evaluate effects of a culturally tailored evidence-based HPV vaccine educational intervention on psychosocial factors and vaccine completion in a largely low-income Hispanic population. Our study is a prospective community based intervention utilizing a prepost design. We recruited individual's dwelling in a border community aged 18–26 years or parents/guardians of children aged 9–17 years who had not completed the HPV vaccine series. We recruited 2380 participants between June 2015 and February 2018. We included 1796 participants in the final analysis. Mean age of the sample was 22.8 years (SD2.60). Majority of participants 63.99 were female and self-identified as Hispanic (97.4%). A total of 3192 vaccines were administered with an overall vaccine completion rate of 39.8%; 31.6% among adult participants compared to 48.7% among children. The Intervention significantly improved HPV knowledge by 61.66%, HPV awareness by 19.45%, Intention to vaccinate by 13.85%. For both adults and children being born in Mexico significantly improved the odds of vaccine completion (AOR: 2.154 95% CI: 1.439–3.224), while for adults only pre-intervention perceived benefits remained significant (AOR 1.101, CI: 1.002–1.210) and in children the main factor was parental perceived susceptibility of their child (AOR: 1.257 CI: 1.001–1.578). A Community based multicomponent HPV vaccine intervention significantly improved HPV immunization rates in a largely Hispanic population. Factors that affect completion of the HPV series are different among adults and children.</t>
  </si>
  <si>
    <t>S400-215</t>
  </si>
  <si>
    <t>SCOPUS_ID:85057523318</t>
  </si>
  <si>
    <t>10.1097/EDE.0000000000000906</t>
  </si>
  <si>
    <t>Estimating sizes of key populations at the national level: Considerations for study design and analysis</t>
  </si>
  <si>
    <t>['Epidemiologic methods', 'HIV', 'Sex workers', 'Sexual and gender minorities']</t>
  </si>
  <si>
    <t>Background: National estimates of the sizes of key populations, including female sex workers, men who have sex with men, and transgender women are critical to inform national and international responses to the HIV pandemic. However, epidemiologic studies typically provide size estimates for only limited high priority geographic areas. This article illustrates a two-stage approach to obtain a national key population size estimate in the Dominican Republic using available estimates and publicly available contextual information. Methods: Available estimates of key population size in priority areas were augmented with targeted additional data collection in other areas. To combine information from data collected at each stage, we used statistical methods for handling missing data, including inverse probability weights, multiple imputation, and augmented inverse probability weights. Results: Using the augmented inverse probability weighting approach, which provides some protection against parametric model misspecification, we estimated that 3.7% (95% CI = 2.9, 4.7) of the total population of women in the Dominican Republic between the ages of 15 and 49 years were engaged in sex work, 1.2% (95% CI = 1.1, 1.3) of men aged 15-49 had sex with other men, and 0.19% (95% CI = 0.17, 0.21) of people assigned the male sex at birth were transgender. Conclusions: Viewing the size estimation of key populations as a missing data problem provides a framework for articulating and evaluating the assumptions necessary to obtain a national size estimate. In addition, this paradigm allows use of methods for missing data familiar to epidemiologists.</t>
  </si>
  <si>
    <t>S400-216</t>
  </si>
  <si>
    <t>SCOPUS_ID:0026323164</t>
  </si>
  <si>
    <t>10.2105/AJPH.81.11.1474</t>
  </si>
  <si>
    <t>Interpersonal violence-related injuries in an African-American community in Philadelphia</t>
  </si>
  <si>
    <t>Violence has been recognized as a significant health problem. This study describes fatal and nonfatal interpersonal violence-related injury events over 1 year in an indigent African-American community in Philadelphia. Information on inquiries was collected from emergency rooms, the Office of the Medical Examiner, and death certificate files. For persons aged 15 through 49 years, violence-related injury rates surpassed any other injury type. The overall violence-related injury rate was 28.7 per thousand population. Interpersonal violence-related injuries were important for the 0- to 4-year age group (9.19 injuries per 1000 population), and continued as a major cause of morbidity through age 59 (12.08 injuries per 1000 population). For more than half of the events, information from the emergency room chart was sufficient only to categorize the incident as a ''fight'' or that it was intentional; no further classification was possible.</t>
  </si>
  <si>
    <t>S400-217</t>
  </si>
  <si>
    <t>SCOPUS_ID:0025035565</t>
  </si>
  <si>
    <t>10.1093/ije/19.Supplement_1.S24</t>
  </si>
  <si>
    <t>Interactions of xenobiotics in the respiratory tract following non-inhalation routes of exposure</t>
  </si>
  <si>
    <t>Compounds of highly variable structure may induce toxic effects and tumours in the respiratory tract following peroral or parenteral administration in experimental animals. Such compounds are used in industrial processes or may be present in the food as contaminants or pesticide residues. This review gives examples of selective metabolism and toxicity of chemicals in different segments of the respiratory tract. Many of these compounds require metabolic activation to exert toxicity. Accordingly, the susceptibility of the respiratory tract to the effects of such agents may be influenced by other compounds modulating the activity of activating xenobiotic metabolizing enzymes. Dietary factors may alter the susceptibility to experimental lung carcinogenesis also via other mechanisms. As concluded from experimental data, the human lung may be exposed to a wide array of potentially toxic compounds present in the diet or the environment. Such exposures may constitute confounding factors in low-risk lung cancer epidemiology. © 1990 Oxford University Press.</t>
  </si>
  <si>
    <t>S400-218</t>
  </si>
  <si>
    <t>SCOPUS_ID:0031104752</t>
  </si>
  <si>
    <t>10.1006/pmed.1996.0129</t>
  </si>
  <si>
    <t>Preventive health behaviors among spousal caregivers</t>
  </si>
  <si>
    <t>['aged', 'caregivers', 'health behaviors', 'preventive health services', 'sense of control']</t>
  </si>
  <si>
    <t>Background. The physical and emotional burden of caring for a functionally impaired spouse may adversely affect the preventive health behavior of the caregiver. This study explores the relationship between caregiving and lifestyle health behaviors and use of preventive services. Methods. The Caregiver Health Effects Study identified spousal caregivers among a sample of more than 3,000 married, community-dwelling older persons, from four counties in the United States, who were enrollees in the Cardiovascular Health Study. High-level caregivers were defined as having a spouse with an ADL impairment (n = 212) and moderate-level caregivers, a spouse with one or more IADL impairments (n = 222). For each caregiver, a control, matched for age and gender, was selected (n = 385). Structured interviews were conducted in the home, following enrollment. Results. Being a high-level caregiver significantly increased the odds of not getting enough rest, not having enough time to exercise, not having time to rest to recuperate from illness, and forgetting to take prescription medications, compared with noncaregivers. These findings did not hold for moderate-level caregivers. The odds were not significantly different for either level of caregiver compared with noncaregivers for missing meals, missing doctor appointments, missing flu shots, and not refilling medications. Larger proportions of caregivers with a strong sense of control had good preventive health behaviors, compared with caregivers with a weak sense of control.</t>
  </si>
  <si>
    <t>S400-219</t>
  </si>
  <si>
    <t>SCOPUS_ID:0027769859</t>
  </si>
  <si>
    <t>10.1136/jech.47.6.497</t>
  </si>
  <si>
    <t>Validation of a severity index in female urinary incontinence and its implementation in an epidemiological survey</t>
  </si>
  <si>
    <t>Study objective - The aim was to validate a simple severity index of female urinary incontinence for subsequent use in an epidemiological survey. Design - The index was created by multiplying the reported frequency (four levels) by the amount of leakage (two levels). The resulting index value (1-8) was further categorised into slight (1-2), moderate (3-4), and severe (6-8). It was validated against a 48 hour 'pad weighing' test. Thereafter, an anonymous postal questionnaire survey was performed and the index was used to assess the severity of the leakage. A question about the impact of incontinence was also included. Setting - The outpatient clinic of the Department of Gynaecology and Obstetrics, Trondheim University Hospital and the rural community of Rissa, Norway. Participants - Altogether 116 incontinent women referred to the clinic by their GP and all 2366 adult women living in Rissa. Results - The difference in median pad weights between moderate and slight incontinence was 9g/24h (95% confidence interval 0-27). The corresponding difference between severe and moderate incontinence was 17g/24h (95% CI 5-30). In the epidemiological survey 29.4% reported urinary incontinence (response rate 77%). The prevalence tended to be highest in middle life and old age. Forty six per cent were classified as slight, 27% moderate, and 27% severe. There was a strong correlation between severity and impact (R = 0.59, p &lt; 0.001). Conclusion - The severity index may be a useful tool for assessing the severity of female urinary incontinence in epidemiological surveys. It is confirmed that urinary incontinence is very prevalent in adult women, but most should not be regarded as potential patients.</t>
  </si>
  <si>
    <t>S400-220</t>
  </si>
  <si>
    <t>SCOPUS_ID:0030972433</t>
  </si>
  <si>
    <t>10.1097/00001648-199705000-00016</t>
  </si>
  <si>
    <t>Cancer mortality among workers with benzene exposure</t>
  </si>
  <si>
    <t>['benzene', 'cohort study', 'exposure estimation', 'leukemia', 'multiple myeloma']</t>
  </si>
  <si>
    <t>We updated a cohort mortality study of 4,172 workers at a chemical plant to examine cancer mortality among workers exposed to low levels of benzene. Overall mortality [standardized mortality ratio (SMR) = 1.0; 95% confidence interval (CI) = 0.9-1.1] and cancer mortality (SMR = 1.0; 95% CI = 0.8-1.3) rates were at expected levels for production workers with benzene exposure. We observed elevated, albeit imprecise, rates of leukemia (SMR = 2.3; 95% CI = 0.7-5.3) and multiple myeloma (SMR = 2.3; 95% CI = 0.7-9.4) in this group of workers. The leukemias and multiple myelomas occurred predominantly among workers 20 or more years after first exposure. The leukemias were not restricted to acute myelogenous subtypes, and they occurred predominantly among workers hired before 1950 at exposure levels lower than previously reported. Leukemia (SMR = 1.3; 95% CI = 0.62.4) and multiple myeloma (SMR = 1.2; 95% CI = 0.3-2.9) rates were at expected levels among maintenance workers with intermittent high exposure to benzene. These findings provide evidence on both sides of the debate about whether low benzene exposure increases the risk of multiple myeloma and all types of leukemia.</t>
  </si>
  <si>
    <t>S400-221</t>
  </si>
  <si>
    <t>SCOPUS_ID:0029098399</t>
  </si>
  <si>
    <t>10.1097/00001648-199509000-00008</t>
  </si>
  <si>
    <t>Changes in dietary fat intake preceding the diagnosis of cancer</t>
  </si>
  <si>
    <t>['Bias', 'Dietary changes', 'Neoplasms']</t>
  </si>
  <si>
    <t>We studied changes in dietary tat intake preceding the diagnosis of cancer in 96 men diagnosed with cancer during the Coronary Primary Prevention Trial and Post-trial Follow-up. Diet was assessed semiannually by 24-hour recall for the duration of the trial. Dietary fat intake was elevated in the interval 12–24 months before diagnosis compared with the interval 24–36 months before diagnosis [6.9 gm per day; 95% confidence interval (CI) = 0.04–13.7]. The percentage of calories as fat was also elevated (1.9%; 95% CI = 0.34–3.4). Fat consumption decreased in the 0- to 12-month prediagnostic interval. The basis for the elevation is unclear, hut it may have been due to the metabolic effects of cancer before its diagnosis. Case-control studies of long-term diet may overestimate positive associations between dietary fat and cancer risk if the cases’ recall includes the prediagnostic period, during which fat intake is elevated. In analyses of prospective studies of dietary fat and cancer, data from within the first 2-3 years of baseline should he examined separately to evaluate the potential for bias introduced by the inclusion of measurements representing transient elevations in dietary fat intake. © 1995 Epidemiology Resources Inc.</t>
  </si>
  <si>
    <t>S400-222</t>
  </si>
  <si>
    <t>SCOPUS_ID:0034210822</t>
  </si>
  <si>
    <t>10.1093/oxfordjournals.aje.a010147</t>
  </si>
  <si>
    <t>Is systemic lupus erythematosus, amyotrophic lateral sclerosis, or fibromyalgia associated with Persian Gulf War service? An examination of Department of Defense hospitalization data</t>
  </si>
  <si>
    <t>['Amyotrophic lateral sclerosis', 'Fibromyalgia', 'Hospitalization', 'Lupus erythematosus', 'Military medicine', 'Persian Gulf syndrome', 'Systemic', 'Veterans']</t>
  </si>
  <si>
    <t>Since the Persian Gulf War ended in 1991, veterans have reported diverse, unexplained symptoms. Some have wondered if their development of systemic lupus erythematosus, amyotrophic lateral sclerosis, or fibromyalgia might be related to Gulf War service. The authors used Cox proportional hazard modeling to determine whether regular, active-duty service personnel deployed to the Persian Gulf War (n = 551,841) were at increased risk of postwar hospitalization with the three conditions compared with nondeployed Gulf War era service personnel (n = 1,478,704). All hospitalizations in Department of Defense facilities from October 1, 1988, through July 31, 1997, were examined. With removal of personnel diagnosed with any of the three diseases before August 1, 1991, and adjustment for multiple covariates, Gulf War veterans were not at increased risk of postwar hospitalization due to systemic lupus erythematosus (risk ratio (RR) = 0.94, 95% confidence interval (CI): 0.65, 1.35). Because of the small number of cases and wide confidence limits, the data regarding amyotrophic lateral sclerosis were inconclusive. Gulf War veterans were slightly at risk of postwar hospitalization for fibromyalgia (RR = 1.23, 95% CI: 1.05, 1.43); however, this risk difference was probably due to the Gulf War veteran clinical evaluation program beginning in 1994. These data do not support Gulf War service and disease associations.</t>
  </si>
  <si>
    <t>S400-223</t>
  </si>
  <si>
    <t>SCOPUS_ID:70350221936</t>
  </si>
  <si>
    <t>10.1136/jech.2008.081208</t>
  </si>
  <si>
    <t>Costs of Mediterranean and western dietary patterns in a Spanish cohort and their relationship with prospective weight change</t>
  </si>
  <si>
    <t>Background: There is a scarcity of studies evaluating the relationship between food costs and adherence to different food patterns and obesity. Methods: This was a dynamic cohort of Spanish university graduates (n=17 197 for the cross-sectional baseline assessment and n=11 195 for the prospective follow-up analyses). Mean age was 38.6 (SD 12.2) years, and 60% of participants were women. A 136-item food frequency questionnaire previously validated in Spain was used. Principal component analysis (PCA) was used to derive dietary patterns. Average cost of food was calculated from official Spanish government data. Self-reported weight was previously validated in the cohort. Body weight was assessed both at baseline and during follow-up. Results: PCA identified two dietary patterns, designated as western and Mediterranean. Participants with the highest scores on the western dietary pattern (fifth quintile vs first quintile) spent less money (-€0.64 (-$0.80) per 1000 kcal (95% CI -€0.68 to -€0.61, p for trend &lt;0.001)) on their daily food costs, whereas the opposite was true for the Mediterranean dietary pattern (+€0.71 (+$0.90) (95% CI +€0.67 to +€0.74, p for trend &lt;0.001). After adjusting for dietary pattern scores and other potential confounders, higher daily food costs were significantly associated with greater weight gain. Conclusions: These data suggest that a Mediterranean dietary pattern is more expensive to follow than a western dietary pattern. This economic barrier should be considered when counselling patients about following a healthy diet because cost may be a prohibitive factor.</t>
  </si>
  <si>
    <t>S400-224</t>
  </si>
  <si>
    <t>SCOPUS_ID:84922386467</t>
  </si>
  <si>
    <t>10.1093/aje/kwu276</t>
  </si>
  <si>
    <t>A cautionary note about estimating effects of secondary exposures in cohort studies</t>
  </si>
  <si>
    <t>['Bias (epidemiology)', 'Cohort studies', 'Directed acyclic graph', 'Epidemiologic methods', 'Oversampling']</t>
  </si>
  <si>
    <t>Cohort studies are often enriched for a primary exposure of interest to improve cost-effectiveness, which presents analytical challenges not commonly discussed in epidemiology. In this paper, we use causal diagrams to represent exposure-enriched cohort studies, illustrate a scenario wherein the risk ratio for the effect of a secondary exposure on an outcome is biased, and propose an analytical method for correcting for such bias. In our motivating example, maternal smoking (Z) is a cause of fetal growth restriction (X), which subsequently affects preterm birth (Y) (i.e., Z → X → Y); strong positive associations exist between both Z, X and X, Y; and enrichment for X increases its prevalence from 10% to 50%. In the X-enriched cohort, unadjusted and X-adjusted analyses lead to bias in the risk ratio for the total effect of Z on Y. After application of inverse probability weights, the bias is corrected, with a small loss of efficiency in comparison with a same-sized study without X-enrichment. With increasing interest in conducting secondary analyses to reduce research costs, caution should be employed when analyzing studies that have already been enriched, intentionally or unintentionally, for a primary exposure of interest. Causal diagrams can help identify scenarios in which secondary analyses may be biased. Inverse probability weights can be used to remove the bias.</t>
  </si>
  <si>
    <t>S400-225</t>
  </si>
  <si>
    <t>SCOPUS_ID:0026785623</t>
  </si>
  <si>
    <t>10.1136/jech.46.5.532</t>
  </si>
  <si>
    <t>Prediction of general practice workload from census based social deprivation scores</t>
  </si>
  <si>
    <t>Study objective - The aim was to compare the ability of census based social deprivation scores devised by Jarman, Carstairs, and Townsend to predict workload in general practice. Design - This was a prospective study of 140 050 patients registered with general practices over one year from 1 July 1981 (Third National Morbidity Survey). Main outcome measures were workload score for each patient, defined as a weighted sum of consultations at the surgery and consultations elsewhere, excluding preventive procedures. Setting - 25 general practices in England and Wales. Main results - In multivariate analyses the Jarman, Carstairs, and Townsend indices all predicted workload, but the Townsend index was the best predictor, with both housing tenure and car ownership being strong predictors of workload. The overcrowding and geographical mobility variables used in the Jarman index did not predict increased workload. The weighting assigned to children under five by the Jarman index underestimated the additional workload this group generated. Conclusions - For identifying social pressures on general practice workload the Jarman index is less valid than other census based scores because it fails to include car ownership and housing tenure. A more rational scheme for compensating general practitioners would directly weight the capitation fee for children aged under five years and allocate current deprivation payments according to the Townsend index or a similar score. This would redistribute resources from London to deprived areas in northern England.</t>
  </si>
  <si>
    <t>S400-226</t>
  </si>
  <si>
    <t>SCOPUS_ID:85202584433</t>
  </si>
  <si>
    <t>10.1016/j.ypmed.2024.108096</t>
  </si>
  <si>
    <t>Association of immigrant status with self-rated health in Spain: 2014–2020</t>
  </si>
  <si>
    <t>['Immigrant status', 'Self-rated health', 'Sex/gender', 'Social inequalities', 'Social support']</t>
  </si>
  <si>
    <t>Objective: To examine inequalities in self-rated health between immigrant and native populations in 2014 and 2020, and whether these inequalities vary by sex/gender and social support. Methods: This cross-sectional study used information from adults aged ≥18 years who participated in the European Health Interview Survey in Spain in 2014 and 2020. Self-rated health was specified as good or bad/poor. Immigration status and length of stay were considered to specify the exposure. Poisson regression was used to estimate prevalence ratios (PR) and 95% confidence intervals (CI) in each survey. Interaction terms between immigration status and survey; and immigration status, survey, and sex/gender or social support were tested. Results: The adjusted analyses showed that when compared with Spanish native adults, immigrants with 6–15 years residing in Spain had a 1.34 (95%CI:1.18, 1.53) greater probability of rating their health as bad/poor in 2014. This probability was 1.48 (95%CI:1.28, 1.75) in 2020. No heterogeneity was observed for the associations of immigrant status/length of stay with self-rated health for sex/gender or social support in either survey (p-interactions for sex/gender: 0.41 and social support: 0.71). Conclusion: Given the growth of the immigrant population in Spain and the importance of immigration as a social determinant of health, these findings call attention to a deeper examination of inequalities, with the aim of identifying potential factors leading to bad/poor rating of health over time.</t>
  </si>
  <si>
    <t>I think they call for more research?</t>
  </si>
  <si>
    <t>S400-227</t>
  </si>
  <si>
    <t>SCOPUS_ID:0028200351</t>
  </si>
  <si>
    <t>10.1093/ije/23.3.592</t>
  </si>
  <si>
    <t>Should years lost always be equated with life expectancy?</t>
  </si>
  <si>
    <t>Background. The 'years lost' by a person dying prematurely from some cause is usually equated with life expectancy at the age of death derived from a life table for either the general population or a population in which the cause does not operate. It is suggested that this procedure may not always be valid.Methods. The calculation of years lost by indMduals dying prematurely from smoking-related deaths is taken as an example using data from the American Cancer Society Cancer Prevention Study (ACS CPS II) and from Peto et al. An alternative hypothesis, whereby smoking advances the age of death by an amount considerably less than the life expectancy, is examined.Results. It is shown that when smoking-related deaths are removed from the ACS CPS II data, the life expectancy of the smokers is still less than that of the non-smokers. Secondly, it Is demonstrated that, If the alternative hypothesis is used to predict a survival curve in the absence of smoking, It would be incorrect to equate years lost with life expectancy calculated from that curve.Conclusion. Years lost cannot automatically be equated with life expectancy. In the case of smoking, estimates of years lost must still be subject to considerable uncertainty. Further research Is needed to see if smokers dying at a given age have comparable physical and social characteristics to all smokers IMng at that age. © 1994 International Epidemioloigy Association.</t>
  </si>
  <si>
    <t>S400-228</t>
  </si>
  <si>
    <t>SCOPUS_ID:0025365959</t>
  </si>
  <si>
    <t>10.1016/0091-7435(90)90024-E</t>
  </si>
  <si>
    <t>Diet and coronary heart disease risk factors in a population with varied intake</t>
  </si>
  <si>
    <t>The relationship between consumption of foods high in saturated fats and cholesterol and a number of coronary heart disease risk factors (blood pressure, serum glucose, serum cholesterol, and triglycerides) was analyzed in a large sample (4,917) of Italian men and women, ages 20-59 years. The dietary habits of the participants were ascertained with a food frequency questionnaire. Intake of atherogenic foods (foods high in cholesterol and saturated fats) was evaluated for each participant. In both sexes, systolic blood pressure, serum glucose, and serum cholesterol increased with higher consumption of atherogenic foods. These findings were independent of any possible confounding effect of age, adiposity, alcohol intake, and cigarette smoking. The present article confirms previous findings that consumption of foods high in saturated fats and cholesterol is associated with an increased risk for atherosclerosis. © 1990.</t>
  </si>
  <si>
    <t>S400-229</t>
  </si>
  <si>
    <t>SCOPUS_ID:85042707770</t>
  </si>
  <si>
    <t>10.1093/ije/dyx095</t>
  </si>
  <si>
    <t>Maternal consumption of artificially sweetened beverages during pregnancy, and offspring growth through 7 years of age: A prospective cohort study</t>
  </si>
  <si>
    <t>['Artificially sweetened beverages', 'Obesity', 'Pregnancy', 'Sugar-sweetened beverages']</t>
  </si>
  <si>
    <t>Background: Artificial sweeteners are widely replacing caloric sweeteners. Data on long-term impact of artificially sweetened beverage (ASB) consumption during pregnancy on offspring obesity risk are lacking. We prospectively investigated intake of ASBs and sugar-sweetened beverages (SSBs) during pregnancy in relation to offspring growth through age 7 years among high-risk children born to women with gestational diabetes. Methods: In a prospective study of 918 mother-singleton child dyads from the Danish National Birth Cohort, maternal dietary intake was assessed by a food frequency questionnaire during pregnancy. Offspring body mass index z-scores (BMIZ) and overweight/ obesity status were derived using weight and length/height at birth, 5 and 12 months and 7 years. Linear regression and Poisson regression with robust standard errors were used, adjusting for major risk factors. Results: Approximately half of women reported consuming ASBs during pregnancy and 9% consumed daily. Compared to never consumption, daily ASB intake during pregnancy was positively associated with offspring large-for-gestational age [adjusted relative risk (aRR) 1.57; 95% CI: 1.05, 2.35 at birth], BMIZ (adjusted b 0.59; 95% CI: 0.23, 0.96) and overweight/obesity (aRR 1.93; 95% CI; 1.24, 3.01) at 7 years. Per-serving-per-day substitution of ASBs with water during pregnancy was related to a lower overweight/ obesity risk at 7 years (aRR 0.83; 95% CI: 0.76, 0.91), whereas SSB substitution with ASBs was not related to a lower risk (aRR 1.14; 95% CI: 1.00, 1.31). Conclusions: Our findings illustrated positive associations between intrauterine exposure to ASBs and birth size and risk of overweight/obesity at 7 years. Data with longer follow-up are warranted.</t>
  </si>
  <si>
    <t>S400-230</t>
  </si>
  <si>
    <t>SCOPUS_ID:27744597027</t>
  </si>
  <si>
    <t>10.1007/s10654-005-3634-7</t>
  </si>
  <si>
    <t>Heterogeneity of prognostic profiles in non-small cell lung cancer: Too many variables but a few relevant</t>
  </si>
  <si>
    <t>['Follow up studies', 'Lung cancer', 'Non-small cell lung cancer', 'Prognostic research', 'Risk factor', 'Survival']</t>
  </si>
  <si>
    <t>Objective: Many prognostic factors, exceeding 150, for non-small cell lung cancer (NSCLC) are mentioned in the literature. The different statistical weight of the some variables at issue, their heterogeneity and their clinical uselessness is reviewed. Study design and setting: Survival analysis of a cohort of NSCLC operated (n = 1730, 1993-1997) was carried out utilizing different statistical approaches: Cox proportional hazard analysis (CPHA), logistic regression (LRA), and recursive partitioning (CART). Results: CPHA identified 13 prognostic variables and 11 LRA. Of the 17 possible variables, 10 are coincident. CART provided five different diagnostic groups but only three differentiated survival levels. Parsimonious models were constructed including only T and N cancer staging variables. Areas under the ROC curve of 0.68 and 0.68 were found for CPHA and LGA parsimonious models respectively, and 0.72 and 0.71 for complete models. Conclusion: Variables with a minimal impact on the respective models and thus with little or scarce predictive clinical repercussion were identified. Differences in the prognostic profile of survival can be caused by the different methodological approaches used. No relevant differences were found between the parsimonious and complete models. Although the amount of information managed is considerable, there continues to be a large predictive gap yet to be explained. © Springer 2005.</t>
  </si>
  <si>
    <t>S400-231</t>
  </si>
  <si>
    <t>SCOPUS_ID:85049076037</t>
  </si>
  <si>
    <t>10.1097/EDE.0000000000000715</t>
  </si>
  <si>
    <t>Association Between Long-term Exposure to Traffic-related Air Pollution and Inflammatory and Thrombotic Markers in Middle-aged Adults</t>
  </si>
  <si>
    <t>Background: Studies evaluating possible associations between long-term exposure to air pollution and inflammatory and thrombotic markers are limited. Methods: From 2009 to 2011, we monitored hematologic parameters and thrombotic markers in 402 volunteers 35–65 years of age who were recruited as the non-coronary heart disease (CHD) controls in a study of work-related factors and CHD in Taipei. We applied land-use regression models developed by the European Study of Cohorts for Air Pollution Effects to estimate the mean annual exposure of each participant to five air pollutants at their residence in Taipei, namely particulate matter (PM) of diameter &lt;10 μm (PM10) and 2.5 μm (PM2.5), the absorbance of PM2.5 (PM2.5 abs), nitrogen dioxide (NO2), and nitrogen oxide (NOx). Results: The mean annual exposures were 47.82 ± 4.78 µg/m3 for PM10, 29.08 ± 5.10 µg/m3 for PM2.5, and 2.04 ± 0.37 (10−5 m−1) for PM2.5 abs. Multivariate linear regression analyses showed that the mean percentage (95% confidence interval) of blood monocyte counts increased by 9.08% (1.61%, 16.54%) per 10 µg/m3 increase in PM10, by 16.28% (6.66%, 25.89%) per 1.0 × 10−5 m−1 increase in PM2.5 abs, by 8.28% (2.08%, 14.48%) per 20 µg/m3 increase in NO2, and by 2.84% (1.22%, 4.46%) per 10 µg/m3 increase in NOx. In addition, each 5 μg/m3 increase in PM2.5 was associated with 1.97% (0.02%, 3.92%) increases in fibrinogen. Conclusions: Long-term exposure to traffic-related air pollution is positively associated with subclinical inflammatory and thrombotic markers in middle-aged workers in Taipei.</t>
  </si>
  <si>
    <t>S400-232</t>
  </si>
  <si>
    <t>SCOPUS_ID:0035169424</t>
  </si>
  <si>
    <t>10.2105/AJPH.91.1.150</t>
  </si>
  <si>
    <t>Trends in adolescent suicide: Misclassification bias?</t>
  </si>
  <si>
    <t>Objectives. This study investigated the effect of misclassification of accidental deaths and undetermined deaths on age-, sex-, and race/ethnicity-specific adolescent suicide rates from 1979 through 1994. Methods. Official mortality data were used to present suicide mortality trends. Two estimates of misclassified suicides in other death categories were applied to calculate "corrected" trends of adolescent suicide. Results. The corrected trends showed a downward adjustment for Black adolescent males and young adolescents. This result does not, however, substantially alter the trend toward a recent increase in suicide in these groups. Conclusions. Despite misclassification, the true direction of trends in adolescent suicide is reflected in recent official data. However, suicide rates should continuously be tested for misclassification, mainly in populations with proportionately high accidental and undetermined death rates.</t>
  </si>
  <si>
    <t>their point is about data only?</t>
  </si>
  <si>
    <t>S400-233</t>
  </si>
  <si>
    <t>SCOPUS_ID:85084103403</t>
  </si>
  <si>
    <t>10.1093/EURPUB/CKZ122</t>
  </si>
  <si>
    <t>Education level and hospitalization for ambulatory care sensitive conditions: An education approach is required</t>
  </si>
  <si>
    <t>Background: Studies in several different countries and settings suggest that ambulatory care-sensitive conditions (ACSCs)-related hospitalizations could be associated more with socioeconomic variables than with the quality of primary healthcare services. The aim of the present study was to analyze the potential links between education levels or other social determinants and ACSC-related hospitalization rates. Methods: We analyzed a total of 467 504 records of ordinary discharges after acute hospitalization in 2015-16 for patients 20-74 years old residing in the Veneto Region. We calculated the prevention quality indicators (PQIs) developed by the Agency for Healthcare Research and Quality. Rate ratios (RRs) and 95% confidence intervals (95% CIs) were estimated with a set of Poisson regressions to measure the relative risk by sociodemographic level. Results: Hospitalizations for ACSCs accounted for 3.9% of all hospital admissions (18 436 discharges), and the crude hospitalization rate for ACSCs among 20- to 74-year-olds was 26.6 per 10 000 inhabitants (95% CI, 25.8-27.4). For all conditions, we found a significant association with formal education. In the case of the overall composite PQI#90, e.g. poorly educated people (primary school or no schooling) were at significantly higher risk of hospitalization for ACSCs than the better educated (RR, 4.50; 95% CI, 4.13-4.91). Conclusions: Currently available administrative data regarding ACSCs may be used effectively for reveal equity issues in the provision of health care. Our results indicate that an educational approach inside Primary Health Care could address the extra risk for preventable healthcare demands associated with poorly educated patients.</t>
  </si>
  <si>
    <t>S400-234</t>
  </si>
  <si>
    <t>SCOPUS_ID:7944224013</t>
  </si>
  <si>
    <t>10.1016/j.ypmed.2004.04.041</t>
  </si>
  <si>
    <t>Race, ethnicity, and sociocultural characteristics predict noncompliance with lipid-lowering medications</t>
  </si>
  <si>
    <t>['Dyslipidemia', 'Ethnicity', 'Race']</t>
  </si>
  <si>
    <t>Background. Sociocultural factors that predict noncompliance with lipid-lowering medications are not well understood. Methods. Interviews and medical record review were conducted for 510 patients treated with lipid-lowering medications. Compliance with lipid-lowering medications was measured by patients' self-assessment of medication-taking practices. Results. Adjusted for age and sex, there was a higher frequency of noncompliance among Black and Hispanic subjects. Adjusted for age, sex, and race/ethnicity, noncompliance was associated with medication side effects, feelings of sadness or depression, fair or poor health status, primary use of a language other than English, single or divorced status, fewer and less frequent contact with friends, children in the household, and lower education. Independent predictors of noncompliance in multivariate models were side effects (OR = 3.9, P &lt; 0.01), sadness or depression (OR = 1.9, P = 0.05), Black (OR = 3.7, P &lt; 0.01, vs. White), Hispanic (OR = 6.3, P &lt; 0.01, vs. White), single or divorced (OR = 2.1, P &lt; 0.01), children in the household (OR = 1.5 per child, P &lt; 0.01), and lack of health insurance (OR = 2.4, P = 0.05). Conclusions. Unmarried status, feelings of sadness or depression, lack of insurance, and children in the household were independently associated with poorer compliance with lipid-lowering medications in this urban population. Nonetheless, higher noncompliance among minority patients persisted independently of these and other specific social, cultural, and economic factors. © 2004 The Institute For Cancer Prevention and Elsevier Inc. All rights reserved.</t>
  </si>
  <si>
    <t>S400-235</t>
  </si>
  <si>
    <t>SCOPUS_ID:0035711043</t>
  </si>
  <si>
    <t>10.1006/pmed.2000.0788</t>
  </si>
  <si>
    <t>Associations between self-reported and objective physical environmental factors and use of a community rail-trail</t>
  </si>
  <si>
    <t>['Determinants', 'Environment', 'Geographic information system', 'Physical activity', 'Trails']</t>
  </si>
  <si>
    <t>Background. To effectively promote physical activity, researchers and policy makers have advocated for greater use of environmental approaches, such as the construction of community paths and trails. However, research on the use of these facilities is limited. Methods. In this cross-sectional community study, we examined associations between self-reported and objective physical environmental variables and use of the Minuteman Bikeway (Arlington, MA) in a random sample of 413 adults. Sociodemographic and perceived environmental variables were measured with a mail survey during September 1998. Geographic information system (GIS) data were used to geocode survey respondents' homes and create three objective environmental variables: distance to the Bikeway, steep hill barrier, and a busy street barrier. Results. In logistic models, age and female gender showed statistically significant inverse associations with Bikeway use over the previous 4-week period. Increases in self-reported (OR = 0.65) and GIS distance (OR = 0.57) were associated with decreased likelihood of Bikeway use. Absence of self-reported busy street (OR = 2.01) and GIS steep hill barriers (OR = 1.84) were associated with Bikeway use. Conclusions. Environmental barriers such as travel distance and hilly terrain should be considered when planning community trails. A better understanding of such factors may lead to more effective promotion of trail use. © 2001 American Health Foundation and Academic Press.</t>
  </si>
  <si>
    <t>S400-236</t>
  </si>
  <si>
    <t>SCOPUS_ID:0025825302</t>
  </si>
  <si>
    <t>10.2105/AJPH.81.4.497</t>
  </si>
  <si>
    <t>Mass flea outbreak at a child care facility: Case report</t>
  </si>
  <si>
    <t>Cat fleas, Ctenocephalides felis Bouchet, were collected at a Mississippi child care facility after reports of large numbers of adult fleas occurring on children and personnel. One building yielded 161 (99 percent) of the fleas collected. Urticarial lesions due to flea bites occurred on the legs of six children. Flea presence was due to cats occupying the crawl space. Fleas were eradicated by eliminating entry of cats and using residual insecticides throughout the facility.</t>
  </si>
  <si>
    <t>error- not all abstract outputted</t>
  </si>
  <si>
    <t>S400-237</t>
  </si>
  <si>
    <t>SCOPUS_ID:85020905991</t>
  </si>
  <si>
    <t>10.1093/eurpub/ckw263</t>
  </si>
  <si>
    <t>The effectiveness of current French health warnings displayed on alcohol advertisements and alcoholic beverages</t>
  </si>
  <si>
    <t>Background: Many countries use health warnings in an attempt to regulate alcohol consumption. However, there is a lack of conclusive evidence in the research on alcohol warnings to support decision-making on effective health policies. This study explores the effectiveness of two mandatory warnings introduced in France in 1991 and 2007: the first (Alcohol abuse is harmful) is displayed on alcohol advertisements; the second (a pictogram) on bottles. Given that advertising content regulations have been implemented in some countries to reduce the attractiveness of alcohol marketing (e.g. the Evin law in France), this research also aims to explore whether such regulations can improve the effectiveness of warnings. Methods: In-depth interviews were conducted with 26 French people aged 15-29 years. The effectiveness of health warnings was assessed in terms of recall, noticeability, credibility, comprehension, responsiveness, and ability to encourage moderate drinking and abstinence during pregnancy. Participants were shown alcohol advertisements and bottles that either followed or challenged content regulations. The data were analyzed using double manual coding and NVivo software. Results: While both warnings suffered from a lack of visibility and noticeability due to their size, location, and outdatedness and because of competition from marketing design elements, the warning on the advertisement that followed content regulations was most visible. Both warnings were considered to be informationally vague, lacking in credibility and ineffective in terms of making participants feel concerned and influencing consumption habits. Conclusions: Current French warnings are ineffective and require modification. Improvements are suggested regarding the design and content of warnings to help increase their effectiveness.</t>
  </si>
  <si>
    <t>S400-238</t>
  </si>
  <si>
    <t>SCOPUS_ID:0025844791</t>
  </si>
  <si>
    <t>10.1093/oxfordjournals.aje.a115822</t>
  </si>
  <si>
    <t>Decline in incidence of epidemic glucose intolerance in nauruans: Implications for the "thrifty genotype"</t>
  </si>
  <si>
    <t>['Diabetes mellitus', 'Genotype', 'Glucose tolerance test', 'Incidence', 'Non-insulin-dependent', 'Prevalence', 'Selection (genetics)']</t>
  </si>
  <si>
    <t>Trends in the prevalence and incidence of non-insulin-dependent diabetes mellitus and impaired glucose tolerance were studied in Micronesian Nauruans aged 20 years and above, by linking glucose tolerance data collected during population surveys performed in 1975/1976, 1982, and 1987. Based on World Health Organization criteria, the age-standardized prevalence of non-insulin-dependent diabetes mellitus has remained relatively constant (24.0% in 1987), but the prevalence of impaired glucose tolerance has decreased significantly from 21.1% (95% confidence interval (Cl) 17.0-25.3) in 1975/1976 to 8.7% (95% Cl 7.1-10.3) in 1987. Between the periods 1975/1976-1982 and 1982-1987, the incidence of progression from normal glucose tolerance to either impaired glucose tolerance (incidence rate ratio (IRR) = 0.55, p &lt;0.01) or non-insulin-dependent diabetes (IRR = 0.46, p &lt; 0.05) has decreased dramatically, while progression from impaired glucose tolerance to non-insulin-dependent diabetes has increased (IRR = 1.23). The overall age-standardized incidence of non-insulin-dependent diabetes has declined from 26.2 cases/1,000 person-years in 1975/1976-1982 to 22.5 cases/1,000 person-years in 1982-1987. As there were no changes in the frequency of recognized risk factors, the decline in incidence of glucose intolerance is probably due to the intensity of the epidemic in Nauru, which has already removed a high proportion of the genetically susceptible individuals from the pool with normal glucose tolerance. Coupled with the observations that mortality is higher and fertility lower in diabetic Nauwans across the age range, the observed decline in the incidence and prevalence of non-insulin-dependent diabetes mellitus and impaired glucose tolerance may presage a fail in the population frequency of the diabetic genotype, at least in its more severe form, as might be predicted on the basis of Neel's "thrifty genotype" hypothesis. © 1991 by The Johns Hopkins University School of Hygiene and Public Health.</t>
  </si>
  <si>
    <t>S400-239</t>
  </si>
  <si>
    <t>SCOPUS_ID:0036294015</t>
  </si>
  <si>
    <t>10.2105/AJPH.92.7.1168</t>
  </si>
  <si>
    <t>Assessment of a new approach to family planning services in rural Pakistan</t>
  </si>
  <si>
    <t>Objectives. In 1993, the government of Pakistan started a new approach to the delivery of contraceptive services by training literate married women to provide doorstep advice and supplies in their own and neighboring communities. This report assesses whether this community-based approach is starting to have an impact on contraceptive use in rural areas. Methods. A clustered nationally representative survey was used to collect data on contraceptive use and access to services in each cluster. Two-level logistic regression was applied to assess the effects of service access, after potential confounders were taken into account. Results. Married women living within 5 km of 2 community-based workers were significantly more likely to be using a modern, reversible method of contraception than those with no access (odds ratio = 1.74; 95% confidence interval = 1.11, 2.71). Conclusions. After decades of failure, the managers of the family planning program have designed a way of presenting modern contraceptives that is appropriate to the conditions of rural Pakistan. The new community-based approach should be steadily expanded.</t>
  </si>
  <si>
    <t>S400-240</t>
  </si>
  <si>
    <t>SCOPUS_ID:17944367766</t>
  </si>
  <si>
    <t>10.1006/pmed.2001.0875</t>
  </si>
  <si>
    <t>Promoting sun safety among zoo visitors</t>
  </si>
  <si>
    <t>['Recreational parks', 'Skin cancer prevention', 'Sun safety intervention', 'Zoological parks']</t>
  </si>
  <si>
    <t>Background. Each year, millions of children visit zoological parks, where they are exposed to long bouts of ultraviolet radiation (UVR). We conducted a study in the winter and replicated it in the summer to evaluate an intervention for reducing UVR exposure during the zoo visit. Methods. Each study used a nonequivalent control group design: one zoological site received the intervention and a second received evaluation only. Key outcome measures consisted of observed prevalence of hat use by exiting children (N = 8,721 and 8,524, respectively, in winter and summer studies) and purchase rates of sunscreen and hats in zoo gift shops. Intervention consisted of tip sheets for parents, children's activities, prompts, and discounts off the price of sunscreen and sun-protective hats. Results. In the summer study, sales of both sunscreen and target hats increased significantly at the intervention site relative to the control site, whereas in the winter study, only sunscreen sales at the intervention site had a significant (relative) increase. Children's hat use increased significantly at the intervention site, but only in the winter study. Conclusions. The multicomponent program was effective in promoting purchases of sun-safe items, but its impact on children's hat use was inconclusive. © 2001 American Health Foundation and Academic Press.</t>
  </si>
  <si>
    <t>S400-241</t>
  </si>
  <si>
    <t>SCOPUS_ID:0027248929</t>
  </si>
  <si>
    <t>10.1093/ije/22.3.543</t>
  </si>
  <si>
    <t>Acceptability of the tuberculosis service: Scale development</t>
  </si>
  <si>
    <t>Health workers require reliable, easily administered and scored measures to evaluate acceptability of a health service. A 13-item attitude scale was developed to determine acceptability of the tuberculosis (TB) service. The objectives of this study were to: ascertain reliability (internal consistency) of the scale and confirm, through factor analysis, that acceptability of the TB service was based on cognitive and affective reactions. The sample comprised 487 black adult interviewees (67 TB patients on ambulatory therapy and 420 non-TB community memberal from two urban townships in the Transvaal, South Africa. The reliability coefficient revealed a high level of internal consistency for the scale (r=0.84). A principal components analysis, with orthogonal and oblique rotations, was conducted. Two factors accounted for 45.4% of the variance. The highest loadings on Factor I involved an empathic dimension (friendly, helpful, encouraging and communicative). Factor II tended to focus on the organizational elements of the system, such as availability, consistency of information, length of waiting time and maintenance of contact. It was concluded that this scale was a reliable, easily administered and scored measure of acceptability, with underlying affective and cognitive components. © 1992 International Epidemiological Association.</t>
  </si>
  <si>
    <t>S400-242</t>
  </si>
  <si>
    <t>SCOPUS_ID:67049145290</t>
  </si>
  <si>
    <t>10.1016/j.amepre.2009.04.017</t>
  </si>
  <si>
    <t>Overweight in Children and Adolescents Associated with TV Viewing and Parental Weight. Project HeartBeat!</t>
  </si>
  <si>
    <t>Background: Parental obesity and TV viewing are risk factors for childhood obesity. This study assessed the association of children's TV viewing and computer use with body mass and examined whether parental weight status modified the association. Methods: Cross-sectional associations of parental weight status, hours of TV viewing and computer use, and children's body composition were studied in a subsample of 526 black and nonblack children, aged 8, 11, and 14 years at baseline, enrolled in Project HeartBeat!, a longitudinal study of cardiovascular disease risk factors, 1991-1995. BMI, fat-free mass (FFM), and percent body fat (PBF) were calculated from children's body composition measured at baseline. Children's TV viewing and computer use habits and parental height and weight were self-reported. Multivariate regression analysis was used in assessing inter-relations of parental weight status and child's TV viewing and computer use habits with BMI, FFM, PBF, and risk for overweight status (BMI ≥85th percentile), adjusting for age, gender, race, and Tanner stage. Results: Children of one or two overweight/obese parents watched an average of 22±6 minutes or 30±11 minutes more TV per day than children of normal-weight parents, respectively (both p&lt;0.01). In multivariate regression analyses, BMI and PBF increased significantly by 0.42 kg/m2 and 1.14% (both p&lt;0.001), respectively, for each hour of TV watched among children with overweight parents, but not for those with normal-weight parents (pinteraction&lt;0.05). Similar results were observed for total screen time. Conclusions: These study findings are consistent with a genetic contribution of parental weight; however, overweight/obese parents may also exhibit behavior patterns that negatively influence children's TV viewing and have an impact on child overweight status. The effect of parental BMI on children's BMI may have both a genetic and an environmental linkage. © 2009 American Journal of Preventive Medicine.</t>
  </si>
  <si>
    <t>S400-243</t>
  </si>
  <si>
    <t>SCOPUS_ID:0028665878</t>
  </si>
  <si>
    <t>10.1093/ije/23.6.1145</t>
  </si>
  <si>
    <t>Occupational exposure to polycyclic aromatic hydrocarbons and the risk of bladder cancer: A french case-control study</t>
  </si>
  <si>
    <t>Clavel J (INSERM U170, 16 avenue Paul Vaillant-Couturier, 94807 Villejuif Cedex, France), Mandereaul L, Limasset J-C, Hémon D and Cordler S. Occupational exposure to polycyclic aromatic hydrocarbons and the risk of bladder cancer: A French case-control study. International Journal of Epidemiology 1994; 23: 1145-1153. Background. The risk of bladder cancer has been shown to be increased in occupations which are likely to involve exposure to polycyclic aromatic hydrocarbons (PAH), but up to now, most studies have considered this exposure in terms of job title. Methods. A hospital-based case-control study of 658 male cases of bladder cancer and 658 male controls was earned out in five areas of France from 1984 to 1987. For each subject, occupational exposure to PAH was assessed from questionnaires by an expert according to a semi-quantitative index of exposure. Results. The overall odds ratio for PAH exposure, adjusted for smoking, coffee drinking and occupational exposure to aromatic amines was estimated at 1.3 (95% Cl: 1.0-1.7, P&lt; 0.05). A slight but clear dose-response relationship was observed, and the trend remained significant after adjustment for cumulative smoking, with odds ratios of 1.2 (95% Cl: 0.9-1.7), 1.4 (95% Cl: 0.9-2.2) and 1.8 (95% Cl: 0.8-3.9) for low, medium and high average exposures respectively compared to subjects unexposed to PAH (P for trend &lt; 0.05). Moreover, the association between bladder cancer and PAH exposure was also investigated in a category of smokers homogeneous with respect to their tobacco consumption. In this heavy-smoker group, a stronger association with PAH was detected. Conclusions. These results support the hypothesis of a causal relationship between occupational exposure to PAH and bladder cancer risk. © 1994 International Epidemiological Association.</t>
  </si>
  <si>
    <t>S400-244</t>
  </si>
  <si>
    <t>SCOPUS_ID:0029004262</t>
  </si>
  <si>
    <t>10.1093/ije/24.supplement_1.s113</t>
  </si>
  <si>
    <t>The Multifund and outcome research</t>
  </si>
  <si>
    <t>The UK health reforms, among other things, have allowed some family practitioners (‘fundholders’) to control part of the budget used to purchase secondary care for the patients registered with their practices. Some feared that this change in organization might threaten the equity of the National Health Service (NHS) by giving advantages to the patients of fundholding general practitioners (GPs). This has led to the formation of the first large GP ‘Multifund’ in the UK. Whilst the first small fundholding co-operatives were conceived simply as a way of improving the business efficiency of ordinary fundholding, the much larger Kingston and Richmond (K&amp;R) Multifund is a professional co-operative of fund-holding family practitioners who share a common management allowance, which controls £32.6 million per annum, about 20% of the public funds devoted to health care in its locality, and has a broader agenda. It sets out to end any two-tier system discriminating between the patients of fundholding and other practitioners within a locality by making it possible for all GPs to become fundholders within an open, democratic doctors’ co-operative. Its declared aims are to maintain equity and clinical integrity, to plan health care and to undertake scientific evaluation. Its overall goal is to preserve and improve upon the economic and ethical success of the British NHS. A brief evaluation is included which suggests that Multifund members believe their organization is currently meeting most of these aims. The essay argues for GP-led Multifund systems centred on outcome evidence. A new generalized global tool for measuring outcome, is being developed to assist in this process and it is briefly described here and is designed to facilitate: (1) the selection of cost-effective interventions, (2) the negotiation of appropriate funding from government and (3) the demonstration of ethical behaviour in rationing health provision within a limited budget. It is envisaged that the Multifund’s scope will be extended, to administer the majority of the funds available for health care, by involving all local primary health providers and becoming a ‘careholding’ consortium. This would mean obtaining local accountability through new community health forums and improving mutual trust through public professional affirmations. If all this is successful multifunding could become a community-centred model for the management of health service money which may in turn have international application. © 1995 International Epidemlological Association.</t>
  </si>
  <si>
    <t>S400-245</t>
  </si>
  <si>
    <t>SCOPUS_ID:85132281504</t>
  </si>
  <si>
    <t>10.1016/j.amepre.2021.12.028</t>
  </si>
  <si>
    <t>Predicting Homelessness Among U.S. Army Soldiers No Longer on Active Duty</t>
  </si>
  <si>
    <t>Introduction: The ability to predict and prevent homelessness has been an elusive goal. The purpose of this study was to develop a prediction model that identified U.S. Army soldiers at high risk of becoming homeless after transitioning to civilian life based on information available before the time of this transition. Methods: The prospective cohort study consisted of observations from 16,589 soldiers who were separated or deactivated from service and who had previously participated in 1 of 3 baseline surveys of the Army Study to Assess Risk and Resilience in Servicemembers in 2011–2014. A machine learning model was developed in a 70% training sample and evaluated in the remaining 30% test sample to predict self-reported homelessness in 1 of 2 Longitudinal Study surveys administered in 2016–2018 and 2018–2019. Predictors included survey, administrative, and geospatial variables available before separation/deactivation. Analysis was conducted in November 2020–May 2021. Results: The 12-month prevalence of homelessness was 2.9% (SE=0.2%) in the total Longitudinal Study sample. The area under the receiver operating characteristic curve in the test sample was 0.78 (SE=0.02) for homelessness. The 4 highest ventiles (top 20%) of predicted risk included 61% of respondents with homelessness. Self-reported lifetime histories of depression, trauma of having a loved one murdered, and post-traumatic stress disorder were the 3 strongest predictors of homelessness. Conclusions: A prediction model for homelessness can accurately target soldiers for preventive intervention before transition to civilian life.</t>
  </si>
  <si>
    <t>S400-246</t>
  </si>
  <si>
    <t>SCOPUS_ID:84875596512</t>
  </si>
  <si>
    <t>10.1093/aje/kws437</t>
  </si>
  <si>
    <t>Environmental exposure to metals and children's growth to age 5 years: A prospective cohort study</t>
  </si>
  <si>
    <t>['arsenic', 'body height', 'body weight', 'cadmium', 'child, preschool', 'growth', 'lead', 'prenatal exposure delayed effects']</t>
  </si>
  <si>
    <t>In this prospective cohort study, based on 1,505 mother-infant pairs in rural Bangladesh, we evaluated the associations between early-life exposure to arsenic, cadmium, and lead, assessed via concentrations in maternal and child urine, and children's weights and heights up to age 5 years, during the period 2001-2009. Concurrent and prenatal exposures were evaluated using linear regression analysis, while longitudinal exposure was assessed using mixed-effects linear regression. An inverse association was found between children's weight and height, age-adjusted z scores, and growth velocity at age 5 years and concurrent exposure to cadmium and arsenic. In the longitudinal analysis, multivariable-adjusted attributable differences in children's weight at age 5 years were-0.33 kg (95% confidence interval (CI):-0.60,-0.06) for high (≥95th percentile) arsenic exposure and-0.57 kg (95% CI:-0.88,-0.26) for high cadmium exposure, in comparison with children with the lowest exposure (≤5th percentile). Multivariable-adjusted attributable differences in height were-0.50 cm (95% CI:-1.20, 0.21) for high arsenic exposure and-1.6 cm (95% CI:-2.4,-0.77) for high cadmium exposure. The associations were apparent primarily among girls. The negative effects on children's growth at age 5 years attributable to arsenic and cadmium were of similar magnitude to the difference between girls and boys in terms of weight (-0.67 kg, 95% CI:-0.82,-0.53) and height (-1.3 cm, 95% CI:-1.7,-0.89). © 2013 The Author.</t>
  </si>
  <si>
    <t>S400-247</t>
  </si>
  <si>
    <t>SCOPUS_ID:0030971346</t>
  </si>
  <si>
    <t>10.1097/00001648-199707000-00007</t>
  </si>
  <si>
    <t>A method for timely assessment of influenza-associated mortality in the United States</t>
  </si>
  <si>
    <t>['Influenza', 'Models', 'Mortality', 'Pneumonia', 'Surveillance']</t>
  </si>
  <si>
    <t>Influenza-associated mortality has traditionally been estimated as the excess mortality above a baseline of deaths during influenza epidemic periods. Excess mortality estimates are not timely, because national vital statistics data become available after a period of 2-3 years. To develop a method for timely reporting, we used the 121 Cities Surveillance System (121 Cities), maintained at the Centers for Disease Control and Prevention, as an alternative data source. We fit a cyclical regression model to time series of weekly 121 Cities pneumonia and influenza deaths for 1972-1992. Seasonal excess mortality based on 121 Cities correlated well with the national data: for 18 (90%) of 20 seasons, our influenza epidemic severity index category approximated the result based on national vital statistics. We generated preliminary severity categories for the four recent seasons during 1992- 1996. We conclude that the 121 Cities Surveillance System can be used for the timely assessment of the severity of future influenza epidemics and pandemics. Timely pneumonia and influenza mortality reporting systems established in sentinel countries worldwide would help alert public health officials and allow prompt prevention and intervention strategies during future influenza epidemic and pandemic.</t>
  </si>
  <si>
    <t>S400-248</t>
  </si>
  <si>
    <t>SCOPUS_ID:84913549116</t>
  </si>
  <si>
    <t>10.1093/ije/dyu160</t>
  </si>
  <si>
    <t>The relationship of parents' cigarette smoking to outcome of pregnancy-implications as to the problem of inferring causation from observed associations</t>
  </si>
  <si>
    <t>['Birth weight', 'Congenital anomalies', 'Contraception', 'Low', 'Menarche', 'Menstruation', 'Mortality, neonatal', 'Pregnancy', 'Prenatal influences', 'Smoking']</t>
  </si>
  <si>
    <t>The relationship of parents' cigarette smoking to outcome of pregnancy-implications as to the problem of inferring causation from observed associations. Amer J Epidem 1971;93:443-456. Nearly 10 000 white and more than 3000 black women were interviewed early in pregnancy on a variety of medical, genetic, environmental, and behavior variables. The increase in the incidence of low-birth-weight among infants of smoking mothers was confirmed. However, a number of paradoxical findings were observed which raise doubts as to causation. Thus, no increase in neonatal mortality was noted. Rather, the neonatal mortality rate and the risk of congenital anomalies of low-birthweight infants were considerably lower for smoking than for nonsmoking mothers. These favorable results cannot be explained by differences in gestational age, nor does a "displacement" hypothesis appear reasonable. Among other findings which could not easily be explained: The healthiest low-birth-weight infants were found for couples where the wife smoked and her husband did not smoke; the most vulnerable were produced by couples where the wife did not smoke and the husband smoked. There were great differences in mode-of-life characteristics between smokers and nonsmokers. The latter were more likely to use contraceptive methods, to plan the baby, less likely to drink coffee and hard liquor, and in general appeared to live at a much slower and moderate pace than the smokers. Most puzzling difference is that of age at menarche, which was lower for smoking mothers. These paradoxical findings raise doubts and argue against the proposition that cigarette smoking acts as an exogenous factor which interferes with intrauterine development of the fetus.</t>
  </si>
  <si>
    <t>S400-249</t>
  </si>
  <si>
    <t>SCOPUS_ID:0026647044</t>
  </si>
  <si>
    <t>10.2105/AJPH.82.7.1023</t>
  </si>
  <si>
    <t>Carcinogens in tobacco smoke: Benzo[a]pyrene from Canadian cigarettes and cigarette tobacco</t>
  </si>
  <si>
    <t>We evaluated the benzo[a]pyrene (BaP) content in the smoke from 35 brands of Canadian cigarettes and 5 brands of Canadian tobaccos for roll-your-own cigarettes. For the cigarettes, mean values of BaP ranged from 3.36 ng to 28.39 ng per cigarette, roughly in proportion with declared tar values. The relationship between declared tar and yields of BaP, however, does not allow accurate prediction of one from the other. For the tobaccos, mean BaP values ranged from 22.92 ng to 26.27 ng (average, 24.7 ng) per cigarette. The implications of these findings are discussed with respect to overall exposure.</t>
  </si>
  <si>
    <t>S400-250</t>
  </si>
  <si>
    <t>SCOPUS_ID:0031408841</t>
  </si>
  <si>
    <t>10.1016/s0749-3797(18)30092-8</t>
  </si>
  <si>
    <t>State Health Department and University evaluation of North Carolina's Maternal Outreach Worker Program</t>
  </si>
  <si>
    <t>Introduction: The Maternal Outreach Worker (MOW) Program is a social support intervention using lay helpers to provide support, health education, and outreach to Medicaid eligible women at risk for poor pregnancy and parenting outcomes. State Health Department and University collaborators designed a two-pronged evaluation comprised of programwide and interview study components to assess the impact of the program on pregnancy outcomes, health behaviors, and infant health status. Methods: Programwide evaluation data are based on 1992-1995 N.C. birth files for the original 24 participating counties and include 1,726 MOW participant births and 12,988 comparison births whose records were linked to birth files and met the study criteria. For the interview study 373 MOW participants and 332 comparison women were personally interviewed three times: during pregnancy, one month postpartum, and one year after delivery. Results: Risk factors associated With poor pregnancy and parenting outcomes were greater among MOW participants than comparisons in both the programwide and intensive study components. Caucasian MOW participants had slightly higher rates of adequate prenatal care. African Americans were found to have less adequate prenatal care. Fewer than expected LBW and VLBW births were observed for African- American MOW participants. MOW Program participation did not affect the utilization of health and social services for infants. African Americans, regardless of whether they received MOW services, fared better than Caucasians in terms of having their pregnancy needs fulfilled. Conclusions: Findings show the need to further explore appropriate measures of maternity support program outcomes and indicate inconsistent program benefit among subpopulations.</t>
  </si>
  <si>
    <t>S400-251</t>
  </si>
  <si>
    <t>SCOPUS_ID:85114135037</t>
  </si>
  <si>
    <t>10.1016/j.amepre.2021.03.023</t>
  </si>
  <si>
    <t>Racial/Ethnic and Socioeconomic Disparities in Adult Vaccination Coverage</t>
  </si>
  <si>
    <t>Introduction: Adults from racial and ethnic minorities and low-income groups are disproportionately affected by vaccine-preventable diseases. The objective of this study is to examine the trends in adult vaccination coverage in the U.S. by race/ethnicity and SES from 2010 to 2019. Methods: Temporal trends in influenza; pneumococcal; herpes zoster; and tetanus, diphtheria, and acellular pertussis vaccination coverage were examined by race/ethnicity and SES in 2020 using the National Health Interview Surveys from 2010 to 2019. Results: Influenza vaccination coverage differed by race/ethnicity among adults aged ≥65 years (61.4% for Black, 63.9% for Hispanic, 71.9% for Asian, and 72.4% for White adults). Race/ethnicity, household income, education level, and health insurance type were significantly associated with receipt of influenza; pneumococcal; tetanus, diphtheria, and acellular pertussis; and zoster vaccinations among adults aged ≥65 years in a multivariable-adjusted regression model. Socioeconomic differences in influenza vaccine uptake narrowed among adults aged 18–64 years from 2010 to 2019. By contrast, racial/ethnic and socioeconomic differences in vaccine uptake persisted from 2010 to 2019 among adults aged ≥65 years. Conclusions: Racial and ethnic disparities in vaccine uptake persisted over the last decade. Socioeconomic disparities in influenza vaccine coverage narrowed among adults aged 18–64 years; however, disparities persisted among adults aged ≥65 years. Efforts are urgently needed to achieve equity in immunization rates.</t>
  </si>
  <si>
    <t>S400-252</t>
  </si>
  <si>
    <t>SCOPUS_ID:84937517224</t>
  </si>
  <si>
    <t>10.1016/j.amepre.2015.02.002</t>
  </si>
  <si>
    <t>Assessment of the School Nutrition Environment: A Study in Australian Primary School Canteens</t>
  </si>
  <si>
    <t>Introduction Schools represent a valuable setting for interventions to improve children's diets, as they offer structured opportunities for ongoing intervention. Modifications to the school food environment can increase purchasing of healthier foods and improve children's diets. This study examines the availability of healthy food and drinks, implementation of pricing and promotion strategies in Australian primary school canteens, and whether these varied by school characteristics. Methods In 2012 and 2013, canteen managers of primary schools in the Hunter New England region of New South Wales reported via telephone interview the pricing and promotion strategies implemented in their canteens to encourage healthier food and drink purchases. A standardized audit of canteen menus was performed to assess the availability of healthy options. Data were analyzed in 2014. Results Overall, 203 (79%) canteen managers completed the telephone interview and 170 provided menus. Twenty-nine percent of schools had menus that primarily consisted of healthier food and drinks, and 11% did not sell unhealthy foods. Less than half reported including only healthy foods in meal deals (25%), labeling menus (43%), and having a comprehensive canteen policy (22%). A significantly larger proportion of schools in high socioeconomic areas (OR=3.0) and large schools (OR=4.4) had primarily healthy options on their menus. School size and being a Government school were significantly associated with implementation of some pricing and promotion strategies. Conclusions There is a need to monitor canteen environments to inform policy development and research. Future implementation research to improve the food environments of disadvantaged schools in particular is warranted.</t>
  </si>
  <si>
    <t>S400-253</t>
  </si>
  <si>
    <t>SCOPUS_ID:85045424692</t>
  </si>
  <si>
    <t>10.1093/aje/kwx295</t>
  </si>
  <si>
    <t>Examining the Association between Apparent Temperature and Mental Health-Related Emergency Room Visits in California</t>
  </si>
  <si>
    <t>['ambient temperature', 'apparent temperature', 'California', 'emergency room visits', 'homicide', 'mental health', 'Poisson regression', 'suicide']</t>
  </si>
  <si>
    <t>The association between ambient temperature and morbidity has been explored previously. However, the association between temperature and mental health-related outcomes, including violence and self-harm, remains relatively unexamined. For the period 2005-2013, we obtained daily counts of mental health-related emergency room visits involving injuries with an external cause for 16 California climate zones from the California Office of Statewide Health Planning and Development and combined them with data on mean apparent temperature, a combination of temperature and humidity. Using Poisson regression models, we estimated climate zone-level associations and then used random-effects meta-analyses to produce overall estimates. Analyses were stratified by season (warm: May-October; cold: November-April), race/ethnicity, and age. During the warm season, a 10°F (5.6°C) increase in same-day mean apparent temperature was associated with 4.8% (95% confidence interval (CI): 3.6, 6.0), 5.8% (95% CI: 4.5, 7.1), and 7.9% (95% CI: 7.3, 8.4) increases in the risk of emergency room visits for mental health disorders, self-injury/suicide, and intentional injury/homicide, respectively. High temperatures during the cold season were also positively associated with these outcomes. Variations were observed by race/ethnicity, age group, and sex, with Hispanics, whites, persons aged 6-18 years, and females being at greatest risk for most outcomes. Increasing mean apparent temperature was found to have acute associations with mental health outcomes and intentional injuries, and these findings warrant further study in other locations.</t>
  </si>
  <si>
    <t>S400-254</t>
  </si>
  <si>
    <t>SCOPUS_ID:0036891729</t>
  </si>
  <si>
    <t>10.2105/AJPH.92.12.1946</t>
  </si>
  <si>
    <t>Development of a prototype system for statewide asthma surveillance</t>
  </si>
  <si>
    <t>Objectives. We developed and evaluated a statewide and community-level asthma surveillance system. Methods. Databases and measures included a community prevalence survey, hospital admissions data, emergency department/outpatient clinic visit records, and a physician survey of diagnosis and treatment practices. We evaluated the system in 5 Maine communities varying in population and income. Results. Asthma hospitalizations were high in the rural/low-socioeconomic-status communities studied, although diagnosed asthma was low. Males were more likely than females to experience asthma symptoms, although they were less likely to have been diagnosed with asthma or to have used hospital-based asthma care. Conclusions. Databases were useful for estimating asthma burden and identifying service needs as well as high-risk groups. They were less useful in estimating severity or in identifying environmental risks.</t>
  </si>
  <si>
    <t>S400-255</t>
  </si>
  <si>
    <t>SCOPUS_ID:84982893015</t>
  </si>
  <si>
    <t>10.1093/aje/kwv324</t>
  </si>
  <si>
    <t>The Association between Perceived Stress and Mortality among People with Multimorbidity: A Prospective Population-Based Cohort Study</t>
  </si>
  <si>
    <t>['chronic disease', 'comorbidity', 'longitudinal studies', 'mental health', 'mortality', 'prognosis', 'stress, psychological']</t>
  </si>
  <si>
    <t>Multimorbidity is common and is associated with poor mental health and high mortality. Nevertheless, no studies have evaluated whether mental health may affect the survival of people with multimorbidity. We investigated the association between perceived stress and mortality in people with multimorbidity by following a population-based cohort of 118,410 participants from the Danish National Health Survey 2010 for up to 4 years. Information on perceived stress and lifestyle was obtained from the survey. We assessed multimorbidity using nationwide register data on 39 conditions and identified 4,229 deaths for the 453,648 person-years at risk. Mortality rates rose with increasing levels of stress in a dose-response relationship (P-trend &lt; 0.0001), independently of multimorbidity status. Mortality hazard ratios (highest stress quintile vs. lowest) were 1.51 (95% confidence interval (CI): 1.25, 1.84) among persons without multimorbidity, 1.39 (95% CI: 1.18, 1.64) among those with 2 or 3 conditions, and 1.43 (95% CI: 1.18, 1.73) among those with 4 or more conditions, when adjusted for disease severities, lifestyle, and socioeconomic status. The numbers of excess deaths associated with high stress were 69 among persons without multimorbidity, 128 among those with 2 or 3 conditions, and 255 among those with 4 or more conditions. Our findings suggested that perceived stress contributes significantly to higher mortality rates in a dose-response pattern, and more stress-associated deaths occurred in people with multimorbidity.</t>
  </si>
  <si>
    <t>S400-256</t>
  </si>
  <si>
    <t>SCOPUS_ID:84905578698</t>
  </si>
  <si>
    <t>10.1097/EDE.0000000000000144</t>
  </si>
  <si>
    <t>Traffic-related air pollution in relation to cognitive function in older adults</t>
  </si>
  <si>
    <t>BACKGROUND: Few epidemiologic studies have investigated associations of air pollution with cognition in older adults, and none has specifically compared associations across particle sources. We investigated whether exposure to particulate air pollution, characterized by size and source, was associated with cognitive function and decline in cognitive function. METHODS: We included participants of the Whitehall II cohort who were residents of greater London and who attended the medical examination in study wave 2007-2009 (n = 2867). Annual average concentrations of particulate matter (PM) (PM10 and PM2.5 from all sources and from traffic exhaust) were modeled at resolution of 20 × 20 m for 2003-2009. We investigated the relationship between exposure to particles and a cognitive battery composed of tests of reasoning, memory, and phonemic and semantic fluency. We also investigated exposure in relation to decline in these tests over 5 years. RESULTS: Mean age of participants was 66 (standard deviation = 6) years. All particle metrics were associated with lower scores in reasoning and memory measured in the 2007-2009 wave but not with lower verbal fluency. Higher PM2.5 of 1.1 μg/m (lag 4) was associated with a 0.03 (95% confidence interval = -0.06 to 0.002) 5-year decline in standardized memory score and a 0.04 (-0.07 to -0.01) decline when restricted to participants remaining in London between study waves. CONCLUSIONS: This study provides support for an association between particulate air pollution and some measures of cognitive function, as well as decline over time in cognition; however, it does not support the hypothesis that traffic-related particles are more strongly associated with cognitive function than particles from all sources. Copyright © 2014 by Lippincott Williams &amp; Wilkins.</t>
  </si>
  <si>
    <t>S400-257</t>
  </si>
  <si>
    <t>SCOPUS_ID:85107091304</t>
  </si>
  <si>
    <t>10.1016/j.ypmed.2021.106562</t>
  </si>
  <si>
    <t>Designing warnings for sugary drinks: A randomized experiment with Latino parents and non-Latino parents</t>
  </si>
  <si>
    <t>['Health policy', 'Hispanic', 'Latino/a health', 'Obesity', 'Sugar-sweetened beverages', 'Warning labels']</t>
  </si>
  <si>
    <t>Sugary drink warnings are a promising policy for reducing sugary drink consumption, but it remains unknown how to design warnings to maximize their impact overall and among diverse population groups, including parents of Latino ethnicity and parents with low English use. In 2019, we randomized US parents of children ages 2–12 (n = 1078, 48% Latino ethnicity, 13% low English use) to one topic (one of four warnings, or a neutral control), which they viewed on three designs (text-only, icon, and graphic) to assess reactions to the various warnings on sugary drinks. All warning topics were perceived as more effective than the control (average differential effect [ADE] ranged from 1.77 to 1.84 [5-point Likert scale], all p &lt; .001). All warning topics also led to greater thinking about harms of sugary drinks (all p &lt; .001) and lower purchase intentions (all p &lt; .01). Compared to text-only warnings, icon (ADE = 0.18) and graphic warnings (ADE = 0.30) elicited higher perceived message effectiveness, as well as greater thinking about the harms of sugary drinks, lower perceived healthfulness, and lower purchase intentions (all p &lt; .001). The impact of icon warnings (vs. text warnings) was stronger for parents with low English use, compared to those with high English use (p = .024). Similarly, the impact of icon (vs. text warnings) was stronger for Latino parents than non-Latino parents (p = .034). This experimental study indicates that many warning topics hold promise for behavior change and that including images with warnings could increase warning efficacy, particularly among Latino parents and parents with low English use. Clinical Trial Registration: NCT04382599.</t>
  </si>
  <si>
    <t>S400-258</t>
  </si>
  <si>
    <t>SCOPUS_ID:84858295216</t>
  </si>
  <si>
    <t>10.1136/jech.2009.087304</t>
  </si>
  <si>
    <t>The effect of health promotion on diagnosis and management of diabetes</t>
  </si>
  <si>
    <t>Background: Undiagnosed disease is one of the critical public health problems in the world. In 2002 South Korea introduced the nation's first comprehensive public health promotion policy, Health Plan 2010. The first phase of Health Plan 2010 started in 2002, promoting the early detection of diseases and preventive care and continued until 2005. Methods: Using the 2001 and 2005 Korean National Health and Nutrition Examination Surveys that were fielded before and after the health promotion programme, this study investigated the changes in healthcare utilisation and its impacts on the prevalence of diagnosed and undiagnosed diabetes as well as good management of the disease. Results: A significant increase in diabetes diagnoses has occurred during this time period, especially for those with low education and older age. It was found that, during this time period, the prevalence of undiagnosed diabetes was significantly reduced especially among older and less-educated Koreans, the principal targets of the programme. This health promotion was also found to have had significant positive effects on the good management of diabetes. Conclusions: The increase in preventive health care through medical check-ups among less-educated, older people suggests that the implementation of free medical check-ups for individual aged 40 years and older may have a positive impact on those who had not previously used preventive care. The positive experience in South Korea indicates that similarly designed public health campaigns in other countries have enormous potential for improving the detection and management of chronic disease.</t>
  </si>
  <si>
    <t>S400-259</t>
  </si>
  <si>
    <t>SCOPUS_ID:85063731915</t>
  </si>
  <si>
    <t>10.1016/S2468-2667(19)30036-2</t>
  </si>
  <si>
    <t>Patterns in the relationship between life expectancy and gross domestic product in Russia in 2005–15: a cross-sectional analysis</t>
  </si>
  <si>
    <t>Background: Since 2005, Russia has made substantial progress, experiencing an almost doubling of per-capita gross domestic product by purchasing power parity (GDP [PPP]) to US$24 800 and witnessing a 6-year increase in life expectancy, reaching 71·4 years by 2015. Even greater gains in GDP (PPP) were seen for Moscow, the Russian capital, reaching $43 000 in 2015 and with a life expectancy of 75·5 years. We aimed to investigate whether mortality levels now seen in Russia are consistent with what would be expected given this new level of per-capita wealth. Methods: We used per-capita GDP (PPP) and life expectancy from 61 countries in 2014–15, plus those of Russia as a whole and its capital Moscow, to construct a Preston curve expressing the relationship between mortality and national wealth and to examine the positions of Russia and other populations relative to this curve. We adjusted life expectancy values for Moscow for underestimation of mortality at older ages. For comparison, we constructed another Preston curve based on the same set of countries for the year 2005. We used the stepwise replacement algorithm to decompose mortality differences between Russia or Moscow and comparator countries with similar incomes into age and cause-of-death components. Findings: Life expectancy in 2015 for both Russia and Moscow lay below the Preston-curve-based expectations by 6·5 years and 4·9 years, respectively. In 2015, Russia had a lower per-capita income than 36 of the comparator countries but lower life expectancy than 60 comparator countries. However, the gaps between the observed and the Preston-expected life expectancy values for Russia have diminished by about 25% since 2005, when the life expectancy gap was 8·9 years for Russia and 6·6 years for Moscow. When compared with countries with similar level of income, the largest part of the life expectancy deficit was produced by working-age mortality from external causes for Russia and cardiovascular disease at older ages for Moscow. Interpretation: Given the economic wealth of Russia, its life expectancy could be substantially higher. Sustaining the progress seen over the past decade depends on the ability of the Russian Government and society to devote adequate resources to people's health. Funding: This work was partly funded through the International Project on Cardiovascular Disease in Russia supported by a Wellcome Trust Strategic Award ( 100217) and was supported by the Russian Academic Excellence Project 5-100.</t>
  </si>
  <si>
    <t>S400-260</t>
  </si>
  <si>
    <t>SCOPUS_ID:85089294116</t>
  </si>
  <si>
    <t>10.1007/s10654-020-00669-6</t>
  </si>
  <si>
    <t>A case study in model failure? COVID-19 daily deaths and ICU bed utilisation predictions in New York state</t>
  </si>
  <si>
    <t>['COVID-19', 'Hospital resource utilisation', 'Model evaluation', 'Uncertainty quantification']</t>
  </si>
  <si>
    <t>Forecasting models have been influential in shaping decision-making in the COVID-19 pandemic. However, there is concern that their predictions may have been misleading. Here, we dissect the predictions made by four models for the daily COVID-19 death counts between March 25 and June 5 in New York state, as well as the predictions of ICU bed utilisation made by the influential IHME model. We evaluated the accuracy of the point estimates and the accuracy of the uncertainty estimates of the model predictions. First, we compared the “ground truth” data sources on daily deaths against which these models were trained. Three different data sources were used by these models, and these had substantial differences in recorded daily death counts. Two additional data sources that we examined also provided different death counts per day. For accuracy of prediction, all models fared very poorly. Only 10.2% of the predictions fell within 10% of their training ground truth, irrespective of distance into the future. For accurate assessment of uncertainty, only one model matched relatively well the nominal 95% coverage, but that model did not start predictions until April 16, thus had no impact on early, major decisions. For ICU bed utilisation, the IHME model was highly inaccurate; the point estimates only started to match ground truth after the pandemic wave had started to wane. We conclude that trustworthy models require trustworthy input data to be trained upon. Moreover, models need to be subjected to prespecified real time performance tests, before their results are provided to policy makers and public health officials.</t>
  </si>
  <si>
    <t>S400-261</t>
  </si>
  <si>
    <t>SCOPUS_ID:84929047682</t>
  </si>
  <si>
    <t>10.1093/eurpub/cku221</t>
  </si>
  <si>
    <t>Comparing the performance of the Charlson/Deyo and Elixhauser comorbidity measures across five European countries and three conditions</t>
  </si>
  <si>
    <t>Background: The Charlson and Elixhauser comorbidity measures are commonly used methods to account for patient comorbidities in hospital-level comparisons of clinical quality using administrative data. Both have been validated in North America, but there is less evidence of their performance in Europe and in pooled cross-country data, which are features of the European Collaboration for Healthcare Optimization (ECHO) project. This study compares the performance of the Charlson/Deyo and Elixhauser comorbidity measures in predicting in-hospital mortality using data from five European countries in three inpatient groups. Methods: Administrative data is used from five countries in 2008-2009 for three indicators commonly used in hospital quality comparisons: mortality rates following acute myocardial infarction, coronary artery bypass graft surgery and stroke. Logistic regression models are constructed to predict mortality controlling for age, gender and the relevant comorbidity measure. Model discrimination is evaluated using c-statistics. Model calibration is evaluated using calibration slopes. Overall goodness-of-fit is evaluated using Nagelkerke's R2 and the Akaike information criterion. All models are validated internally by using bootstrapping and externally by using the 2009 model parameters to predict mortality in 2008. Results: The Elixhauser measure has better overall predictive ability in terms of discrimination and goodness-of-fit than the Charlson/Deyo measure or the age-sex only model. There is no clear difference in model calibration. These findings are robust to the choice of country, to pooling all five countries and to internal and external validation. Conclusions: The Elixhauser list contains more comorbidities, which may enable it to achieve better discrimination than the Charlson measure. Both measures achieve similar calibration, so for the purpose of ECHO we judged the Elixhauser measure to be preferable.</t>
  </si>
  <si>
    <t>S400-262</t>
  </si>
  <si>
    <t>SCOPUS_ID:77953601869</t>
  </si>
  <si>
    <t>10.2105/AJPH.2009.180489</t>
  </si>
  <si>
    <t>The next public health revolution: Public health information fusion and social networks</t>
  </si>
  <si>
    <t>Social, political, and economic disruptions caused by natural and humancaused public health emergencies have catalyzed public health efforts to expand the scope of biosurveillance and increase the timeliness, quality, and comprehensiveness of disease detection, alerting, response, and prediction. Unfortunately, efforts to acquire, render, and visualize the diversity of health intelligence information are hindered by its wide distribution across disparate fields, multiple levels of government, and the complex interagency environment. Achieving this new level of situation awareness within public health will require a fundamental cultural shift in methods of acquiring, analyzing, and disseminating information. The notion of information "fusion" may provide opportunities to expand data access, analysis, and information exchange to better inform public health action.</t>
  </si>
  <si>
    <t>error - missing part of abstracts</t>
  </si>
  <si>
    <t>S400-263</t>
  </si>
  <si>
    <t>SCOPUS_ID:33847386744</t>
  </si>
  <si>
    <t>10.1093/aje/kwk033</t>
  </si>
  <si>
    <t>Dietary flavonoid intake and breast cancer risk among women on Long Island</t>
  </si>
  <si>
    <t>['Breast neoplasms', 'Diet', 'Flavonoids']</t>
  </si>
  <si>
    <t>Flavonoids are found in a variety of foods and have anticarcinogenic properties in experimental models. Few epidemiologic studies have examined whether flavonoid intake is associated with breast cancer in humans. In this study, the authors investigated whether dietary flavonoid intake was associated with reduced risk of breast cancer in a population-based sample of US women. They conducted a case-control study among women who resided in Nassau and Suffolk counties on Long Island, New York. Cases and controls were interviewed about known and suspected risk factors and asked to complete a food frequency questionnaire regarding their average intake in the prior 12 months. A total of 1,434 breast cancer cases and 1,440 controls provided adequate responses. A decrease in breast cancer risk was associated with flavonoid intake; the decrease was most pronounced among postmenopausal women for flavonols (odds ratio (OR) = 0.54, 95% confidence interval (CI): 0.40, 0.73), flavones (OR = 0.61, 95% CI: 0.45, 0.83), flavan-3-ols (OR = 0.74, 95% CI: 0.55, 0.99), and lignans (OR = 0.69, 95% CI: 0.51, 0.94). The authors conclude that intake of flavonols, flavones, flavan-3-ols, and lignans is associated with reduced risk of incident postmenopausal breast cancer among Long Island women. These results suggest that US women can consume sufficient levels of flavonoids to benefit from their potential chemopreventive effects. Copyright © 2006 by the Johns Hopkins Bloomberg School of Public Health All rights reserved.</t>
  </si>
  <si>
    <t>I am not sure there is any policy implication here?</t>
  </si>
  <si>
    <t>S400-264</t>
  </si>
  <si>
    <t>SCOPUS_ID:68149179040</t>
  </si>
  <si>
    <t>10.1093/aje/kwp167</t>
  </si>
  <si>
    <t>Use of Supplements of Multivitamins, Vitamin C, and Vitamin e in Relation to Mortality</t>
  </si>
  <si>
    <t>['Ascrobic acid', 'Cohort studies', 'Coronary disease', 'Dietary supplements', 'Mortality', 'Neoplasms', 'Vitamin E', 'Vitamins']</t>
  </si>
  <si>
    <t>In this cohort study, the authors evaluated how supplemental use of multivitamins, vitamin C, and vitamin E over a 10-year period was related to 5-year total mortality, cancer mortality, and cardiovascular disease (CVD) mortality. Participants (n=77,719) were Washington State residents aged 50-76 years who completed a mailed self-administered questionnaire in 2000-2002. Adjusted hazard ratios and 95% confidence intervals were computed using Cox regression. Multivitamin use was not related to total mortality. However, vitamin C and vitamin E use were associated with small decreases in risk. In cause-specific analyses, use of multivitamins and use of vitamin E were associated with decreased risks of CVD mortality. The hazard ratio comparing persons who had a 10-year average frequency of multivitamin use of 6-7 days per week with nonusers was 0.84 (95% confidence interval: 0.70, 0.99); and the hazard ratio comparing persons who had a 10-year average daily dose of vitamin E greater than 215 mg with nonusers was 0.72 (95% confidence interval: 0.59, 0.88). In contrast, vitamin C use was not associated with CVD mortality. Multivitamin and vitamin E use were not associated with cancer mortality. Some of the associations we observed were small and may have been due to unmeasured healthy behaviors that were more common in supplement users. © 2009. Published by the Johns Hopkins Bloomberg School of Public Health.</t>
  </si>
  <si>
    <t>S400-265</t>
  </si>
  <si>
    <t>SCOPUS_ID:14644388091</t>
  </si>
  <si>
    <t>10.1016/j.ypmed.2004.09.021</t>
  </si>
  <si>
    <t>Focused interviews with Sudanese Americans: Perceptions about diet, nutrition, and cancer</t>
  </si>
  <si>
    <t>['Cancer', 'Dietary beliefs', 'Focus group', 'Food habits', 'Food practices', 'Food preparation methods']</t>
  </si>
  <si>
    <t>Background. This study explored perceptions regarding diet, nutrition and cancer among Sudanese-Americans; and generated information for response options, components to questions, and actual questions for a pre-conceptualized diet, nutrition and cancer-related questionnaire to be used on this population. Methods. In a descriptive, qualitative study, data were collected from four focus group discussions with Sudanese-Americans (N = 18). Results. Most participants were fearful of cancer, associating it with death. Stress, genetics, and pesticides in vegetables were given as major causes of cancer. Fatalism towards cancer pervaded among a few participants. Male participants did not believe that dietary factors could be helpful in cancer prevention, while the females believed fried, fatty, smoked and fast foods could lead to cancer. Factors perceived as influencing food choices included money, cultural traditions and social class. Cultural tradition was perceived as the major barrier to changing food habits. Frying, stewing, grilling, boiling and fermenting were the most common food preparation methods reported. Conclusion. Perceptions regarding dietary practices, nutrition and cancer among Sudanese-Americans, some of which might have been overlooked were identified. The focus groups generated response options, components to questions, and actual questions for a pre-conceptualized diet, nutrition and cancer-related questionnaire to be used on Sudanese-Americans. © 2004 The Institute For Cancer Prevention and Elsevier Inc. All rights reserved.</t>
  </si>
  <si>
    <t>S400-266</t>
  </si>
  <si>
    <t>SCOPUS_ID:0026087647</t>
  </si>
  <si>
    <t>10.1016/0091-7435(91)90005-O</t>
  </si>
  <si>
    <t>Epidemiologic data on exogenous hormones and hepatocellular carcinoma and selected other cancers</t>
  </si>
  <si>
    <t>Epidemiologic data on the use of oral contraceptives and estrogen replacement therapy in relation to cancers of the endometrium, breast, and ovary are briefly reviewed. This is followed by a more detailed review of the epidemiologic literature on hepatic adenomas and primary hepatocellular carcinoma. There is evidence that combined oral contraceptive use increases the risk of hepatocellular carcinoma in developed countries in which rates for this disease are extremely low. Any such elevation is, however, as yet undetectable in countries where hepatitis B virus is endemic and liver cancer rates are high. © 1991.</t>
  </si>
  <si>
    <t>S400-267</t>
  </si>
  <si>
    <t>SCOPUS_ID:0030801010</t>
  </si>
  <si>
    <t>10.1016/s0749-3797(18)30181-8</t>
  </si>
  <si>
    <t>Will patient satisfaction set the preventive services implementation agenda?</t>
  </si>
  <si>
    <t>Background: Patient satisfaction has become a measure of the quality of health care, and in highly competitive markets like the Twin Cities metropolitan area of Minnesota, it has become a health plan marketing tool. The purpose of this analysis is to examine whether the known association between preventive services and patient satisfaction might spontaneously lead clinicians to recommend preventive services at greater rates. Design: We conducted a mail survey of a stratified random sample (n = 6,830) of adult patients who had recently visited a physician in one of 44 clinics in and around Minneapolis-St. Paul, Minnesota. The main outcome measures are patient-reported rates of being advised to have eight preventive services, patient satisfaction with preventive services, patient satisfaction with overall health care, and correlations among these variables. Results: Self- reports of being advised to have a preventive service when due were correlated with higher levels of satisfaction with that specific service only at levels of r = 0.16 to r = 0.35. They were correlated at levels of r = 0.01 to r = 0.27 with the Group Health Association of America satisfaction index. Conclusions: Although there is a positive association between being advised to have a preventive service on the one hand and reporting satisfaction with care on the other, this association appears too weak to spontaneously stimulate physicians to recommend preventive services to their patients. This suggests that, if preventive services are to be delivered at higher rates, they must become an explicit component of quality evaluations. Medical Subject Headings (MeSH): preventive health services, patient satisfaction, health policy.</t>
  </si>
  <si>
    <t>S400-268</t>
  </si>
  <si>
    <t>SCOPUS_ID:85183941151</t>
  </si>
  <si>
    <t>10.1093/eurpub/ckad194</t>
  </si>
  <si>
    <t>Undermining support for COVID-19 public health policies: an analysis of the impact of subversive conspiracy narratives on Czech General Practitioners</t>
  </si>
  <si>
    <t>Background: Limited knowledge exists regarding the impact of COVID-19 conspiracy theories on the professional practice of general practitioners (GPs). This study aimed to identify the basic characteristics of GPs who endorse COVID-19 conspiracy beliefs and compare their level of support for COVID-19 health policies with GPs who do not believe in conspiracies. Methods: Between January and February 2021, a representative online survey was conducted among 1163 GPs in the Czech Republic. The sample was designed to be representative of members of The Association of GPs of the Czech Republic. Results: The survey revealed that nearly 14% of the GPs surveyed believed in one or more COVID-19 conspiracies. The average age of GPs who endorsed conspiracies was 58, which was higher than the rest of the sample (average age of 50). GPs who believed in conspiracies were less likely to support COVID-19 public health policies and therapy recommendations, including vaccination. Logistic and linear regression analyses indicated that doctors who believed in conspiracies were 2.62 times less likely to have received a COVID-19 vaccine. Mediation analysis showed that approximately one-quarter (23.21%) of the total effect of trust in government information on support for public health policies was indirectly mediated by the endorsement of COVID-19 conspiracy beliefs. Conclusions: The study findings suggest a concerning association between belief in COVID-19 conspiracies and a reduced level of support for public health policies among GPs. These results underscore the importance of incorporating the ‘conspiracy agenda’ into medical authorities’ more effective public health communication strategies.</t>
  </si>
  <si>
    <t>S400-269</t>
  </si>
  <si>
    <t>SCOPUS_ID:0036570155</t>
  </si>
  <si>
    <t>10.1093/aje/155.9.875</t>
  </si>
  <si>
    <t>Ascertainment bias in family-based case-control studies</t>
  </si>
  <si>
    <t>['Bias', 'Case-control studies', 'Family relations']</t>
  </si>
  <si>
    <t>In a family-matched case-control study, a population-based sample of cases is selected from a well-defined geographic region over a fixed period of time. For diseases of adult onset, the control is generally a sibling or cousin who is matched on sex and age without regard to location of residence. Such a design can lead to biased estimates of environmental relative risk if the prevalence of an environmental risk factor varies by the geographic region from which the cases and controls are drawn. However, assuming the independence of genotype and environmental exposure, the estimators for the gene and gene-environment interaction effects are consistent. This suggests that we must use caution in interpreting parameters that estimate environmental main effects from a family-based case-control study if controls are selected from outside the case-ascertainment region.</t>
  </si>
  <si>
    <t>S400-270</t>
  </si>
  <si>
    <t>SCOPUS_ID:0031688919</t>
  </si>
  <si>
    <t>10.1093/eurpub/8.3.250</t>
  </si>
  <si>
    <t>Variability in the number of tests used in children with acute gastroenteritis in two hospitals</t>
  </si>
  <si>
    <t>['Child', 'Comparative studies', 'Diagnostic tests', 'Spain', 'United States']</t>
  </si>
  <si>
    <t>The objective of the study was to determine whether rates of diagnostic test use varied between one US and one Spanish hospital. Retrospective chart review in the hospital's emergency departments, recording patient and illness characteristics and laboratory tests were performed. Adjustment was performed by multivariate logistic regression analysis. After controlling for patient and severity of illness, US children remained more likely to undergo more than one laboratory test [OR=4.8 (3.5-6.6)] than Spanish children. It was concluded that physicians at the US hospital ordered more tests than providers at the Spanish hospital when treating patients with comparable level of illness. Cross-national comparisons may be useful in efforts to identify appropriate cost-effective care.</t>
  </si>
  <si>
    <t>S400-271</t>
  </si>
  <si>
    <t>SCOPUS_ID:85161992453</t>
  </si>
  <si>
    <t>10.1007/s10654-023-01024-1</t>
  </si>
  <si>
    <t>Target trial emulation of aspirin after diagnosis of colorectal polyps</t>
  </si>
  <si>
    <t>['Cancer prevention', 'Causal inference', 'Precision medicine', 'Target trial emulation']</t>
  </si>
  <si>
    <t>Backgound and Aims: Previous research on the potential chemoprotective effect of aspirin for colorectal cancer (CRC) shows conflicting results. We aimed to emulate a trial of aspirin intiation in individuals with incident polyps. Methods: We identified individuals registered with their first colorectal polyp in the nationwide gastrointestinal ESPRESSO histopathology cohort in Sweden. Individuals aged 45–79 years diagnosed with colorectal polyps 2006–2016 in Sweden without CRC or contraindications for preventive aspirin (cerebrovascular disease, heart failure, aortic aneurysms, pulmonary emboli, myocardial infarction, gastric ulcer, dementia, liver cirrhosis, or any other metastatic cancer) registered until the month of first polyp detection were eligible. Using duplication and inverse probability weighting, we emulated a target trial of aspirin initiation within 2 years of initial polyp detection. The main outcome measures were incident CRC, CRC mortality and all-cause mortality registered until 2019. Results: Of 31,633 individuals meeting our inclusion criteria, 1716 (5%) initiated aspirin within 2 years of colon polyp diagnosis. Median follow-up was 8.07 years. The 10-year cumulative incidence in initiators versus non-initiators was 6% versus 8% for CRC incidence, 1% versus 1% for CRC mortality and 21% versus 18% for all-cause mortality. The corresponding hazard ratios were 0.88 (95% confidence interval, 95%CI = 0.86–0.90), 0.90 (95%CI = 0.75–1.06) and 1.18 (95%CI = 1.12–1.24). Conclusion: Aspirin initiation in individuals with polyp removal was linked to 2% lower cumulative incidence of CRC after 10 years but did not alter CRC mortality. We also observed a 4% increased risk difference of all-cause mortality at 10 years after the initiation of aspirin.</t>
  </si>
  <si>
    <t>S400-272</t>
  </si>
  <si>
    <t>SCOPUS_ID:85146443753</t>
  </si>
  <si>
    <t>10.1016/j.ypmed.2023.107422</t>
  </si>
  <si>
    <t>Sex differences in Cannabis use disorder and associated psychosocial problems among US adults, 2012–2013</t>
  </si>
  <si>
    <t>['Cannabis use disorder', 'Health problems', 'NESARC-III', 'Psychosocial problems', 'Sex differences']</t>
  </si>
  <si>
    <r>
      <t xml:space="preserve">While men show greater prevalence of cannabis use disorder (CUD) than women, whether cannabis use frequency drives this difference is unknown, and little is known about sex differences in problems associated with CUD. We therefore assessed the association of CUD with sex, adjusted for frequency of use, and compared the association of psychosocial and health-related problems with CUD between men and women. We included US adults age ≥ 18 who reported past-year cannabis use in the 2012–2013 National Epidemiologic Survey on Alcohol and Related Conditions-III (n = 3701). Cannabis use frequency, DSM-5 CUD and problems (interpersonal, financial, legal, health-related) were assessed. Associations between psychosocial problems, sex and DSM-5 CUD were assessed using prevalence differences (PD) and 95% confidence intervals (CI) from logistic regression models, controlling for demographics and cannabis use frequency, and effect modification by sex was assessed. We found that the prevalence of CUD among men versus women was not significantly greater after adjusting for use frequency. Women had significantly higher prevalence of interpersonal, financial and health-related problems than men, adjusting for frequency of use. Women showed significantly greater association of CUD with interpersonal problems with a boss or co-workers (p &lt; 0.05) and a neighbor, relative or friend (p &lt; 0.05) compared to men. </t>
    </r>
    <r>
      <rPr>
        <sz val="11"/>
        <rFont val="Calibri (Body)"/>
      </rPr>
      <t xml:space="preserve">Lack of sex differences in CUD after adjusting for frequency of use suggests use frequency may be </t>
    </r>
    <r>
      <rPr>
        <sz val="11"/>
        <color rgb="FFFF0000"/>
        <rFont val="Calibri (Body)"/>
      </rPr>
      <t>an important target of CUD prevention efforts</t>
    </r>
    <r>
      <rPr>
        <sz val="11"/>
        <rFont val="Calibri (Body)"/>
      </rPr>
      <t xml:space="preserve">. CUD showed stronger associations for interpersonal problems among women than men, suggesting the </t>
    </r>
    <r>
      <rPr>
        <sz val="11"/>
        <color rgb="FFFF0000"/>
        <rFont val="Calibri (Body)"/>
      </rPr>
      <t xml:space="preserve">need for particular emphasis on treating interpersonal problems </t>
    </r>
    <r>
      <rPr>
        <sz val="11"/>
        <rFont val="Calibri (Body)"/>
      </rPr>
      <t>related to cannabis use among women.</t>
    </r>
  </si>
  <si>
    <t>these read as individual level results?</t>
  </si>
  <si>
    <t>S400-273</t>
  </si>
  <si>
    <t>SCOPUS_ID:33644618996</t>
  </si>
  <si>
    <t>10.2105/AJPH.2004.061358</t>
  </si>
  <si>
    <t>Diarrheal illness detected through syndromic surveillance after a massive power outage: New York City, August 2003</t>
  </si>
  <si>
    <t>Objectives. We investigated increases in diarrheal illness detected through syndromic surveillance after a power outage in New York City on August 14, 2003. Methods. The New York City Department of Health and Mental Hygiene uses emergency department, pharmacy, and absentee data to conduct syndromic surveillance for diarrhea. We conducted a case-control investigation among patients presenting during August 16 to 18, 2003, to emergency departments that participated in syndromic surveillance. We compared risk factors for diarrheal illness ascertained through structured telephone interviews for case patients presenting with diarrheal symptoms and control patients selected from a stratified random sample of nondiarrheal patients. Results. Increases in diarrhea were detected in all data streams. Of 758 patients selected for the investigation, 301 (40%) received the full interview. Among patients 13 years and older, consumption of meat (odds ratio [OR] = 2.7, 95% confidence interval [CI] = 1.2, 6.1) and seafood (OR = 4.8; 95% CI = 1.6, 14) between the power outage and symptom onset was associated with diarrheal illness. Conclusions. Diarrhea may have resulted from consumption of meat or seafood that spoiled after the power outage. Syndromic surveillance enabled prompt detection and systematic investigation of citywide illness that would otherwise have gone undetected.</t>
  </si>
  <si>
    <t>S400-274</t>
  </si>
  <si>
    <t>SCOPUS_ID:77956242083</t>
  </si>
  <si>
    <t>10.2105/AJPH.2009.180943</t>
  </si>
  <si>
    <t>Family poverty over the early life course and recurrent adolescent and young adult anxiety and depression: A longitudinal study</t>
  </si>
  <si>
    <t>Objectives. We determined whether exposure to family poverty over a child's early life course predicts adolescent and young adult anxiety and depression. Methods. We used a birth cohort study of a sample of women in Brisbane, Australia, who were recruited in early pregnancy and whose children were followed up on at ages 14 and 21 years. Some 2609 mothers and adolescents provided usable data at the 14- and 21-year follow-ups. Results. After adjustment for poverty at other phases, poverty at the 14-year follow-up was the strongest predictor of adolescent and young adult anxiety and depression. The more frequently the child was exposed to poverty, the greater was the risk of that individual being anxious and depressed at both the 14- and 21-year follow-ups. Conclusions. Family poverty predicts higher rates of adolescent and young adult anxiety and depression. Increased frequency of child exposure to poverty is a consistent predictor of adolescent and young adult anxiety and depression. Repeated experiences of poverty over a child's early life course are associated with increased levels of poor mental health.</t>
  </si>
  <si>
    <t>S400-275</t>
  </si>
  <si>
    <t>SCOPUS_ID:34548295880</t>
  </si>
  <si>
    <t>10.1016/j.ypmed.2007.04.015</t>
  </si>
  <si>
    <t>Cumulative risk factors for adolescent alcohol misuse and its perceived consequences among 16 to 20 year old adolescents in Switzerland</t>
  </si>
  <si>
    <t>['Adolescents', 'Alcohol', 'Consequences', 'Determinants', 'Misuse', 'Survey']</t>
  </si>
  <si>
    <t>Aims.: To assess the cumulative impact of environmental and individual factors associated with adolescent alcohol misuse and their correlation with self-reported consequences of drinking. Method.: Cross-sectional school-based survey of a nationally representative sample of 7548 post-mandatory school students and apprentices aged 16-20 years, Switzerland 2002. Alcohol misuse defined by frequency of alcohol use, episodes of drunkenness and driving while drunk. Results.: Fifteen significant risk factors were identified among both boys, and girls. An individual score of cumulated risk factors was created by adding the risk factors. The association between the score and the likelihood of being engaged in alcohol misuse was highly significant and dose-dependent (p &lt; .001). A significant proportion of adolescents report perceived adverse consequences of their alcohol consumption. A linear trend (p &lt; .001) was found between the score of risk factors and the proportion of respondents reporting problems related to drinking such as diminished school performance, physical hazard, relational problems and current risky sexual behavior. Conclusion.: Risk factors for adolescent alcohol misuse are cumulative and can be synthesized into an individual score correlated with the likeliness of misuse. A further indication of the validity of this score is its linear relationship with self-reported problems related to drinking. © 2007 Elsevier Inc. All rights reserved.</t>
  </si>
  <si>
    <t>S400-276</t>
  </si>
  <si>
    <t>SCOPUS_ID:0025807582</t>
  </si>
  <si>
    <t>10.1016/s0749-3797(18)30958-9</t>
  </si>
  <si>
    <t>The effects of co-worker-delivered prompts on breast self-examination frequency</t>
  </si>
  <si>
    <t>In this study, we evaluated the efficacy of co-worker-delivered reminders to perform breast self-examination (BSE). Before participating in a BSE training workshop, subjects (n = 36) were randomly assigned in pairs (of co-workers who registered together) to one of two experimental conditions: contract or control. Subjects in the contract condition, after discussing specific prompting strategies as part of a ''buddy system'' in their workshop, contracted to prompt their designated peers at least once a month for six months following the workshop. In addition, subjects in both conditions received mailed prompts monthly. We assessed BSE adherence and prompting behaviors in retrospective interviews. Results indicated that subjects in both conditions significantly increased BSE frequency above pre-workshop levels. However, the magnitude of this increase did not differ between conditions. A process evaluation indicated that the control group pairs were similar to the contract group pairs in their prompting behavior.</t>
  </si>
  <si>
    <t>S400-277</t>
  </si>
  <si>
    <t>SCOPUS_ID:0029559061</t>
  </si>
  <si>
    <t>10.1136/jech.49.6.588</t>
  </si>
  <si>
    <t>Children with low birth weight and low gestational age in Oslo, Norway: Immigration is not the cause of increasing proportions</t>
  </si>
  <si>
    <t>Study objective - To determine the influence of children born to immigrant mothers on the total proportions of low birth weight and preterm deliveries in Oslo and to explain the increases in the proportions of children with low birth weight and low gestational age since 1980-82. Design - This was a cross sectional study based on Norwegian Medical Birth Registry data and information on mothers' country of birth from the Central Bureau of Statistics. Setting - Oslo, Norway 1968-91. Population - All births in Oslo between 1968 and 1991 (n= 146 133). Main results - The observed increased proportion of children with low birth weight and low gestational age born after 1980-82 is not the result of an increased proportion of children born to immigrant women. Caesarean section rates have increased dramatically and the higher proportions of children with low birth weight and gestational age may be explained by this. Conclusions - Wide use of caesarean section probably results in more children of low birth weight and low gestational age as an iatrogenic effect. The trend in the proportion of children with low birth weight and low gestational age is not correlated to perinatal mortality after 1982. Using proportions of low birth weight and gestational age as indicators of a nation's child health status may therefore be misleading in countries with high rates of caesarean section.</t>
  </si>
  <si>
    <t>S400-278</t>
  </si>
  <si>
    <t>SCOPUS_ID:0034063481</t>
  </si>
  <si>
    <t>10.1006/pmed.2000.0652</t>
  </si>
  <si>
    <t>Sociocultural variables in youth access to tobacco: Replication 5 years later</t>
  </si>
  <si>
    <t>['Ethnicity', 'Racism', 'Sociocultural variables', 'Youth access to tobacco']</t>
  </si>
  <si>
    <t>Background. A prior study presented the only systematic investigation of the role of sociocultural variables in youth access to tobacco. White, black, and Latino girls and boys attempted to purchase cigarettes in the same 72 stores at the same time of day. Results revealed significantly greater sales to girls than to boys and to minorities than to whites. Before concluding that sociocultural variables must be addressed in merchant intervention programs designed to reduce youth access to tobacco, this study must be replicated, particularly in light of the significant decreases in youth access in the past 5 years. This article presents that replication. Method. The stores used in the prior study were selected, and 12 white, black, and Latino girls and boys attempted to purchase cigarettes in those stores at the same time of day. Results. Youths' access rate in 1999 (12.7%) was significantly lower than in the prior (1993-1995) study (41%). No effect for minors' gender was found, but the ethnicity effect again emerged: Black and Latino youth were 2.5 times more likely to be sold cigarettes than their white counterparts. Conclusions. Multiple sociocultural variables affect youth access to tobacco when access rates are high, but only youth ethnicity plays a role when access rates are low. Merchant interventions designed to reduce youth access to tobacco must address ethnic issues. (C) 2000 American Health Foundation and Academic Press.</t>
  </si>
  <si>
    <t>S400-279</t>
  </si>
  <si>
    <t>SCOPUS_ID:0000367285</t>
  </si>
  <si>
    <t>10.1093/eurpub/6.3.181</t>
  </si>
  <si>
    <t>Which informal carers are most satisfied with services for dying cancer patients?</t>
  </si>
  <si>
    <t>["Consumers' characteristics", 'Informal carers', 'Palliative care', 'Satisfaction']</t>
  </si>
  <si>
    <t>This paper examines the relationship between the satisfaction of informal carers with the care delivered to dying people in the last year of life and patient and carer characteristics. A secondary analysis was conducted on a subsample from the Regional Study of Care for the Dying (RSCD) in which bereaved relatives or friends of a random sample of deaths in 1990 in 20 health districts across England were interviewed some 10 months after the death. There were 1,858 informal carers who were close relatives or friends/neighbours of people who died from cancer in this analysis. Results show that highly satisfied carers were those who perceived caring as rewarding (OR=2.31, 95% Cl: 1.04-5.11), those who reported having had no unmet needs while caring for the deceased at home (OR=2.50, 95% Cl: 1.87-3.34), and those who rated their post-bereavement health as excellent (OR=2.61, 95% Cl: 1.70-3.90). Reporting for the deceased who were owner-occupiers was also associated with a high odds ratio for satisfaction (OR=2.52, 95% Cl: 1.37-4.61). Factors such as the patient's duration of functional limitation, the duration of confusion and psychological symptoms, and the carer's strength of religious faith were also found to predict satisfaction but to a lesser extent. Health planners and managers should be aware that informal carers' overall satisfaction with health and social services is predicted by carer and patient attributes.</t>
  </si>
  <si>
    <t>S400-280</t>
  </si>
  <si>
    <t>SCOPUS_ID:84856837081</t>
  </si>
  <si>
    <t>10.1093/eurpub/ckr198</t>
  </si>
  <si>
    <t>Do smokers in Europe think all cigarettes are equally harmful-</t>
  </si>
  <si>
    <t>Background: Despite the ban on misleading descriptors such as light or mild cigarettes in Europe, there are still widespread misperceptions of the relative harmfulness of different brands of cigarettes among smokers. This study examined the extent to which smokers in three European countries believed that some cigarette brands are less harmful and why, using data from the International Tobacco Control (ITC) Europe surveys. Methods: Cross-sectional analyses were completed among nationally representative samples of 4,956 current smokers (aged ≥ 18) from Germany (n = 1,515), France (n = 1,735) and the United Kingdom (n = 1,706) conducted between September 2006 and November 2007. Logistic regression models examined whether outcomes, including beliefs that some cigarettes could be less harmful than others, varied by socio-demographic and country of residence. Findings: Around a quarter of smokers in the UK and France, and a third in Germany believed some cigarettes are less harmful than others. Overall, of smokers who falsely believed that some cigarettes are less harmful, 86.3 thought that tar/nicotine yields, 48.7 taste, and 40.4 terms on packs such as 'smooth' or 'ultra' indicated less harmful brands. About a fifth of smokers across all countries chose their brand based on health reasons, and a similar proportion gave tar yields as a reason for choosing brands. Conclusions: Our research suggests that the current European Tobacco Products Directive is inadequate in eliminating misperceptions about the relative risk of brand descriptors on cigarettes. There is therefore an urgent need to protect smokers in Europe from these misperceptions via stronger measures such as plain packaging regulations. © 2012 The Author. Published by Oxford University Press on behalf of the European Public Health Association. All rights reserved.</t>
  </si>
  <si>
    <t>S400-281</t>
  </si>
  <si>
    <t>SCOPUS_ID:0025198741</t>
  </si>
  <si>
    <t>10.1093/ije/19.1.19</t>
  </si>
  <si>
    <t>Silica exposure and lung cancer in ceramic workers: A case-control study</t>
  </si>
  <si>
    <t>Meijers JMM (Department of Occupational and Environmental Health and Toxicology, University of Limburg, PO Box 616, 6200 MD Maastricht, The Netherlands), Swaen GMH, Volovics A, Slangen JJM and van Vliet K. Silica exposure and lung cancer in ceramic workers: A case-control study. International Journal of Epidemiology, 1990, 19: 19-25.The results are presented from a case-control study, concerning the possible relation between silica exposure in the Dutch fine ceramic industry and lung cancer. For this purpose 381 male, age-matched pairs of primary lung cancer cases and controls were selected from the pathology department of the University Hospital in the region, where two large ceramic companies are located. Information about employment in the ceramic industry was obtained from the personnel and financial administration departments of the two companies. On the basis of job titles a panel of occupational hygiene experts reached consensus about the qualitative exposures of each individual worker. Twenty one percent of the cases were employed in the ceramic industry, compared with 19% of the controls (odds ratio 1.11, 95% Cl: 0.77-1.61). Although the average employment period of cases and their relative silica exposure surpassed those of controls, odds ratios for long duration of employment and considerable exposure to respirable silica dust did not reach statistical significance. After constructing a qualitative exposure index, based on the amount and duration of exposure, a tendency towards a positive correlation with lung cancer emerged. No relation between specific histological tumour cell types and working in the ceramic industry emerged. Although the study does not suggest a consistent cause-effect relation between silica exposure in the regional, Dutch fine ceramic industry and lung cancer, an increased risk for the high exposure group in the past can not be totally excluded. © 1990 International Epidemiological Association.</t>
  </si>
  <si>
    <t>S400-282</t>
  </si>
  <si>
    <t>SCOPUS_ID:0026780215</t>
  </si>
  <si>
    <t>10.1093/oxfordjournals.aje.a116225</t>
  </si>
  <si>
    <t>The changing pattern of human immunodeficiency virus type 1 infection in intravenous drug users: Results of a six-year seroprevalence study in palermo, Italy</t>
  </si>
  <si>
    <t>['Acquired immunodeficiency syndrome', 'Hepatitis B virus', 'HIV seroprevalence', 'HIV-1', 'Substance abuse, intravenous']</t>
  </si>
  <si>
    <t>A cross-sectional seroepidemiologic study was carried out between 1985 and 1990 in 1, 567 heterosexual intravenous drug users who had been seen at the AIDS Regional Reference Center in Palermo, Italy, to evaluate the rate of human immunodeficiency virus type 1 (HIV-1) seroprevalence in this group and its long-term trend. Sixty serum samples collected from drug users in 1980 and 1983, before the founding of the Center (1985), were tested as well. Some demographic and behavioral risk factors were studied in a subgroup of intravenous drug users enrolled in 1985, 1987, and 1990 for their possible association with HIV-1. These factors were also studied in relation to hepatitis B virus infection, since both viruses share the same modes of spread. These drug users had a higher prevalence of markers for hepatitis B virus than of HIV-1 antibodies, and the prevalence rates in sera collected declined over time for both infections. The presence of both antibodies to HIV-1 and markers for hepatitis B virus was independently associated with the age of the drug user, the duration of drug use, and the year of serum collection. Antibodies to HIV-1 were observed more frequently in females than in males. No relation was found between education or employment status and the presence of HIV-1 antibodies or hepatitis B virus markers. Although new HIV-1 infections still occur, the decline in seroprevalence observed at the end of the 1980s might be related to modifications in social behavior among newer drug users, partial exhaustion of the susceptible population, and increasing risk awareness in more experienced users. Am J Epidemiol 1992; 135: 1189-96 © 1992 by The Johns Hopkins University School of Hygiene and Public Health.</t>
  </si>
  <si>
    <t>S400-283</t>
  </si>
  <si>
    <t>SCOPUS_ID:67650685015</t>
  </si>
  <si>
    <t>10.1016/j.ypmed.2009.04.016</t>
  </si>
  <si>
    <t>Use of GIS to identify optimal settings for cancer prevention and control in African American communities</t>
  </si>
  <si>
    <t>['African Americans', 'Breast neoplasms', 'Community health planning', 'Geographic Information Systems', 'Health education', 'Health status disparities', 'Minority health', 'Prevention and control']</t>
  </si>
  <si>
    <t>Objective: Rarely have Geographic Information Systems (GIS) been used to inform community-based outreach and intervention planning. This study sought to identify community settings most likely to reach individuals from geographically localized areas. Method: An observational study conducted in an urban city in Missouri during 2003-2007 placed computerized breast cancer education kiosks in seven types of community settings: beauty salons, churches, health fairs, neighborhood health centers, Laundromats, public libraries and social service agencies. We used GIS to measure distance between kiosk users' (n = 7297) home ZIP codes and the location where they used the kiosk. Mean distances were compared across settings. Results: Mean distance between individuals' home ZIP codes and the location where they used the kiosk varied significantly (p &lt; 0.001) across settings. The distance was shortest among kiosk users in Laundromats (2.3 mi) and public libraries (2.8 mi) and greatest among kiosk users at health fairs (7.6 mi). Conclusion: Some community settings are more likely than others to reach highly localized populations. A better understanding of how and where to reach specific populations can complement the progress already being made in identifying populations at increased disease risk. © 2009 Elsevier Inc. All rights reserved.</t>
  </si>
  <si>
    <t>S400-284</t>
  </si>
  <si>
    <t>SCOPUS_ID:85096151873</t>
  </si>
  <si>
    <t>10.1093/ije/dyaa013</t>
  </si>
  <si>
    <t>Empirical comparisons of multiple Mendelian randomization approaches in the presence of assortative mating</t>
  </si>
  <si>
    <t>['Educational attainment', 'Height', 'Mendelian randomization', 'Non-random mating', 'Pleiotropy']</t>
  </si>
  <si>
    <t>Background: Mendelian randomization (MR) is widely used to unravel causal relationships in epidemiological studies. Whereas multiple MR methods have been developed to control for bias due to horizontal pleiotropy, their performance in the presence of other sources of bias, like non-random mating, has been mostly evaluated using simulated data. Empirical comparisons of MR estimators in such scenarios have yet to be conducted. Pleiotropy and non-random mating have been shown to account equally for the genetic correlation between height and educational attainment. Previous studies probing the causal nature of this association have produced conflicting results. Methods: We estimated the causal effect of height on educational attainment in various MR models, including the MR-Egger and the MR-Direction of Causation (MR-DoC) models that correct for, or explicitly model, horizontal pleiotropy. Results: We reproduced the weak but positive association between height and education in the Netherlands Twin Register sample (P= 3.9 × 10-6). All MR analyses suggested that height has a robust, albeit small, causal effect on education. We showed via simulations that potential assortment for height and education had no effect on the causal parameter in the MR-DoC model. With the pleiotropic effect freely estimated, MR-DoC yielded a null finding. Conclusions: Non-random mating may have a bearing on the results of MR studies based on unrelated individuals. Family data enable tests of causal relationships to be conducted more rigorously, and are recommended to triangulate results of MR studies assessing pairs of traits leading to non-random mate selection.</t>
  </si>
  <si>
    <t>S400-285</t>
  </si>
  <si>
    <t>SCOPUS_ID:85060173592</t>
  </si>
  <si>
    <t>10.1007/s10654-019-00482-w</t>
  </si>
  <si>
    <t>Secular trends of mortality and dementia-free life expectancy over a 10-year period in France</t>
  </si>
  <si>
    <t>['Dementia', 'Life expectancy', 'Mortality', 'Secular trends']</t>
  </si>
  <si>
    <r>
      <t xml:space="preserve">The aim of this paper was to investigate the evolution of mortality and life expectancy according to dementia in two French populations 10 years apart. Two different populations of subjects aged 65 or older included in PAQUID from 1988 to 1989 (n = 1342) and 3C from 1999 to 2000 (n = 1996) and initially not demented were followed over 10 years. Dementia was assessed using an algorithmic approach, and participants were considered to have dementia if they had an MMSE score &lt; 24 AND a 4IADL score &gt; 1. Illness-death models were used to compare mortality with and without dementia and to provide total life expectancy (LE), dementia-free life expectancy (DemFreeLE), life expectancy with dementia (DemLE), and survival with dementia. Mortality without dementia has decreased between the two populations among men [HR = 0.63 (0.49–0.81)] and women [HR = 0.67 (0.50–0.90)], whereas mortality with dementia has decreased for women only [HR = 0.59 (0.41–0.87)]. Total LE and DemFreeLE have increased between the 1990s and the 2000s populations (total LE: + 2.5 years; DemFreeLE: + 2.2 years); DemLE only slightly increased between the populations (DemLE: + 0.3 years). For survival with dementia, an increase in survival has been evidenced (mean survival: + 1.3 years) for women only. The improvement in DemFreeLE is promising. However, as the duration of life with dementia tends to increase for women, </t>
    </r>
    <r>
      <rPr>
        <sz val="11"/>
        <color rgb="FFFF0000"/>
        <rFont val="Calibri (Body)"/>
      </rPr>
      <t>efforts to delay the onset of dementia should be reinforced.</t>
    </r>
  </si>
  <si>
    <t>S400-286</t>
  </si>
  <si>
    <t>SCOPUS_ID:73649086562</t>
  </si>
  <si>
    <t>10.1016/j.amepre.2009.09.038</t>
  </si>
  <si>
    <t>Longitudinal Intervention Effects on Parenting of the Aventuras para Niños Study</t>
  </si>
  <si>
    <t>Background: Parenting interventions have achieved changes in factors associated with childhood obesity but few have tested the effects on multiple parental influences. Purpose: This study examined the efficacy of an intervention aimed at improving several dimensions of parenting related to childhood obesity. Design: The study used a 2 × 2 factorial design. Setting/participants: In 2003, a sample of 13 Southern California schools was randomized to one of four conditions: micro-environment only, macro-environment only, micro-plus-macro-environment, and no treatment control condition. Participants included 811 predominantly Mexican immigrant/Mexican-American mothers with children in kindergarten through second grade. Intervention: In both micro conditions, participants received monthly home visits by a promotora over a 7-month period plus monthly mailed newsletters. Main outcome measures: In 2008, intervention effects were examined on (1) parenting strategies, including limit setting, monitoring, discipline, control, and reinforcement related to children's diet and physical activity; (2) parental support for physical activity; (3) parent-mediated family behaviors such as family meals eaten together and TV watching during family dinners; and (4) perceived barriers and other parent cognitions related to children's eating and activity. Results: At the 2-year follow-up, significant improvements were observed in three of five parenting strategies, parental support, and two of four parent-mediated family behaviors among parents receiving the micro intervention (i.e., those who received promotora visits and monthly newsletters), as compared with those in the macro-only and control conditions. Conclusions: Aspects of parenting related to children's risk for obesity and related health outcomes are modifiable with the support of a promotora and print media. © 2010 American Journal of Preventive Medicine.</t>
  </si>
  <si>
    <t>S400-287</t>
  </si>
  <si>
    <t>SCOPUS_ID:67349163553</t>
  </si>
  <si>
    <t>10.1007/s10654-009-9320-4</t>
  </si>
  <si>
    <t>Gender aspects on heart failure incidence and mortality in a middle-aged, urban, community-based population sample: The Malmö preventive project</t>
  </si>
  <si>
    <t>['Gender', 'Heart failure', 'Morbidity', 'Mortality']</t>
  </si>
  <si>
    <t>There is little epidemiological data on heart failure (HF) in the younger age groups dominating clinical HF trials. We assessed gender-specific long-term HF incidence and mortality in an urban community-based sample of middle-aged subjects. Between 1974 and 1992, 33,342 HF-free subjects (10,900 [32.7%] women, mean age 45.7 ± 7.4 years) were included in the Malmö Preventive Project, on average 21.7 ± 4.3 years before study end. Patients hospitalised for or dying of HF were categorised as HF patients, and 120 (1.1%) women versus 644 (2.9%) men experienced HF: 6.0 vs. 12.3 cases per 10,000 person years; hazard ratio [HR] 0.61, 95% confidence interval [CI] 0.50-0.74, P &lt; 0.0001. Among all subjects, women compared with men had lower all-cause (49.3 vs. 84.0 cases per 10,000 person years; HR 0.68, 95% CI 0.64-0.73, P &lt; 0.0001) and HF-related (2.6 vs. 7.4 cases per 10,000 person years; HR 0.50, 95% CI 0.37-0.67, P &lt; 0.0001) mortality risk. Female and male HF patients had similar age-adjusted mortality risk: 1,314 vs. 1,602 cases per 10,000 patient years; HR 0.78, 95% CI 0.58-1.07, P = 0.12. Among HF patients, 55.3% of deaths in women and 40.6% in men were non-cardiovascular, and only 7.9% deaths were due to HF. In conclusion: In a middle-aged, urban, community-based sample, women had lower risk of HF, all-cause death and HF-related death over two decades of follow-up. Female and male HF patients had similar mortality risk after the diagnosis of HF. In these comparatively young HF patients, few deaths were due to HF and more than 4 out of 10 deaths were non -cardiovascular. © 2009 Springer Science+Business Media B.V.</t>
  </si>
  <si>
    <t>S400-288</t>
  </si>
  <si>
    <t>SCOPUS_ID:85149989133</t>
  </si>
  <si>
    <t>10.1007/s10654-023-00972-y</t>
  </si>
  <si>
    <t>Association between preeclampsia in daughters and risk of cardiovascular disease in parents</t>
  </si>
  <si>
    <t>['Cardiovascular disease', 'Epidemiology', 'Ischemic heart disease', 'Ischemic stroke', 'Myocardial infarction', 'Preeclampsia']</t>
  </si>
  <si>
    <t>Preeclampsia and cardiovascular disease (CVD) might share heritable underlying mechanisms. We investigated whether preeclampsia in daughters is associated with CVD in parents. In a register-based cohort study, we used Cox regression to compare rates of CVD (ischemic heart disease, ischemic stroke, myocardial infarction) in parents with ≥ 1 daughters who had preeclampsia and parents whose daughters did not have preeclampsia in Denmark, 1978–2018. Our cohort included 1,299,310 parents, of whom 87,251 had ≥ 1 daughters with preeclampsia and 272,936 developed CVD during 20,252,351 years of follow-up (incidence rate 135/10,000 person-years). Parents with one daughter who had preeclampsia were 1.19 times as likely as parents of daughters without preeclampsia to develop CVD at age &lt; 55 years (hazard ratio [HR] 1.19, 95% confidence interval [CI] 1.13–1.25). Having ≥ 2 daughters who had preeclampsia yielded an HR of 1.88 (95% CI 1.39–2.53). The corresponding HRs for CVD at ≥ 55 years of age were 1.13 (95% CI 1.12–1.15) and 1.27 (95% CI 1.16–1.38). Patterns of association were similar for all CVD subtypes. Effect magnitudes did not differ for mothers and fathers (p = 0.52). Analyses by timing of preeclampsia onset in daughters suggested a tendency toward stronger associations with earlier preeclampsia onset, particularly in parents &lt; 55 years. Preeclampsia in daughters was associated with increased risks of CVD in parents. Increasing strength of association with increasing number of affected daughters, equally strong associations for mothers and fathers, and stronger associations for CVD occurring before age 55 years suggest that preeclampsia and CVD share common heritable mechanisms.</t>
  </si>
  <si>
    <t>S400-289</t>
  </si>
  <si>
    <t>SCOPUS_ID:0033364435</t>
  </si>
  <si>
    <t>10.2105/AJPH.89.7.1018</t>
  </si>
  <si>
    <t>The impact of smoke-free workplaces on declining cigarette consumption in Australia and the United States</t>
  </si>
  <si>
    <t>Objectives. This study estimates the contribution of smoke-free workplaces to the recent national declines in cigarette consumption in Australia and the United States. Methods. Nineteen studies of the impact of smoke-free workplaces on workday cigarette consumption were reviewed. The number and cost of cigarettes forgone were calculated and extrapolated to a scenario in which all indoor work areas were smoke-free. Results. Of the 19 studies, 18 reported declines in daily smoking rates, and 17 reported declines in smoking prevalence. Smoke-free workplaces are currently responsible for an annual reduction of some 602 million cigarettes, or 1.8% of all cigarettes that might otherwise be consumed, in Australia, and an annual reduction of 9.7 billion cigarettes (2%) in the United States. Approximately 22.3% of the 2.7 billion decrease in cigarette consumption in Australia between 1988 and 1995 can be attributed to smoke-free workplaces, as can 12.7% of the 76.5 billion decrease in the United States between 1988 and 1994. Conclusions. If workplaces were universally smoke-free, the number of cigarettes forgone annually would increase to 1.14 billion (3.4%) in Australia and 20.9 billion (4.1%) in the United States.</t>
  </si>
  <si>
    <t>S400-290</t>
  </si>
  <si>
    <t>SCOPUS_ID:80051544299</t>
  </si>
  <si>
    <t>10.1097/EDE.0b013e31821c6c58</t>
  </si>
  <si>
    <t>Particulate air pollution exposure and c-reactive protein during early pregnancy</t>
  </si>
  <si>
    <t>Background: It is not well understood how air pollution leads to adverse pregnancy outcomes. One pathway may be through C-reactive protein, a biomarker of systemic inflammation that has been reported to increase the risk of preterm delivery. We examined whether air pollution influences serum concentrations of C-reactive protein in early pregnancy. Methods: We studied 1696 pregnant women in Allegheny County, PA, from 1997 through 2001. C-reactive protein concentrations were assayed in blood collected before the 22nd week of gestation. We estimated levels of particles of less than 10 μm (PM 10) and less than 2.5 μm diameter (PM 2.5), carbon monoxide, nitrogen dioxide, sulfur dioxide, and ozone at the maternal zip code using Kriging interpolation for measurements obtained from ambient stations. Associations between air pollution and high C-reactive protein concentrations (-8 ng/mL) were evaluated using logistic regression. Results: Among nonsmokers, an observed 9.2 μg/m 3 increase in PM 10 (averaged over 28 days prior to the blood sample) was associated with an odds ratios of 1.41 for high C-reactive protein concentrations (95% confidence interval = 0.99 -2.00). Similarly, a 4.6 μg/m 3 increase in PM 2.5 was associated with an odds ratio of 1.47 (1.05-2.06). The odds ratio was 1.49 (0.75-2.96) per 7.9 ppb increase in ozone during summer. There were no associations in smokers or for other air pollutants, and there was no evidence for effect-measure modification by obesity. Conclusions: PM 10, PM 2.5, and ozone exposures were associated with increased C-reactive protein concentrations in early pregnancy, suggesting that these air pollutants contribute to inflammation and thereby possibly to adverse pregnancy outcomes. © 2011 by Lippincott Williams &amp; Wilkins.</t>
  </si>
  <si>
    <t>S400-291</t>
  </si>
  <si>
    <t>SCOPUS_ID:37349095958</t>
  </si>
  <si>
    <t>10.1097/EDE.0b013e31815c1da7</t>
  </si>
  <si>
    <t>Characterizing temperature and mortality in nine California counties</t>
  </si>
  <si>
    <t>BACKGROUND: Elevated temperature has been associated with increased mortality. Few epidemiologic studies, however, have considered air pollutants as potential confounders or effect modifiers. None has focused on California, where the climate is generally mild and pollution levels tend to be high-an ideal setting to examine the independent effect of temperature from air pollution. METHODS: We examined the association between mean daily apparent temperature and nonaccidental mortality in 9 counties throughout California from May to September 1999-2003. Data were obtained from the National Climatic Data Center (temperature and relative humidity), the California Department of Health Services (mortality), and the California Air Resources Board (particulate matter, ozone, carbon monoxide, and nitrogen dioxide). We conducted a time-stratified case-crossover study, with a time-series analysis as a sensitivity analysis, adjusting for day of the week using both methods and adjusting for time trend in the time-series analysis. We first obtained county-specific estimates and then combined them using meta-analytic methods. RESULTS: A total of 248,019 deaths were included. Each 10°(Fahrenheit) increase in same-day mean apparent temperature corresponded to a 2.3% increase in mortality (95% confidence interval = 1.0%-3.6%) in the case-crossover analysis for all 9 counties combined, with nearly identical results produced from the time-series analysis. No air pollutant examined was found to be a significant confounder or effect modifier. CONCLUSIONS: Even without extremes in apparent temperature, we observed an association between temperature and mortality in California that was independent of air pollution. © 2008 Lippincott Williams &amp; Wilkins, Inc.</t>
  </si>
  <si>
    <t>S400-292</t>
  </si>
  <si>
    <t>SCOPUS_ID:0037090215</t>
  </si>
  <si>
    <t>10.1093/aje/155.8.739</t>
  </si>
  <si>
    <t>Effect of a school-based sun-protection intervention on the development of melanocytic nevi in children</t>
  </si>
  <si>
    <t>['Child', 'Nevus', 'Primary prevention', 'Skin neoplasms', 'Sunlight']</t>
  </si>
  <si>
    <t>"Kidskin" was a 5-year (1995-1999), school-based intervention trial among first-grade children in Perth, Western Australia. It aimed to assess whether a sun-protection intervention could protect against nevus development on the trunk, face, and arms. Included were a control group, a "moderate intervention" group, and a "high intervention" group. Control schools taught the standard health curriculum, while intervention schools received a specially designed sun-protection curriculum over 4 years. The high intervention group also received program materials over summer vacations when sun exposure was likely to be highest and were offered low-cost sun-protective swimwear. After adjustment for baseline nevus counts and potential confounding, nevus counts on all body sites were slightly lower in both intervention groups relative to the control group at follow-up, although the differences were not statistically significant and the high intervention was no more protective. Children in the moderate and high intervention groups, respectively, had fewer nevi on the back (6%, 95% confidence interval (CI): 0, 12; 4%, 95% CI: -3, 11), chest (boys) (5%, 95% CI: -4, 13; 3%, 95% CI: -8, 14), face (11%, 95% CI: 0, 21; 9%, 95% CI: -6, 21), and arms (8%, 95% CI: -1, 17; 3%, 95% CI: -10, 14).</t>
  </si>
  <si>
    <t>S400-293</t>
  </si>
  <si>
    <t>SCOPUS_ID:0032886159</t>
  </si>
  <si>
    <t>10.1006/pmed.1999.0532</t>
  </si>
  <si>
    <t>Knowledge of cardiovascular disease prevention: An analysis from two New England communities</t>
  </si>
  <si>
    <t>['Cardiovascular disease', 'Education', 'Knowledge', 'Trends']</t>
  </si>
  <si>
    <t>Background. Cardiovascular disease (CVD) mortality has been decreasing in the United States, possibly due in part to educational programs about CVD prevention. This study investigates CVD risk-reduction knowledge among demographic subgroups in two New England cities and how the level of knowledge changed in these subgroups over time. Methods. Six independent cross-sectional surveys including a series of open-ended recall CVD knowledge questions were conducted biennially from 1981 to 1993 as part of the outcome evaluation for the Pawtucket Heart Health Program. We constructed a raw CVD knowledge score and then created an analysis of variance model with knowledge score as the dependent variable and explanatory variables including demographics, survey, and city. Results. CVD prevention knowledge improved significantly over time in both cities and in every demographic subgroup, increasing rapidly from 1981 to about 1988 and then plateauing between 1988 and 1993. Adjusted knowledge scores were higher for people born in the United States, women, more educated individuals, and those who spoke English at home. The increase in knowledge over time came mainly from an increase in the identification of physical inactivity, and blood cholesterol/high fat diet as CVD risk factors, while there was a decrease in the identification of overweight and blood pressure. Conclusions. In order to assure that reductions in CVD morbidity and mortality will be sustained, national educational efforts which stress behavior change skills as well as knowledge must continue. These programs should focus particularly on higher risk subgroups, and risk factors such as weight reduction and blood pressure control should be special priorities.</t>
  </si>
  <si>
    <t>S400-294</t>
  </si>
  <si>
    <t>SCOPUS_ID:0025021481</t>
  </si>
  <si>
    <t>10.2105/AJPH.80.1.78</t>
  </si>
  <si>
    <t>Eight-year follow-up results of an adolescent smoking prevention program: The North Karelia Youth Project</t>
  </si>
  <si>
    <t>In the North Karelia Youth Program five to 10 classroom sessions over two years taught skills to resist pressures to start smoking to 13 to 15 year old students. Compared to students from comparison schools, the treatment groups reported less smoking immediately after the intervention and in a four-year follow-up survey. At the eight-year follow-up, there was consistent evidence of possible preventive effects only among those who had been non-smokers when the progam began.</t>
  </si>
  <si>
    <t>error - missing part of abstract</t>
  </si>
  <si>
    <t>S400-295</t>
  </si>
  <si>
    <t>SCOPUS_ID:85090892962</t>
  </si>
  <si>
    <t>10.1093/eurpub/ckaa081</t>
  </si>
  <si>
    <t>Changes in electronic cigarette use and label awareness among smokers before and after the European Tobacco Products Directive implementation in six European countries: findings from the EUREST-PLUS ITC Europe Surveys</t>
  </si>
  <si>
    <t>Background: Article 20 of the European Tobacco Product Directive (TPD), which went into effect in May 2016, regulates electronic cigarettes (e-cigarettes) in the European Union (EU). The aim of this study was to evaluate changes in e-cigarette use, design attributes of the products used and awareness of e-cigarette labelling and packaging among smokers from six EU Member States (MS) before and after TPD implementation. Methods: Data come from Wave 1 (2016, pre-TPD) and Wave 2 (2018, post-TPD) of the ITC Six European Country Survey among a sample of smokers and recent quitters who use e-cigarettes from six EU MS. Weighted logistic generalized estimating equations regression models were estimated to test the change in binary outcomes between Waves 1 and 2 using SAS-callable SUDAAN. Results: In 2018, current daily/weekly e-cigarette use among adult smokers was just over 2%, but this varied from the highest in Greece (4%) to lowest in Poland (1.2%). From Waves 1 to 2, there was a significant increase in respondents reporting noticing and reading health and product safety information on leaflets inside e-cigarette packaging (8.39–11.62%, P &lt; 0.001). There were no significant changes between waves of respondents reporting noticing or reading warning labels on e-cigarette packages/vials. Conclusions: e-cigarette use among smokers in these six EU countries is low. Although reported noticing and reading leaflets included in the packaging of e-cigarettes increased significantly from before to after the TPD, there was no significant change in reported noticing and reading of warning labels. Findings indicate the importance of continued monitoring of TPD provisions around e-cigarettes.</t>
  </si>
  <si>
    <t>S400-296</t>
  </si>
  <si>
    <t>SCOPUS_ID:0030002485</t>
  </si>
  <si>
    <t>10.1007/BF00145498</t>
  </si>
  <si>
    <t>Lipid status in a population of Spanish schoolchildren</t>
  </si>
  <si>
    <t>['Lipid intake', 'Mediterranean town', 'Plasma lipids', 'Schoolchildren']</t>
  </si>
  <si>
    <t>We assessed lipid status in a population of 181 schoolchildren and adolescents divided into three age groups: 6-7 years (n = 60), 10-12 years (n = 61) and 13-15 years (n = 60). All subjects were from the Mediterranean coastal area of Velez-Malaga in southern Spain. Nutrient intakes and biochemical parameters related with lipid status [total cholesterol (TC), HDL-chol, LDL-chol, VLDL-chol and triglycerides (TG)] were measured. Boys and girls aged 6-7 years had the same plasma concentrations of TC and TG; these concentrations were slightly higher than the mean values for age and sex found in earlier studies in Spanish populations. The high TC values were due mainly to increased concentrations of LDL-chol. This age group also had the largest percentage of members (26.6% boys, 36.6% girls) with plasma TC above 200 mg/dl. Of the groups aged 10-12 years, more girls than boys had abnormally high plasma cholesterol (16.1 vs 10%), HDL-chol (6.5 vs 0%) and TG concentrations (6.5 vs 0%). However, more adolescent boys than adolescent girls (aged 13-15 years) had abnormally low plasma concentrations of HDL-chol (10 vs 3.3%).</t>
  </si>
  <si>
    <t>S400-297</t>
  </si>
  <si>
    <t>SCOPUS_ID:22244461136</t>
  </si>
  <si>
    <t>10.1016/j.amepre.2005.04.002</t>
  </si>
  <si>
    <t>Observed environmental features and the physical activity of adolescent males</t>
  </si>
  <si>
    <t>Background: It has recently been reported that adult physical activity was associated with environmental features. The aim of this study was to determine whether environmental features were associated with physical activity among male adolescents. Methods: Physical activity levels of 210 Boy Scouts were assessed for 3 days by accelerometry during 2003 and 2004. Mean minutes of sedentary, light, and moderate-to-vigorous intensity activity were calculated. Environmental features within a 400-meter radius of each participant's home address were assessed by direct observation using the Systematic Pedestrian and Cycling Environmental Scan (SPACES) instrument. Principal component factor analysis reduced the 35 SPACES items to four factors. Hierarchical and spatial regressions were conducted with physical activity as the dependent variable and environmental factors, age, body mass index, and ethnicity as independent variables. Results: Four factors were obtained: walking/cycling ease, tidiness, sidewalk characteristics, and street access and condition. Sidewalk characteristics were negatively associated with minutes of sedentary behavior while age was positively associated. Sidewalk characteristics were positively associated with minutes of light-intensity physical activity and age negatively associated. No environmental factor correlated with moderate-to-vigorous physical activity. Conclusions: A sidewalk characteristics factor, composed of sidewalk location, sidewalk material, presence of streetlights, and number and height of trees, was positively associated with light-intensity physical activity among male adolescents. © 2005 American Journal of Preventive Medicine.</t>
  </si>
  <si>
    <t>S400-298</t>
  </si>
  <si>
    <t>SCOPUS_ID:77649337149</t>
  </si>
  <si>
    <t>10.1016/j.ypmed.2010.01.014</t>
  </si>
  <si>
    <t>Comparison of physician weight loss goals for obese male and female patients</t>
  </si>
  <si>
    <t>['Goals', 'Obesity', 'Physicians', 'Primary health care', 'Weight loss']</t>
  </si>
  <si>
    <t>Objective: The aim of this study was to compare physicians' weight loss goals for obese male and female patients. Method: This study was conducted in 2008-2009 in Florida, USA. Physicians (N = 108; 79.6% primary care specialty) reviewed two hypothetical clinical scenarios that were identical with respect to health status and obesity (BMI = 33 kg/m2) but differed in the gender of the patient. Physicians then completed a survey about the need for weight loss, intentions to provide weight loss counseling, and weight loss goals (i.e., ideal, successful, and acceptable goal weights) for each hypothetical patient. Results: Physicians strongly agreed that both patients should lose weight and physician counseling and/or treatment referrals would be appropriate; however, physician weight loss goals for male and female patients differed. BMI values calculated from the suggested ideal, successful, and acceptable weight goals were significantly lower for female patients than male patients, 22.0 vs. 25. 2 kg/m2; 25.4 vs. 27. 8 kg/m2; and 27.0 vs. 29. 2 kg/m2, respectively, P values &lt; .001. Conclusions: Physicians endorsed significantly more stringent weight loss goals for obese female patients than obese male patients. Regardless of patient gender, physician goals exceeded the 5-10% losses currently recommended. Additional research is needed to better understand this gender discrepancy in physician expectations for obese patients. © 2010 Elsevier Inc. All rights reserved.</t>
  </si>
  <si>
    <t>S400-299</t>
  </si>
  <si>
    <t>SCOPUS_ID:0033168936</t>
  </si>
  <si>
    <t>10.1093/oxfordjournals.aje.a009918</t>
  </si>
  <si>
    <t>Prevalence and determinants of prone sleeping position in infants: Results from two cross-sectional studies on risk factors for SIDS in Germany</t>
  </si>
  <si>
    <t>['Cross-sectional studies', 'Infant care', 'Infant, sleeping position', 'Intervention studies', 'Prevalence', 'Risk', 'Sudden infant death']</t>
  </si>
  <si>
    <t>The authors investigated whether there was a decline in infants sleeping prone and other modifiable risk factors for sudden infant death syndrome (sids) in Germany, where, as in some other countries, no nationwide intervention campaign against the prone sleeping position had been initiated. Data were obtained from parents by mailed questionnaires in two cross- sectional studies in 1991 (n = 3,330) and 1995 (n = 3,124). Prevalence of prone sleeping decreased from 37.6% to 8.7% (p &lt; 0.05) in the German population and from 44.1% to 32.0% (p &lt; 0.05) in the Turkish immigrant population. Parents who laid their infants prone in 1995 were less likely to follow advice from physicians, public media, and other parents (relative risks &lt; 0.5, p &lt; 0.05) and were more likely to have a low educational level, to be &lt;20 years old, to be single parents, to have two or more children, to be raised in West Germany, or to be of Turkish ethnicity. Although the information on prone sleeping being a risk factor for SIDS became known among the population, these data suggest that subgroup-specific public intervention campaigns may be needed to reduce the prevalence of prone sleeping even further in those countries where no nationwide campaign has been initiated.</t>
  </si>
  <si>
    <t>S400-300</t>
  </si>
  <si>
    <t>SCOPUS_ID:83755219950</t>
  </si>
  <si>
    <t>10.1016/j.amepre.2011.08.018</t>
  </si>
  <si>
    <t>The relationship between intra-group age similarity and exercise adherence</t>
  </si>
  <si>
    <t>Research within social and organizational psychology is replete with evidence for a positive relationship between intra-group demographic similarity and group-based attraction/involvement. This relationship, however, remains largely unexplored within applied health settings. The purpose of this study was to examine the extent to which intra-group age similarity relates to individual adherence behaviors within group-based exercise programs. A prospective observational design was used in which participants' (N=123) age similarity was assessed in relation to program adherence over a period of several months. Data were collected from within a large city in Western Canada during the winter of 2011. Analyses were performed using a multilevel framework shortly after data collection. A positive relationship was observed between age similarity and program adherence (β=0.19, SE=0.09, p=0.04). The findings are consistent with the notion that program adherence may be enhanced if age similarity is maximized.</t>
  </si>
  <si>
    <t>S400-301</t>
  </si>
  <si>
    <t>SCOPUS_ID:23044510831</t>
  </si>
  <si>
    <t>10.2105/AJPH.2003.036517</t>
  </si>
  <si>
    <t>HIV incidence among injection drug users in New York City, 1990 to 2002: Use of serologic test algorithm to assess expansion of HIV prevention services</t>
  </si>
  <si>
    <t>Objectives. We sought to estimate HIV incidence among injection drug users (IDUs) in New York City from 1990 to 2002 to assess the impact of an expansion of syringe exchange services. Syringe exchange increased greatly during this period, from 250 000 to 300 0000 syringes exchanged annually. Methods. Serum samples were obtained from serial cross-sectional surveys of 3651 IDUs. HIV-positive samples were tested with the Serologic Test Algorithm for Recent HIV Seroconversion (STARHS) assay to identify recent HIV infections and to estimate HIV incidence. Consistency with other incidence studies was used to assess strengths and limitations of STARHS. Results. HIV incidence declined from 3.55/100 person-years at risk (PYAR) from 1990-1992, to 2.63/100 PYAR from 1993-1995, to 1.05/100 PYAR from 1996-1998, and to 0.77/100 PYAR from 1999-2002 (P&lt;.001). There was a very strong negative linear relationship (r=-.99, P&lt;.005) between the annual numbers of syringes exchanged and estimated HIV incidence. These results were highly consistent with a large number of shorter incidence studies among IDUs conducted during the time period. Conclusions. STARHS testing of samples from large serial cross-sectional surveys can provide important data for the assessment of community-level HIV prevention.</t>
  </si>
  <si>
    <t>these mainly are about methodological implications</t>
  </si>
  <si>
    <t>S400-302</t>
  </si>
  <si>
    <t>SCOPUS_ID:80052017306</t>
  </si>
  <si>
    <t>10.2105/AJPH.2011.300210</t>
  </si>
  <si>
    <t>Public health nursing case management for women receiving temporary assistance for needy families: A randomized controlled trial using community-based participatory research</t>
  </si>
  <si>
    <t>Objectives: We evaluated the effectiveness of a community-based participatory research-grounded intervention among women receiving Temporary Assistance for Needy Families (TANF) with chronic health conditions in increasing (1) health care visits, (2) Medicaid knowledge and skills, and (3) health and functional status. Methods: We used a randomized controlled trial design to assign 432 women to a public health nurse case management plus Medicaid intervention or a wait-control group. We assessed Medicaid outcomes pre- and posttraining; other outcomes were assessed at 3, 6, and 9 months. Results: Medicaid knowledge and skills improved (P&lt;.001 for both). Intervention group participants were more likely to have a new mental health visit (odds ratio [OR]= 1.92; P=.007), and this likelihood increased in higher-risk subgroups (OR=2.03 and 2.83; P=.04 and .006, respectively). Depression and functional status improved in the intervention group over time (P=.016 for both). No differences were found in routine or preventive care, or general health. Conclusions: Health outcomes among women receiving TANF can be improved with public health interventions. Additional strategies are needed to further reduce health disparities in this population.</t>
  </si>
  <si>
    <t>S400-303</t>
  </si>
  <si>
    <t>SCOPUS_ID:85055089923</t>
  </si>
  <si>
    <t>10.1016/j.amepre.2018.07.021</t>
  </si>
  <si>
    <t>Use of Preventive Health Services Among Cancer Survivors in the U.S.</t>
  </si>
  <si>
    <t>Introduction: With improvements in early detection and treatment, a growing proportion of the population now lives with a personal history of a cancer. Although many cancer survivors are in excellent health, the underlying risk factors and side effects of cancer treatment increase the risk of medical complications and secondary malignancies. Methods: The 2013 National Health Interview Survey was utilized to assess the association between personal history of cancer and receipt of U.S. Preventive Services Task Force–recommended services, comprising three cancer screening tests (mammography, colonoscopy, and Pap smear) and six general medical preventive care services (aspirin for prevention of cardiovascular disease; blood pressure, cholesterol, and diabetes screening; diet/activity counseling; and tobacco use counseling). For each preventive service, patients with a history that would preclude that test were excluded. One to three matching of cancer survivors to controls was performed using propensity scores generated from patient-level demographic variables. Conditional logistic regression models were employed to compare odds of screening between matched cohorts of cancer survivors and controls. The years of analysis were 2015 and 2017. Results: A total of 2,639 cancer patients and 31,885 controls were extracted from the merged 2013 National Health Interview Survey. In the propensity score–matched cohorts of eligible adults, only one of the three cancer screening tests, colorectal, was more common in cancer survivors (OR=1.52, 95% CI=1.32, 1.75, p&lt;0.001), whereas breast and cervical cancer screening were not more common in survivors. By contrast, all of the medical screening tests, with the exception of diabetes screening, were more common among cancer survivors. Conclusions: The association between receipt of recommended preventive medical care and personal history of cancer varied, depending on the preventive service in question, but in the majority of preventive services assessed, cancer survivors had more frequent screening compared with non-cancer survivors.</t>
  </si>
  <si>
    <t>S400-304</t>
  </si>
  <si>
    <t>SCOPUS_ID:79961215023</t>
  </si>
  <si>
    <t>10.1093/aje/kwr108</t>
  </si>
  <si>
    <t>Indoor air pollution from coal combustion and the risk of neural tube defects in a rural population in shanxi province, China</t>
  </si>
  <si>
    <t>['Air pollution, indoor', 'China', 'coal', 'neural tube defects', 'polycyclic hydrocarbons, aromatic']</t>
  </si>
  <si>
    <t>The authors evaluated indoor air pollution from coal combustion (IAPCC) as a potential risk factor for neural tube defects (NTDs) in a rural population in Shanxi Province, China. The studied rural population has both high IAPCC exposure and a high prevalence of NTDs. A population-based case-control study was used to identify 610 NTD cases and 837 normal controls between November 2002 and December 2007. Information was collected within 1 week following delivery or pregnancy termination due to prenatal NTD diagnosis. The authors derived an exposure index by integrating a series of IAPCC-related characteristics concerning dwelling and lifestyle. Compared with women with no IAPCC exposure, women with any exposure at all had a 60% increased risk of having a child with an NTD (adjusted odds ratio (OR) = 1.6, 95% confidence interval (CI): 1.1, 2.1). An increased NTD risk was linked to both residential heating (adjusted OR = 1.7, 95% CI: 1.1, 2.4) and cooking (adjusted OR = 1.5, 95% CI: 1.1, 2.1). The risk increased with increases in the exposure index, showing a dose-response trend (P &lt; 0.001). This is the first known study to link IAPCC to NTDs. Additional studies are needed to confirm the link between IAPCC and NTDs. © 2011 The Author.</t>
  </si>
  <si>
    <t>S400-305</t>
  </si>
  <si>
    <t>SCOPUS_ID:84862684770</t>
  </si>
  <si>
    <t>10.1016/j.amepre.2012.03.022</t>
  </si>
  <si>
    <t>Motorized transportation, social status, and adiposity: The China Health and Nutrition Survey</t>
  </si>
  <si>
    <t>Background: Increased dependence on motorized transportation may contribute to obesity. Countries in rapid socioeconomic transitions, such as China, provide an opportunity to investigate such an association. Purpose: The aim of the study was to examine the hypotheses that increased dependence on motorized transportation is related to adiposity and that this effect will be more pronounced in adults with high SES or those who live in urban regions. Methods: Data from the longitudinal China Health and Nutrition Survey conducted from 1997 to 2006 (n=3853, aged 18-55 years at baseline, 52% women, ∼7.8 years' follow-up) were used to examine the association between motorized transportation (none, 1-5 years, &gt;5 years) and changes in body weight and waist circumference (WC) by using multivariate regression. SES factors were obtained from questionnaires. Data were analyzed in 2010. Results: Use of motorized transportation for &gt;5 years was related to ∼1.2 kg greater weight gain (p=0.006) and ∼1.0 cm larger WC gain (p=0.017) in men, when compared with the nonmotorized transportation group and adjusted for baseline age, anthropometry, dietary intake, and follow-up time. These changes were slightly more pronounced in men with higher income or from rural areas, but the difference was not significant. In women, the tendency to have motorized transportation with weight gain was less pronounced (+1.1 kg, p=0.008). Low education and high income were the most predominant factors. In 2006, motorized transportation was associated with a 1.3-fold higher OR for obesity (p trend=0.054) and abdominal obesity (p trend=0.047) in men, and a 2-fold higher OR of obesity in women (p trend &lt;0.001). Conclusions: Motorized transportation was related to an increase in adiposity in the Chinese population, particularly in men. © 2012 American Journal of Preventive Medicine.</t>
  </si>
  <si>
    <t>S400-306</t>
  </si>
  <si>
    <t>SCOPUS_ID:85150343488</t>
  </si>
  <si>
    <t>10.1016/j.amepre.2023.01.031</t>
  </si>
  <si>
    <t>mHealth to Support Outdoor Gym Resistance Training: The ecofit Effectiveness RCT</t>
  </si>
  <si>
    <t>Introduction: In Australia, 45% of adults meet the aerobic recommendations, and only 9%−30% meet the resistance training guidelines. Given the lack of at-scale community-based interventions promoting resistance training, the aim of this study was to assess the impact of an innovative mHealth intervention on upper- and lower-body muscular fitness, cardiorespiratory fitness, physical activity, and social-cognitive mediators among a sample of community-dwelling adults. Study design: Researchers evaluated the community-based ecofit intervention using a cluster RCT from September 2019 to March 2022 in 2 regional municipalities of New South Wales, Australia. Setting/participants: Researchers recruited a sample of 245 participants (72% female, aged 53.4±13.9 years) who were randomized to the ecofit intervention group (n=122) or waitlist control (n=123) group. Intervention: The intervention group received access to a smartphone application with standardized workouts tailored to 12 outdoor gym locations and an introductory session. Participants were encouraged to perform at least 2 ecofit workouts per week. Main outcome measures: Primary and secondary outcomes were assessed at baseline, 3 months, and 9 months. The coprimary muscular fitness outcomes were evaluated using the 90-degree push-up and the 60-second sit-to-stand test. Intervention effects were estimated using linear mixed models accounting for group-level clustering (participants could enroll in groups of up to 4). Statistical analysis was conducted in April 2022. Results: Statistically significant improvements were observed in upper (1.4 repetitions, 95% CI=0.3, 2.6, p=0.018) and lower (2.6 repetitions, 95% CI=0.4, 4.8, p=0.020) body muscular fitness at 9 months but not at 3 months. Increases in self-reported resistance training, resistance training self-efficacy, and implementation intention for resistance training were statistically significant at 3 and 9 months. Conclusions: This study has shown that a mHealth intervention promoting resistance training using the built environment can improve muscular fitness, physical activity behavior, and related cognitions in a community sample of adults. Trial registration: This trial was preregistered with the Australian and New Zealand Clinical Trial Registry (ACTRN12619000868189).</t>
  </si>
  <si>
    <t>S400-307</t>
  </si>
  <si>
    <t>SCOPUS_ID:85085125798</t>
  </si>
  <si>
    <t>10.1016/j.amepre.2020.01.030</t>
  </si>
  <si>
    <t>State Policies and Healthcare Use Among Transgender People in the U.S.</t>
  </si>
  <si>
    <t>Introduction: The introduction and passing of restrictive and protective transgender-specific state policies have increased during the past decade. These policies are critical for the health of transgender and other gender diverse people; however, little is known about the relationship between these policies and healthcare use, and the role that race/ethnicity plays in this relationship. Methods: Analysis was conducted in 2018–2019 using multilevel modeling and data from the 2015 U.S. Trans Survey (conducted by the National Center for Transgender Equality among nearly 28,000 transgender and other gender diverse people across the U.S.) to explore associations between transgender-specific state policies and healthcare avoidance because of fear of mistreatment. State policies included those related to experiences of discrimination, health insurance coverage, and changing legal documents. Restrictive and protective policies were measured individually and as a composite index. The relationship between race/ethnicity and healthcare use was also examined to determine whether there were differences in the association between race/ethnicity and healthcare avoidance by state. Results: None of the individual policies were associated with healthcare use, but the composite index was significant, such that living in states with more protective policies was associated with reduced odds of avoiding health care because of fear of mistreatment. The relationship between race/ethnicity and health care also varied across states. Conclusions: Findings suggest the importance of advocating for more protective transgender-specific policies to improve healthcare access for transgender and other gender diverse people in the U.S., particularly for transgender and other gender diverse people of color.</t>
  </si>
  <si>
    <t>S400-308</t>
  </si>
  <si>
    <t>SCOPUS_ID:85045915004</t>
  </si>
  <si>
    <t>10.1007/s10654-018-0393-9</t>
  </si>
  <si>
    <t>Low concentrations of 25-hydroxyvitamin d and long-term prognosis of copd: A prospective cohort study</t>
  </si>
  <si>
    <t>['Chronic bronchitis', 'Emphysema', 'Epidemiology', 'Forced expiratory volume', 'Nutrition', 'Spirometry']</t>
  </si>
  <si>
    <t>Role and importance of vitamin D deficiency in long-term prognosis of chronic obstructive pulmonary disease (COPD) still remains undetermined. We tested the hypothesis that among individuals with COPD, those with low concentrations of 25-hydroxyvitamin D have a poorer prognosis compared to those with normal concentrations. We studied 35,153 individuals from the general population aged 20–100 years with 25-hydroxyvitamin D measurements and spirometry, the Copenhagen City Heart Study [median follow-up 21 years (range 13 days–36 years)] and the Copenhagen General Population Study [7.1 years (3 days–13 years)]. Spirometric COPD (n = 5178; 15% of all) was defined as forced expiratory volume in 1 s (FEV1)/forced vital capacity (FVC)\0.70 in individuals without asthma and clinical COPD (n = 2033; 6%) as FEV1/FVC\0.70 and FEV1\80% of predicted in ever-smokers aged[40 years without asthma and with cumulative tobacco consumption C 10 pack-years. In spirometric COPD, median age at death in years was 70.2 (95% confidence interval [CI] 64.4–71.2) for individuals with 25-hydroxyvitamin D\12.5 nmol/L and 80.3 (74.4–83.4) for those with C 50 nmol/L. In clinical COPD, corresponding values were 69.0 (63.3–70.9) and 76.2 (73.8–78.0). In spirometric COPD, multivariable adjusted hazard ratios for individuals with 25-hydroxyvitamin D\12.5 nmol/L versus those with C 50 nmol/L were 1.35 (95% CI 1.09–1.67) for all-cause mortality, 1.63 (1.00–2.64) for respiratory mortality, 1.14 (0.76–1.70) for cardiovascular mortality, 1.37 (0.90–2.06) for cancer mortality, and 1.61 (1.04–2.49) for other mortality. In clinical COPD, corresponding values were 1.39 (1.07–1.82), 1.57 (0.91–2.72), 0.88 (0.51–1.53), 1.63 (0.99–2.67), and 2.00 (1.12–3.56). Low concentrations of 25-hydroxyvitamin D were associated with an increased risk of death in individuals with COPD. No clear pattern of association could be observed for cause of death; however, there may be an increased risk of respiratory, cancer, and other mortality. It is likely that low concentrations of 25-hydroxyvitamin D is a marker of poor health in COPD.</t>
  </si>
  <si>
    <t>S400-309</t>
  </si>
  <si>
    <t>SCOPUS_ID:85154049252</t>
  </si>
  <si>
    <t>10.1093/eurpub/ckac115</t>
  </si>
  <si>
    <t>Price minimizing behaviours by smokers in Europe (2006-20): evidence from the International Tobacco Control Project</t>
  </si>
  <si>
    <t>Background: Effectiveness of tobacco taxation can be undermined through smokers applying price-minimizing behaviours rather than quitting or reducing consumption. Common price-minimizing strategies are buying cheaper tobacco [discount brands or roll-your-own (RYO) tobacco], bulk buying and cross-border purchasing. This study analyses trends in and factors associated with such behaviours in four European countries from 2006 to 2020. Methods: Data came from adult smokers participating in the International Tobacco Control (ITC) Surveys conducted between 2006 and 2020 in England (9 waves, n = 768-4149), France (4 waves, n = 1415-1735), Germany (5 waves, n = 513-1515) and the Netherlands (10 waves, n = 1191-2177). Country-specific generalized estimating equation regression models were fit to assess trends in smoking RYO tobacco, discount brands, bulk buying and cross-border purchasing within the European Union. Results: Buying discount brands or RYO tobacco was the most common strategy in all countries, except France. Except for buying discount brands, estimates of price-minimizing behaviours were highest in France (2019: RYO = 27.2%, discount brands = 17.3%, bulk buying = 34.1%, cross-border purchasing = 34.2%), and lowest in Germany (2018: RYO = 18.6%, discount brands = 43.7%, bulk buying = 8.0%, cross-border purchasing = 9.8%). Direction and magnitude of trends differed by country, and behaviour. Young smokers were less likely to buy in bulk. Low-income and low-education smokers were more likely to purchase RYO tobacco or discount brands. The association with discount brands was not found for French low-income smokers. Conclusions: Smoking cheaper tobacco is the most prevalent price-minimizing strategy in three countries (England, Germany and Netherlands), and more prevalent among low-income individuals. Harmonizing prices across products and countries would reduce switching to cheaper tobacco.</t>
  </si>
  <si>
    <t>S400-310</t>
  </si>
  <si>
    <t>SCOPUS_ID:0031662493</t>
  </si>
  <si>
    <t>10.1093/eurpub/8.3.227</t>
  </si>
  <si>
    <t>Insufficient prenatal care in Finland and Baden-Wurttemberg characteristics of women and infant outcome</t>
  </si>
  <si>
    <t>['Birth registry', 'Foreigners', 'Infant outcome', 'Late attendance', 'Prenatal care']</t>
  </si>
  <si>
    <t>The amount of prenatal care and the relationship between insufficient prenatal care, mothers' characteristics and infant outcome were studied in Finland and in Baden-Wurttemberg, Germany. The main sources of data were the Finnish Medical Birth Register (N=193,659) and the Perinatal Survey of Baden- Wurttemberg (N=307,152) in 1991-1993. Insufficient prenatal care was defined as no visits, 1 or 2 visits or late attendance. Most of the women - also those in the risk groups for low use of care (foreigners, young mothers, grand multiparas, single mothers and women with a poor social status) - were using prenatal care extensively. The proportion of women having insufficient care was 3.4% in Finland and 8.1% in Baden-Wurttemberg, most of them being late attenders. Among women with insufficient care, 39% in Finland and 55% in Baden-Wurttemberg were from the risk groups identified. Foreign nationals contributed 10% of the women with insufficient care in Finland and 44% in Baden-Wurttemberg. The group of women with insufficient prenatal care was heterogeneous and it could not be defined by using traditional risk factors only. Infants of mothers with few prenatal visits had poorer outcomes, but the attributable proportion of insufficient prenatal care to infant outcome was small.</t>
  </si>
  <si>
    <t>S400-311</t>
  </si>
  <si>
    <t>SCOPUS_ID:56749096785</t>
  </si>
  <si>
    <t>10.1093/eurpub/ckn092</t>
  </si>
  <si>
    <t>Welfare state regimes and income-related health inequalities: A comparison of 23 European countries</t>
  </si>
  <si>
    <t>['Europe', 'Health inequalities', 'Income', 'Welfare state regimes']</t>
  </si>
  <si>
    <t>Objective: The objective of this study was to determine whether the magnitude of income-related health inequalities varies between welfare regimes (Scandinavian, Anglo-Saxon, Bismarckian, Southern and Eastern). Specifically, it examined whether the Scandinavian welfare state regime has smaller income-based health inequalities than the other welfare state regimes. Methods: The first (2002) and second (2004) waves of the representative cross-sectional European Social Survey (ESS), which comprised more than 80 000 respondents, were used to analyse income inequalities (relative health difference between the first and third income tertile) in self-reported health (general health, limiting longstanding illness) amongst those aged 25 or more. Data related to 23 European countries classified into five welfare state regimes. The study controlled for age and adjusted for educational attainment. Results: When comparing the health of the first income tertile with the third, the Scandinavian countries only seemed to hold an intermediate position: they did not have the smallest, or the largest, health inequalities. However, the Anglo-Saxon welfare states had the largest income-related health inequalities for both men and women, while countries with Bismarckian welfare states tended to demonstrate the smallest. This pattern was unchanged after controlling for educational attainment. However, education seemed to explain the largest part of income-related health inequalities in the Southern regime. Conclusion: This study shows that the magnitudes of income-related health inequalities indeed vary by welfare state regime. However, this variation was not always in the direction expected as the Scandinavian countries did not exhibit the smallest health inequalities. © The Author 2008. Published by Oxford University Press on behalf of the European Public Health Association. All rights reserved.</t>
  </si>
  <si>
    <t>S400-312</t>
  </si>
  <si>
    <t>SCOPUS_ID:0029962940</t>
  </si>
  <si>
    <t>10.1136/jech.50.Suppl_1.S36</t>
  </si>
  <si>
    <t>Short term effect of air pollution on mortality in Polish urban populations - What is different?</t>
  </si>
  <si>
    <t>Study objective - To assess, within the multinational European Community funded APHEA project, the relationship between daily ambient air pollution with sulphur dioxide (SO2) and black smoke (BS) and the daily number of deaths from all causes except external, from cardiovascular diseases, and from respiratory diseases taking into account several possible confounding factors. Design - Time series analysis with the application of Poisson regression to the counts of daily number of deaths from selected causes over several years. Data were obtained from the computer files of individual death records in four Polish cities. Criteria developed for all the centres participating in the project were applied to the process of model building. Setting - Four Polish cities - Cracow (period 1977-89), Lodz (1977-90), Poznan (1983-90), and Wroclaw (1979-89). Subjects - Permanent residents of the cities who died in a city of residence or in a surrounding region during the study period. Main results - There were significant positive associations between mortality from all causes excluding external ones and SO2 and BS in Cracow and in Lodz and between mortality from cardiovascular diseases and SO2 in Cracow alone. In other cities the association was either non-significant or significant but in the opposite direction. No significant positive association was found between respiratory deaths and these pollutants. Conclusions - Short term effect of air pollution on mortality in Polish urban population cannot be ignored. However, differences observed between the cities suggest that the association may be not so straightforward and therefore there is a need of further studies to identify additional factors that may modify and confound the association.</t>
  </si>
  <si>
    <t>calls for further research</t>
  </si>
  <si>
    <t>S400-313</t>
  </si>
  <si>
    <t>SCOPUS_ID:4644352996</t>
  </si>
  <si>
    <t>10.1093/ije/dyh111</t>
  </si>
  <si>
    <t>Birthweight and work participation in adulthood</t>
  </si>
  <si>
    <t>['Adult', 'Birthweight', 'Child', 'Cohort studies', 'Employment', 'Follow-up studies', 'Social environment']</t>
  </si>
  <si>
    <t>Background. In a number of studies, birthweight has been associated with cognition and educational attainment into adult age. However, the association is not clear between birthweight and work participation in adulthood. We investigated this association assessing to which extent it was influenced by circumstances concerning family background or disease in early life. Methods. Through linkage between several national registers containing personal information from birth into adult age we established a longitudinal, population-based cohort study. Study participants were all 308 829 singletons born in Norway in 1967-1971 as registered by the Medical Birth Registry of Norway who were national residents at age 29. The study outcome was unemployment defined as a lack of personal income among people who were not under education in the calendar year of their 29th birthday as registered by the National Insurance Administration and Statistics Norway. Results. Birthweight below the standardized mean was associated with unemployment. The risk of unemployment increased by decreasing birthweight for both women and men and also after adjustment for potential confounding factors. The association was evident both in people with or without social disadvantage, as well as people with or without childhood disease. Still, birthweight below the standardized mean explained much less of the unemployment risk than did social disadvantage (attributable fractions 8.0% versus 28.3% for women and 10.0% versus 40.2% for men). Conclusion. Birthweight below the standardized mean was independently associated with unemployment at age 29, also in the normal birthweight range. © International Epidemiological Association 2004; all rights reserved.</t>
  </si>
  <si>
    <t>S400-314</t>
  </si>
  <si>
    <t>SCOPUS_ID:0028300021</t>
  </si>
  <si>
    <t>10.1136/jech.48.2.156</t>
  </si>
  <si>
    <t>Aetiology of peptic ulcer: A prospective population study in Norway</t>
  </si>
  <si>
    <t>Study objective - To analyse simultaneously the effect of several risk factors for peptic ulcer. Design - Cohort study where all patients with new or incident peptic ulcers in a well defined population were registered for a seven year period. The follow up started with a comprehensive health survey including a questionnaire on diet, lifestyle, psychological and social conditions, and health. Relative risks, both sex specific and separate, for gastric and duodenal ulcers were estimated from proportional hazard regression analysis. Setting - A population based survey conducted in the municipality of Tromso, northern Norway. Participants - In 1980, a total of 21440 men and women, aged 20 to 54 years and 20 to 49 years respectively, were invited to participate. A total of 14667 people attended and returned the questionnaire. Main results - A total of 328 people had their first peptic ulcer in the follow up period. Age, cigarette smoking, first degree relatives with peptic ulcer, and low educational level were shared risk factors for peptic ulcer in both men and women. In men, frequent upper respiratory infections increased the risk of gastric ulcer and drinking a great deal of milk increased the risk of duodenal ulcer. None of the other dietary variables, including coffee and alcohol consumption, contributed significantly to the risk. Use of analgesics was not a risk factor, and none of the psychological indicators analysed carried any significant risk. Conclusions - Age, inheritance, and cigarette smoking are all important risk factors for peptic ulcer. The increased risk associated with low educational background indicate that social strains, comprising lifestyle and diet habits, are part of the multifactorial aetiology of peptic ulcer. No support was found for the assumption that peptic ulcer disease is a psychosomatic disorder. This study did not support the view that duodenal and gastric ulcers have different aetiologies - rather it showed a similarity in risk patterns.</t>
  </si>
  <si>
    <t>S400-315</t>
  </si>
  <si>
    <t>SCOPUS_ID:70349931950</t>
  </si>
  <si>
    <t>10.2105/AJPH.2008.145128</t>
  </si>
  <si>
    <t>Density of tobacco retailers near schools: Effects on tobacco use among students</t>
  </si>
  <si>
    <t>Objectives. We examined the relationship between students' tobacco use and the density and proximity of tobacco retailers near their schools. Methods. We used data from the 2003-2004 California Student Tobacco Survey and California retail licensing data. Measures included students' selfreported tobacco use and geocoded state-reported locations of tobacco retailers. We used random-intercept generalized linear mixed modeling to jointly evaluate individual-level and school-level predictors. Results. Densityof retailerswasassociatedwith experimental smoking(odds ratio [OR]=1.11; 95% confidence interval [CI]=1.02, 1.21) but not established smoking (OR=1.06; 95%CI=0.94, 1.20).The effectsonexperimental smokingwereconfined to high school students (OR=1.17; 95% CI=1.06, 1.29) in urban areas (OR=1.11; 95% CI=1.01, 1.21); no effects were observed among middle school students or in rural schools. High school students were more likely to obtain cigarettes from a retailer; middle school students reliedmore heavily on social sources. Conclusions. Our results support the plausibility of reducing rates of students' experimental smoking, but not established smoking, by restricting their access to commercial sources of tobacco in urban areas.</t>
  </si>
  <si>
    <t>S400-316</t>
  </si>
  <si>
    <t>SCOPUS_ID:0025827858</t>
  </si>
  <si>
    <t>10.1093/oxfordjournals.aje.a115946</t>
  </si>
  <si>
    <t>A preliminary study of excess risk of cardiovascular disease in the mothers of patients with rheumatoid arthritis</t>
  </si>
  <si>
    <t>['Arthritis', 'Cardiovscular disease', 'Mothers', 'Rheumatoid', 'Rheumatoid factor']</t>
  </si>
  <si>
    <t>Family histories were obtained from 123 patients with rheumatoid arthritis and 152 patients with other musculoskeletal complaints. The subjects were female patients aged 40 years or more seen at the Arthritis Clinic of the State University of New York Health Science Center at Brooklyn between October 1985 and February 1986. It was found that death due to heart disease or stroke was more common (adjusted p &lt; 0.02) in the mothers of patients with rheumatoid arthritis than in the mothers of control patients, and that heart disease was also reported to be more common in these mothers (adjusted p &lt; 0.005). Thus, it is possible that cardiovascular disease at least partially accounts for the previously noted (J Rheumatol 1986;13:903-6) shorter life expectancy of the mothers of patients with rheumatoid arthritis. © 1991 by The Johns Hopkins University School of Hygiene and Public Health.</t>
  </si>
  <si>
    <t>S400-317</t>
  </si>
  <si>
    <t>SCOPUS_ID:85051259240</t>
  </si>
  <si>
    <t>10.1016/j.ypmed.2018.08.005</t>
  </si>
  <si>
    <t>Accuracy of mammography and clinical breast examination in the implementation of breast cancer screening programs in Colombia</t>
  </si>
  <si>
    <t>['Breast neoplasms', 'Clinical breast exam', 'Colombia', 'Mammography', 'Massive screening', 'Sensitivity', 'Specificity']</t>
  </si>
  <si>
    <t>Most evidence on breast cancer screening accuracy derives from high income countries. We evaluated screening accuracy and factors related to program implementation in Bogota, Colombia. Between 2008 and 2012 participants underwent clinical breast examination (CBE) and mammography. Positive results underwent histological verification. Adherence to screening protocols was analyzed. Sensitivity, specificity, and predictive values were estimated and adjusted by overdiagnosis. Impact of alternative screening algorithms on follow-up was explored, including combined screening tests and modified coding systems for mammography. In total, 7436 women aged 50–69 were enrolled; 400 discontinued and 1003 non-compliant with screening protocols. 23 cancer cases were diagnosed. Mammography sensitivity and specificity were 78.3% (95%CI 77.3–99.3) and 99.4% (95%CI 99.2–99.6). CBE sensitivity was 39.1% (95%CI 37.9–40.3) and specificity 83.4% (95%CI 82.6–84.3). Parallel mammography and CBE showed the highest sensitivity (95.6%) and combined as serial tests the lowest (positive CBE followed by mammography 13.0%). A simplified coding system for mammography (recall/no-recall) had 6.3% of positive results and a minor reduction in specificity compared with standard mammography, but reported the best balance between recall rates and screening protocol compliance. Call-backs had high rates of loss-to-follow-up; thus, alternative screening algorithms might help increase screening compliance and follow-up in low and middle income countries, particularly in populations with poor screening history and low access to health services.</t>
  </si>
  <si>
    <t>mainly methodological implications?</t>
  </si>
  <si>
    <t>S400-318</t>
  </si>
  <si>
    <t>SCOPUS_ID:0034656922</t>
  </si>
  <si>
    <t>10.1093/oxfordjournals.aje.a010144</t>
  </si>
  <si>
    <t>Fish consumption and coronary heart disease mortality in Finland, Italy, and the Netherlands</t>
  </si>
  <si>
    <t>['Coronary disease', 'Diet', 'Fatty acids, unsaturated', 'Fishes', 'Mortality']</t>
  </si>
  <si>
    <t>Fish consumption seems to protect against death from coronary heart disease (CHD). If this association is due to n-3 polyunsaturated fatty acids, especially fatty fish may be responsible for this protective effect. The association between total, lean, and fatty fish consumption and the risk of CHD mortality was examined in 1,088 Finnish, 1,097 Italian, and 553 Dutch men participants in the Seven Countries Study who were aged 50-69 years and free of CHD around 1970. After 20 years of follow-up, 242 (22.2%) men in Finland, 116 (10.6%) men in Italy, and 105 (19.0%) men in the Netherlands had died of CHD. Cox proportional hazards analysis showed no association between total fish consumption and CHD mortality. After adjustments were made for age, body mass index, smoking, energy intake, and relevant dietary variables, the pooled relative risk for the highest quartile of total fish compared with no fish consumption in the three countries was 1.08 (95% confidence interval: 0.76, 1.53). Lean fish consumption also was not associated with CHD mortality in any country. Fatty fish compared with non-fatty-fish consumption was associated with lower CHD mortality; the adjusted, pooled relative risk for fatty fish consumers was 0.66 (95% confidence interval: 0.49, 0.90). These data suggest that especially fatty fish is protective against CHD mortality.</t>
  </si>
  <si>
    <t>S400-319</t>
  </si>
  <si>
    <t>SCOPUS_ID:85041420010</t>
  </si>
  <si>
    <t>10.1016/j.ypmed.2018.01.001</t>
  </si>
  <si>
    <t>Perceptions of the relative harmfulness of marijuana and alcohol among adults in Oregon</t>
  </si>
  <si>
    <t>['Alcohol', 'Marijuana', 'Perceived harm']</t>
  </si>
  <si>
    <t>This study documents perceptions of the relative harmfulness of marijuana and alcohol to a person's health among adults in Oregon just before the first legal sales of marijuana for recreational use. We surveyed 1941 adults in Oregon in September 2015. Respondents were recruited using an address-based sampling (ABS) frame (n = 1314) and social media advertising (n = 627). Respondents completed paper surveys (ABS-mail, n = 388) or online surveys (ABS-online, n = 926; social media, n = 627). We used descriptive statistics and logistic regression models to examine perceptions of the relative harmfulness of marijuana and alcohol by sample characteristics, including substance use. About half of adults in Oregon (52.5%) considered alcohol to be more harmful to a person's health than marijuana. A substantial proportion considered the substances equally harmful (40.0%). Few considered marijuana to be more harmful than alcohol (7.5%). In general, respondents who were younger, male, and not Republican were more likely than others to consider alcohol more harmful than marijuana. Respondents who were older, female, and Republican were more likely to consider marijuana and alcohol equally harmful. Most individuals who reported using both marijuana and alcohol (67.7%) and approximately half of those who used neither substance (48.2%) considered alcohol to be more harmful than marijuana. Perceptions about the relative harmfulness of marijuana and alcohol may have implications for public health. As state lawmakers develop policies to regulate marijuana, it may be helpful to consider the ways in which those policies may also affect use of alcohol and co-use of alcohol and marijuana.</t>
  </si>
  <si>
    <t>S400-320</t>
  </si>
  <si>
    <t>SCOPUS_ID:7144261058</t>
  </si>
  <si>
    <t>10.1093/eurpub/8.2.166</t>
  </si>
  <si>
    <t>Importance of detailed adjustment for smoking when comparing hospitalization and mortality in men and women in a Danish population study</t>
  </si>
  <si>
    <t>['Chronic obstructive pulmonary disease', 'COPD', 'Gender', 'Smoking']</t>
  </si>
  <si>
    <t>Mortality from smoking-related diseases is rising steeply among women. Although most studies recognize that smoking habits differ between men and women, this knowledge is seldom applied when studying gender differences. Based on two large population studies comprising almost 16,000 study subjects, we illustrate the importance of adjusting for smoking in detail when comparing hospitalization and mortality between men and women. Adjusting for smoking as a dichotomous variable, age-adjusted mortality risk during 16 years follow-up was 80% higher for men than women. Adjusting for smoking in detail significantly reduced men's excess risk to 50%. The risk of hospitalization for chronic obstructive pulmonary disease was 50% higher for men when adjusting for smoking as a dichotomous variable, whereas with full adjustment the risk was reversed to a significantly increased risk for women of 20%. We conclude, that when comparing smoking-related morbidity in men and women, smoking habits must be adjusted for in more detail than is usually the case.</t>
  </si>
  <si>
    <t>S400-321</t>
  </si>
  <si>
    <t>SCOPUS_ID:38549135606</t>
  </si>
  <si>
    <t>10.1093/eurpub/ckm059</t>
  </si>
  <si>
    <t>Introduction of diagnosis-related groups in Germany: Evaluation of impact on in-patient care in a dermatological setting</t>
  </si>
  <si>
    <t>['DRG', 'Hospital care', 'Impact', 'In-patient dermatology', 'Length of stay']</t>
  </si>
  <si>
    <t>Background: German diagnosis-related groups (G-DRG) have been introduced in Germany as a reimbursement system for in-patient care. The aim of this study was to report data-based experiences from the introduction process and to evaluate the impact on in-patient dermatology. Methods: A quantitative analysis including clinical data from two large university centres of dermatology over a time period of 4 years (2003-06) has been performed. Characteristics and trends of case-mix index, number of cases, average age, length of stay (LOS), surgical and medical treatments and in-patient case groups were studied in detail. Results: It was found that the case-mix index values increased after the introduction period, but subsequently declined on the initial value. At the same time, an increase of dermatological hospital admissions can be noticed parallel to a significant reduction of LOS (P &lt; 0.001) and a moderate increase of average age (P &lt; 0.001). Analysis of DRG assignment revealed an initial significant decline of surgical in-patient procedures and increasing medical treatments, however, without obvious long-term changes. Furthermore, a growing importance for dermatological oncology and inflammable skin diseases within the in-patient setting could be observed. Conclusions: The introduction of the G-DRG system in Germany induced changes in in-patient care affecting hospital admission rates, LOS and cases treated in an in-patient setting. In-patient activities have not been reduced with the DRG introduction; however, long-term interdisciplinary research approaches are needed to explore the future impact on health care providing and quality of health care in depth. © The Author 2007. Published by Oxford University Press on behalf of the European Public Health Association. All rights reserved.</t>
  </si>
  <si>
    <t>S400-322</t>
  </si>
  <si>
    <t>SCOPUS_ID:33845413300</t>
  </si>
  <si>
    <t>10.1093/eurpub/ckl023</t>
  </si>
  <si>
    <t>Made in the USA: The import of American Consumer Assessment of Health Plan Surveys (CAHPS®) into the Dutch social insurance system</t>
  </si>
  <si>
    <t>['Health services research', 'Patient satisfaction', 'Questionnaire development', 'Social insurance']</t>
  </si>
  <si>
    <r>
      <t xml:space="preserve">Background: In the Netherlands, managed competition between health plans has been introduced. For Dutch health plans this implies that they need to collect data about their own performance and that of the care providers they contract. To that end, Consumer Assessment of Health Plan Surveys (CAHPS) instruments have recently been adopted by a large Dutch health plan. Objectives: This paper presents the results of a validation study of the Dutch version of the CAHPS Adult Commercial questionnaire. The questions addressed are as follows: Can this questionnaire be adapted for use in the context of the Dutch insurance system? and Can it generate valid information about the quality of health care and the performance of Dutch health plans? Methods: The translated questionnaire has been mailed to a sample of 977 enrollees. The psychometric properties of the translated instrument have been studied, and the results have been compared with those of other Dutch and American studies. Results: The net response rate was 51% (n = 500). In general, the questionnaires were filled out completely and consistently. Principal component analyses revealed a factor that can be labelled as patient-centredness in the primary process. It contains the domains that in the CAHPS literature are described as 'courteous/helpful staff' and 'doctors communicating well'. Conclusions: </t>
    </r>
    <r>
      <rPr>
        <sz val="11"/>
        <rFont val="Calibri (Body)"/>
      </rPr>
      <t>The translated version of the CAHPS Adult Commercial questionnaire is</t>
    </r>
    <r>
      <rPr>
        <sz val="11"/>
        <color rgb="FFFF0000"/>
        <rFont val="Calibri (Body)"/>
      </rPr>
      <t xml:space="preserve"> a promising tool for Dutch health plans</t>
    </r>
    <r>
      <rPr>
        <sz val="11"/>
        <color theme="1"/>
        <rFont val="Calibri"/>
        <family val="2"/>
        <scheme val="minor"/>
      </rPr>
      <t>. More research is needed on the external and the content validity of these questionnaires in the Dutch context. © The Author 2006. Published by Oxford University Press on behalf of the European Public Health Association. All rights reserved.</t>
    </r>
  </si>
  <si>
    <t>methdological research only</t>
  </si>
  <si>
    <t>S400-323</t>
  </si>
  <si>
    <t>SCOPUS_ID:0027338512</t>
  </si>
  <si>
    <t>10.1093/ije/22.5.936</t>
  </si>
  <si>
    <t>Paralytic poliomyelitis in oman: association between regional differences in attack rate and variations in antibody responses to oral poliovirus vaccine</t>
  </si>
  <si>
    <t>Variation in attack rates of paralytic disease by region during the 1988–1989 epidemic of type 1 poliomyelitis in Oman provided the stimulus to test the hypothesis that these observations were due to regional differences in the response of infants to trivalent oral poliovirus vaccine (OPV). Seroprevalence studies of 394 children born during the outbreak were conducted in six different regions of Oman and in two socioeconomic status (SES) groups in the capital city of Muscat; a seroconversion study was also carried out in 105 infants born after the outbreak. Seroprevalence rates by region after receipt of at least three doses of OPV ranged from 90% to 100% (median 94%) to poliovirus type 1, and from 86% to 100% (median 97%) to type 2, and from 47% to 79% [median 72%) to type 3, with the lowest rates observed in regions with the highest incidence of type 1 paralytic disease. In Muscat, seroprevalence rates were also significantly lower in low versus high SES groups (type 1: 84% versus 98%. respectively [P = 0.006]; type 3: 59% versus 86%. respectively [P = 0.001]). In the seroconversion study conducted after the outbreak, 89%. 100% and 50% of infants had detectable antibodies to types 1, 2, and 3, respectively, after four doses of OPV. Low responses to type 3 were also associated with the occurrence of sporadic cases of type 3 poliomyelitis in 1991, in spite of high rates of coverage with at least four doses of OPV (&gt;96%) throughout the country. These findings demonstrate that antibody responses to OPV may vary widely within individual countries, and that a uniform strategy to deliver at least three doses in routine programmes may be insufficient to achieve elimination of wild poliovirus infection. © 1993, International Epidemiological Association.</t>
  </si>
  <si>
    <t>S400-324</t>
  </si>
  <si>
    <t>SCOPUS_ID:3042525905</t>
  </si>
  <si>
    <t>10.1016/j.ypmed.2004.02.004</t>
  </si>
  <si>
    <t>Distress after an abnormal Pap smear result: Scale development and psychometric validation</t>
  </si>
  <si>
    <t>['Cervical cancer', 'Cervical intraepithelial neoplasia', 'Cervical smears', 'Cervix dysplasia', 'Distress', 'Papanicolaou smear', 'Psychometrics', 'Questionnaires']</t>
  </si>
  <si>
    <t>Background. Psychological distress is severe in women who receive a report of abnormal findings on Pap smear, and may be one reason 10-61% of such women fail to undergo follow-up testing. Methods. Using the 14-question Psychosocial Effects of Abnormal Pap Smears Questionnaire (PEAPS-Q) as a basis, we developed the 23-question Cervical Dysplasia Distress Questionnaire (CDDQ), testing its internal consistency and validity with 661 women undergoing colposcopy after an abnormal Pap smear finding in a three-phase analysis. Results. Items were divided into two sets and factor analyzed separately: one addressed distress during medical procedures, and the other concerned perceived consequences of an abnormal Pap smear. The medical procedures items yielded two factors: embarrassment regarding the procedures and discomfort/tension with the procedures. Factor analysis of the second set also resulted in two factors: concern about sexual and reproductive issues and concern about health consequences. Subscales created from items loading highly on each factor had high internal consistency (α ranged from 0.76 to 0.90) and demonstrated good concurrent validity with other psychometrically validated measures of distress. Conclusions. The CDDQ is a reliable and valid questionnaire for measuring multiple domains of distress unique to women who test positive on a cervical cancer screening test. © 2004 The Institute For Cancer Prevention and Elsevier Inc. All rights reserved.</t>
  </si>
  <si>
    <t>S400-325</t>
  </si>
  <si>
    <t>SCOPUS_ID:85103459974</t>
  </si>
  <si>
    <t>10.1136/jech-2020-216200</t>
  </si>
  <si>
    <t>Exploring multilevel social determinants of depressive symptoms for Tanzanian adolescents: Evidence from a cross-sectional study</t>
  </si>
  <si>
    <t>['adolescents CG', 'depression', 'gender', 'social epidemiology', 'socio-economic']</t>
  </si>
  <si>
    <t>Background Depression has substantial and enduring impacts for adolescents, particularly those living in poverty. Yet, evidence on its determinants in low-income countries remains scarce. We examined the social determinants of depressive symptoms for Tanzanian adolescents. Methods We used cross-sectional data for 2458 adolescents (aged 14-19), to describe associations with depressive symptoms within and across five domains-demographic, economic, neighbourhood, environmental and social-cultural-using linear mixed models. We estimated depressive symptoms using the 10-item Centre for Epidemiological Studies Depression Scale, which ranges from 0 to 30 and increases with additional symptoms. Results Factors associated with depressive symptoms in the fully adjusted models included experiencing five or more household economic shocks (β=2.40; 95% CI 1.48 to 3.32), experiencing droughts/floods (β=0.76; 95% CI 0.36 to 1.17), being in a relationship (β=1.82; 95% CI 1.30 to 2.33), and having moderate (β=1.26; 95% CI 0.80 to 1.71) or low (β=2.27; 95% CI 1.81 to 2.74) social support. Exclusive schooling was protective compared with being engaged in both school and paid work (β=1.07; 95% CI 0.05 to 2.61) and not engaged in either (β=0.73; 95% CI 0.24 to 1.22). Household size and relationship status were more important factors for girls, while employment status, and extreme precipitation were more important for boys. Conclusion Mental health is associated with determinants from multiple domains. Results suggest that environmental shocks related to climate change contribute to poor mental health in adolescents, highlighting an important area for intervention and research.</t>
  </si>
  <si>
    <t>S400-326</t>
  </si>
  <si>
    <t>SCOPUS_ID:0034468756</t>
  </si>
  <si>
    <t>10.1023/A:1007601919164</t>
  </si>
  <si>
    <t>Risk factors for congenital heart diseases in Alexandria, Egypt</t>
  </si>
  <si>
    <t>['Congenital heart diseases (CHD)', 'Developing countries', 'Genetic susceptibility', 'Risk factors']</t>
  </si>
  <si>
    <t>A matched case control study has been conducted in the children's hospitals in Alexandria, Egypt, during 2 years-period, aiming at investigating the risk factors for the occurrence of congenital heart diseases. Our results showed that the significant risk factors for developing any type of congenital heart disease and ventricular septal defects were: older paternal age at birth, positive consanguinity, positive family history, female sex hormones, irradiation, hazardous maternal occupation, diabetes mellitus and suburban or rural residence. However, some environmental/teratogenic factors were not implicated in the etiology of atrial septal defects or pulmonary stenosis. These findings strongly suggest that environmental factors vary according to the specific type of congenital heart disease. This study emphasizes on the need to instruct the public about the importance of pre-marital counseling and the deleterious effects of various teratogens in the environment.</t>
  </si>
  <si>
    <t>S400-327</t>
  </si>
  <si>
    <t>SCOPUS_ID:80955163708</t>
  </si>
  <si>
    <t>10.1016/j.ypmed.2011.07.018</t>
  </si>
  <si>
    <t>Until the lab takes it away from epidemiology</t>
  </si>
  <si>
    <t>['Cholera', 'Epidemiology', "Kaposi's sarcoma", 'Laboratory sciences', 'Pellagra']</t>
  </si>
  <si>
    <t>Background: It is proposed that, historically, when the conditions are right for laboratory sciences to contribute to causal knowledge, they take the place of epidemiology as leaders in a given field. Methods: Review examples of cholera, pellagra, and Kaposi's sarcoma. Results: In the cases of cholera, pellagra, and Kaposi's sarcoma, epidemiology ceased to be at the forefront of knowledge acquisition when laboratory sciences identified more proximate causes than those that epidemiologic group comparisons could reveal. Conclusion: These three examples deal with diseases, which, at the individual level, appear to rely predominantly on a single factor. For diseases whose causes still elude specific identification by the laboratory sciences, epidemiology may be uniquely equipped to play a leading role. © 2011 Elsevier Inc.</t>
  </si>
  <si>
    <t>S400-328</t>
  </si>
  <si>
    <t>SCOPUS_ID:85140004470</t>
  </si>
  <si>
    <t>10.1016/j.amepre.2022.05.014</t>
  </si>
  <si>
    <t>Trends in U.S. Depression Prevalence From 2015 to 2020: The Widening Treatment Gap</t>
  </si>
  <si>
    <t>Introduction: Major depression is a common and potentially lethal condition. Early data suggest that the population-level burden of depression has been exacerbated by the COVID-19 pandemic. Prepandemic estimates of depression prevalence are required to quantify and comprehensively address the pandemic's impact on mental health in the U.S. Methods: Data were drawn from the 2015–2020 National Survey on Drug Use and Health, a nationally representative study of U.S. individuals aged ≥12 years. The prevalence of past-year depression and help seeking for depression were estimated from 2015 to 2019, and time trends were tested with Poisson regression with robust SEs. Point estimates were calculated for 2020 and not included in statistical trend analyses because of differences in data collection procedures. Results: In 2020, 9.2% (SE=0.31) of Americans aged ≥12 years experienced a past-year major depressive episode. Depression was more common among young adults aged 18–25 years (17.2%, SE=0.78), followed closely by adolescents aged 12–17 years (16.9%, SE=0.84). Depression increased most rapidly among adolescents and young adults and increased among nearly all sex, racial/ethnic, income, and education groups. Depression prevalence did not change among adults aged ≥35 years, and the prevalence of help seeking remained consistently low across the study period. Conclusions: From 2015 to 2019, there were widespread increases in depression without commensurate increases in treatment, and in 2020, past 12‒month depression was prevalent among nearly 1 in 10 Americans and almost 1 in 5 adolescents and young adults. Decisive action involving a multipronged public health campaign that includes evidence-based prevention and intervention to address this ongoing mental health crisis is urgently needed.</t>
  </si>
  <si>
    <t>S400-329</t>
  </si>
  <si>
    <t>SCOPUS_ID:19544362729</t>
  </si>
  <si>
    <t>10.1016/j.ypmed.2004.11.029</t>
  </si>
  <si>
    <t>Biochemical and behavioral indices related to BMI in schoolchildren in urban Turkey</t>
  </si>
  <si>
    <t>['Cardiovascular disease risk factors', 'Cross-sectional study', 'Diet and exercise', 'Physical fitness', 'Underreporting']</t>
  </si>
  <si>
    <t>Background. The aim of the current study was to examine the interrelationship between certain cardiovascular disease (CVD) risk factors and overweight, as well as to provide some indication on the prevalence of underweight, overweight and obesity in primary schoolchildren in urban Turkey. Methods. 1044 randomly selected children aged 12 and 13 years old from the urban areas of Istanbul, Ankara and Izmir were examined. The main variables of interest were fatness determined by body mass index and sum of skinfolds, lipid profile, dietary intake, physical fitness and habitual physical activity. Results. Both overweight boys and girls were found to have lower cardiovascular fitness levels compared to their normal weight peers. Overweight boys reported lower energy and macronutrient intake than their normal weight counterparts. Regarding biochemical indices, overweight boys were found to have higher total cholesterol (TC), Low Density Lipoprotein-cholesterol (LDL-C), triglycerides (TG) and LDL-C/HDL-C ratio compared to normal weight boys, while overweight girls were found to have lower High Density Lipoprotein-cholesterol (HDL-C) and higher TG compared to their normal weight peers. Finally, the prevalence of underweight, overweight and obesity for the overall population was found to be 12%, 12% and 2%, respectively. Conclusions. The study revealed that overweight and obesity in children coexisted with more unfavorable lipid profiles and lower cardiovascular fitness levels. This finding points out the emergent need for suitable measures to be implemented in order to identify and counteract these health and social problems early in life. © 2005 Elsevier B.V. All rights reserved.</t>
  </si>
  <si>
    <t>S400-330</t>
  </si>
  <si>
    <t>SCOPUS_ID:85066467725</t>
  </si>
  <si>
    <t>10.2105/AJPH.2018.304881</t>
  </si>
  <si>
    <t>Pain management and opioid regulation: Continuing public health challenges</t>
  </si>
  <si>
    <t>The still-growing US opioid epidemic lies at the intersection of two major public health challenges: reducing suffering from pain and containing the rising toll of harms associated with the use of opioidsmedications. Responding successfully to these challenges requires a substantial investment in surveillance and research on many fronts and a coordinated policy responsebyfederalandstateagencies and stakeholder organizations. A 2017 report of the National Academies of Sciences, Engineering and Medicine (NASEM) called for improved methods of measuring pain and the effects of alternative modalities of treatment as well as intensive surveillance of opioid-related harms; urged a long-term cultural transformation of how pain is perceived, assessed and treated; and outlined a comprehensive and balanced public health framework to guide Food andDrugAdministration approval, monitoring, and review of opioids. We, authors of the NASEM report, use the articles published in this special section of AJPH as a platform for commenting on the public health burden of pain, the role of opioids in managing pain, global disparities in access to opioids for pain management, divergent approaches to opioid regulation, and the challenge of striking a reasonable balance between the needs of patients in pain and the prevention of opioidrelated harms</t>
  </si>
  <si>
    <t>S400-331</t>
  </si>
  <si>
    <t>SCOPUS_ID:0035884546</t>
  </si>
  <si>
    <t>10.1093/aje/154.6.574</t>
  </si>
  <si>
    <t>Reported participation in case-control studies: Changes over time</t>
  </si>
  <si>
    <t>['Case-control studies', 'Data collection', 'Epidemiologic methods']</t>
  </si>
  <si>
    <t>There is concern that participation in case-control studies has declined. To address this question, the author and colleagues reviewed data from 82 US and Canadian case-control studies published in epidemiologic journals during two periods: 1988-1990 and 1997-January 1999. The median year of data collection, which ranged from 1972 to 1996, was the primary independent variable. Reported response among both cases and controls remained constant over this time period. The regression coefficients (β) were small: For each year, there was a change of 0.15 percentage points for cases (p = 0.56) and -0.16 percentage points for controls (p = 0.54). Possible confounders included the location where the study had been conducted and, for cases, the disease under study (cancer vs. others). After adjustment for these factors in case groups, there was still no association between year of data collection and response: For each year, there was a change of -0.20 percentage points (p = 0.43). After adjustment of results for study location among controls, there was a moderate decline over time: For each year, there was a change of -0.44 percentage points (p = 0.12). Overall, reported response in more recent studies was similar to that in earlier studies; for control groups, this may reflect changes in locations where the studies were conducted.</t>
  </si>
  <si>
    <t>S400-332</t>
  </si>
  <si>
    <t>SCOPUS_ID:85076332313</t>
  </si>
  <si>
    <t>10.1093/eurpub/ckz050</t>
  </si>
  <si>
    <t>Re-examining access points to the different levels of health care: A cross-sectional series in Austria</t>
  </si>
  <si>
    <t>Background: There is high variation in service utilization behaviour, health equity and outcomes among countries based upon the organization of access to primary and secondary care levels. Austria is a country with universal health coverage and access without clear delineation between access to primary and secondary care. The aim of this study was to investigate development of access points to the Austrian system over time and subsequent utilization. Methods: The databases used were the Austrian Health Interview Surveys 2006/2007 and 2014, including 15 747 and 15 771 persons, respectively. Descriptive analysis of health services utilization behaviour and demographic factors were conducted. Logistic regression models were applied. Furthermore, differences between the two periods are shown. Result: Utilization of all services assessed was high in 2014 when compared to 2006/2007. Between these periods, a 6-7% increase in use of secondary care services was found. There was a 10.8% increase in access to specialist care services and 4.1% increase in hospital outpatient visits, each without prior General Practitioner (GP) visits. The largest increases were found in those groups that had previously demonstrated the lowest utilization behaviour of accessing specialist consultations and consultations without a prior GP visit. Conclusion: Despite the lack of change to the health care system or access to care, there was an increase in utilization of secondary care services, with a lower percentage of patients seeking direct GP consultation. This is concerning for systems development, cost containment and quality of care, as it demonstrates a possible trend shifting away from primary care as initial access point.</t>
  </si>
  <si>
    <t>S400-333</t>
  </si>
  <si>
    <t>SCOPUS_ID:0025804967</t>
  </si>
  <si>
    <t>10.2105/AJPH.81.5.587</t>
  </si>
  <si>
    <t>Urolithiasis in Tennessee: An occupational window into a regional problem</t>
  </si>
  <si>
    <t>Background: Urinary tract stones (stones) are believed to be unusually common in the southeastern United States but neither the incidence of nor the risk factors for stones are known. Methods: In three well-defined occupational populations in eastern Tennessee, we assessed the prevalence, incidence, and cumulative incidence of stones and measured biochemical risk factors for lithogenesis. Results: The age-adjusted prevalence of stones was 18.5 percent in Tennessee compared to 7.7 percent among White males in US NHANES (prevalence ratio 2.4, 95% CI 1.7, 3.3). The cumulative incidence (risk) was 27.8 percent by age 65, higher than in any other reported population. Risk factors were age, a family history, and urinary saturation with calcium-oxalate (COAX). Persons with a positive family history and the highest measured CAOX index had a predicted lifetime risk of 88.8 percent. Biochemical factors affecting lithogenesis were hypercalcuria, hyperoxaluria, and low urine volume. Conclusion: Future research should characterize the geographic boundaries of a southeastern ''stone-belt'' and explore genetic and dietary hypotheses that might explain it.</t>
  </si>
  <si>
    <t>S400-334</t>
  </si>
  <si>
    <t>SCOPUS_ID:85089293076</t>
  </si>
  <si>
    <t>10.1016/S2468-2667(20)30139-0</t>
  </si>
  <si>
    <t>Parental intent to initiate and complete the human papillomavirus vaccine series in the USA: a nationwide, cross-sectional survey</t>
  </si>
  <si>
    <t>Background: Human papillomavirus (HPV) vaccine uptake among US adolescents is primarily dependent on the intent of their parents. To the best of our knowledge, an analysis quantifying parental intent to initiate and complete the HPV vaccine series in the USA at both the national and state level has not been done. We aim to estimate parental intent to initiate and complete the HPV vaccine series at the national-level and state-level and to identify reasons for lack of intent to initiate and complete the vaccine series. Methods: This cross-sectional study uses data from the adolescent component of the 2017–18 National Immunization Survey (NIS-Teen). Study participants were parents or caregivers of US adolescents aged 13–17 years, who were most knowledgeable about the immunisation status of the adolescents. The primary outcome was parental intent to vaccinate the adolescent in the next 12 months. The secondary outcomes were (1) the prevalence of reasons given for lack of intent to initiate and complete the HPV vaccine series, and (2) the relationship between receiving a recommendation from a health-care provider to vaccinate and intent to initiate the vaccination series. We computed national-level and state-level estimates for parental lack of intent to initiate and to complete the vaccine series; population-level estimates were derived using survey weights. A survey design-adjusted Wald F test was used for bivariate analysis. A multivariate logistic regression model was used to examine the association between health-care provider recommendation and parental intent to initiate the series. Analyses were stratified by history of health-care provider recommendation to initiate the HPV vaccine series. Findings: In 2017–18, the parent or caregiver of 82 297 US adolescents aged 13–17 years completed the NIS-Teen survey. 30 558 (37·1%) were unvaccinated and 9073 (10·8%) received only one HPV vaccine dose. Parents of 58·0% (17 171/29 086) of unvaccinated adolescents with data available on parental intent had no intention to initiate the HPV vaccine series. More than 65% of parents of unvaccinated adolescents in Idaho, Kansas, Michigan, Montana, Nebraska, North Dakota, Oklahoma, and Utah had no intention to initiate the HPV vaccine series. Parents of 23·5% (2166/9072) of initiators with data available on parental intent had no intention to complete the HPV vaccine series. More than 30% of parents in Arkansas, Florida, Georgia, Hawaii, Idaho, Utah, and West Virginia did not intend to complete the HPV vaccine series, whereas in the District of Columbia (11·2% [22/166]) and Rhode Island (20·4% [21/112]) parental lack of intent was relatively low (both regions have an HPV vaccine mandate). The most common reason for lack of intent among parents to initiate the vaccine for unvaccinated adolescents was safety concerns (22·8% [4182/16 455]); lack of a recommendation from a health-care provider (22·2% [440/1944]) was the most frequently cited reason for absence of intent to complete the series among parents of adolescents who received only one HPV vaccine dose. Receipt of a recommendation from a health-care provider was associated with greater odds of parental intent to initiate the HPV vaccine series (odds ratio 1·11, 95% CI 1·01–1·22). 45·5% (13 156/29 086) of parents of unvaccinated adolescents had reportedly received an HPV vaccine recommendation. Parents of 60·6% (7938/13 156) of unvaccinated adolescents with a recommendation from a health-care provider and data available on parental intent had no intention to initiate the series. Interpretation: Lack of parental intent to initiate and complete the HPV vaccine series for adolescents is a major public health concern in the USA. Combating vaccine safety concerns and strong recommendations from health-care providers could improve the currently suboptimal HPV vaccination coverage. Funding: US National Cancer Institute.</t>
  </si>
  <si>
    <t>S400-335</t>
  </si>
  <si>
    <t>SCOPUS_ID:40449129968</t>
  </si>
  <si>
    <t>10.2105/AJPH.2006.104042</t>
  </si>
  <si>
    <t>Current smoking and type 2 diabetes among patients in selected Indian health service clinics, 1998-2003</t>
  </si>
  <si>
    <t>Objectives. In non-American Indian/Alaska Native groups, current smoking prevalence is similar for those with or without diabetes (26%) We analyzed current smoking prevalence in American Indian/Alaska Natives by diabetes status. Methods. Data were extracted from Indian Health Service clinic visit information from 1998 to 2003. After consolidation into unique patient records, the sample comprised 71221 patients aged 14 years or older with both diabetes and current smoking information. Results. Cross-sectional results indicated that diabetic American Indian/Alaska Natives were significantly more likely than those without diabetes to be current smokers (29.8% vs 18.8%; P &lt; .01). Smoking rates were 2 to 3 times higher among diabetic American Indians and Alaska Natives for each age category (P &lt; .001), and current smokers with diabetes were more likely than nonsmokers to have glycosylated hemoglobin A 1c levels at 8.0% or higher (P &lt; .05). Conclusions. American Indian/Alaska Natives with diabetes at all sites and age categories were found to smoke at significantly higher rates than those without diabetes. Smoking cessation programs should target diabetic patients to more effectively prevent complications and promote successful management of diabetes in American Indians/Alaska Natives.</t>
  </si>
  <si>
    <t>S400-336</t>
  </si>
  <si>
    <t>SCOPUS_ID:84983045033</t>
  </si>
  <si>
    <t>10.1097/EDE.0000000000000551</t>
  </si>
  <si>
    <t>Spatial variability in the persistence of pneumococcal conjugate vaccine-targeted pneumococcal serotypes among adults</t>
  </si>
  <si>
    <t>Invasive pneumococcal disease is a leading cause of morbidity worldwide. Pneumococcal conjugate vaccine effectively reduces the number of cases caused by vaccine-targeted serotypes among children who receive the vaccine and adults who are not directly vaccinated. Recently, there has been a debate as to whether adults should receive the same conjugate vaccine as children. In settings where vaccine uptake in children is high, the vaccine serotypes cause a small fraction of disease cases, and direct vaccination might have a small effect. However, direct vaccination might be warranted if geographic regions or subpopulations exist where the targeted serotypes persist at higher levels than expected. To detect such geographic variability, new methodology is required. We introduce an innovative, spatially varying change points model, combined with spatially varying intercepts and slopes, to jointly determine whether the beginning date of the vaccine-associated decline, the initial baseline proportion of invasive pneumococcal disease cases caused by vaccine-targeted serotypes, and/or the rate of decline of vaccine-targeted serotypes vary in the adult population across Connecticut, 1998-2009. Results indicate that there is substantial spatial variability in the pattern with which vaccine-targeted serotypes decline, suggesting that the fraction of invasive pneumococcal disease cases that could have been preventable by direct vaccination of adults in Connecticut during the study period differed over time and space. The newly developed model is shown to outperform a number of competitors in terms of explanatory and predictive ability.</t>
  </si>
  <si>
    <t>S400-337</t>
  </si>
  <si>
    <t>SCOPUS_ID:0025245751</t>
  </si>
  <si>
    <t>10.1136/jech.44.4.307</t>
  </si>
  <si>
    <t>Models for forecasting hospital bed requirements in the acute sector</t>
  </si>
  <si>
    <t>Study objective - The aim was to evaluate the current approach to forecasting hospital bed requirements. Design - The study was a time series and regression analysis. The time series for mean duration of stay for general surgery in the age group 15-44 years (1969-1982) was used in the evaluation of different methods of forecasting future values of mean duration of stay and its subsequent use in the formation of hospital bed requirements. Results - It has been suggested that the simple trend fitting approach suffers from model specification error and imposes unjustified restrictions on the data. Time series approach (Box-Jenkins method) was shown to be a more appropriate way of modelling the data. Conclusion - The simple trend fitting approach is inferior to the time series approach in modelling hospital bed requirements.</t>
  </si>
  <si>
    <t>S400-338</t>
  </si>
  <si>
    <t>SCOPUS_ID:85092013982</t>
  </si>
  <si>
    <t>10.1016/j.amepre.2020.06.032</t>
  </si>
  <si>
    <t>Infant Health for Arab and Non-Arab Mothers Identifying as White, Black, or Other in Massachusetts</t>
  </si>
  <si>
    <t>Introduction: This study quantifies the differences in infant outcomes by mother's self-identified race among Arab Americans and by self-identified race and ethnicity for Arabs and non-Arabs. Methods: This study used data from the Standard Certificate of Live Birth on 8,204 infants born to Arab and 325,354 infants born to non-Arab mothers between 2012 and 2016 in Massachusetts; data were analyzed between 2019 and 2020. Mothers’ race was categorized as White, Black, or Other. Mothers’ ethnicity was categorized as Arab or non-Arab. Outcomes included birth weight, preterm birth, low-birth weight, small for gestational age, and large for gestational age. Linear and logistic regression models assessed the association between race and infant health outcomes. Results: Black Arab mothers had higher odds of preterm birth (AOR=1.37, 95% CI=1.07, 1.76) and low-birth weight (AOR=1.35, 95% CI=0.99, 1.84) than White Arab mothers. Arab mothers who self-identified as Other had babies that were 51.4 grams lighter than babies born to White Arab mothers. White Arab mothers had higher odds of low birth weight (AOR=1.19, 95% CI=1.06, 1.34) and small-for-gestational-age babies (AOR=1.22, 95% CI=1.11, 1.36) but lower odds of large-for-gestational-age babies (AOR=0.77, 95% CI=0.70, 0.86) than White non-Arab mothers. Conclusions: Both ethnicity and race are important determinants of the health of Arab American infants. Arab ethnicity may play a negative role in the infant health of Arab Americans who identify as White. A better understanding of the lived experiences of Arab American mothers, with regard to their racial and ethnic identity, may help better inform clinical practice.</t>
  </si>
  <si>
    <t>S400-339</t>
  </si>
  <si>
    <t>SCOPUS_ID:0025880760</t>
  </si>
  <si>
    <t>10.1016/0091-7435(91)90048-9</t>
  </si>
  <si>
    <t>Predictors of smoking among Mexican-Americans: Findings from the Hispanic HANES</t>
  </si>
  <si>
    <t>Background. This report presents findings from the Hispanic HANES on patterns and predictors of smoking in the Mexican-American subsample. Data are drawn from men and women ages 20-74 years who were administered the Adult Sample Person Questionnaire (N = 3,464). Methods. Four smoking variables (current, ever, former, and daily consumption) are analyzed in relation to sociodemographic measures, including gender, age, marital status, employment status, occupational prestige, income, acculturation, co-workers' smoking, and presence of others in the home who smoke. All analyses were conducted separately for young, middle-age, and older age groups and for males and females. Multiple logistic and multiple regression analyses were performed, controlling for sociodemographic factors, to identify predictors of smoking. Results. The most important factors found to be associated with smoking were the presence of other smokers in the immediate social environment (home and workplace) and the degree of acculturation (particularly among women). Associations with age, income, and marital status were inconsistent across age and gender groups. With minor exceptions, education, employment, and occupational prestige were unrelated to smoking. Conclusions. These findings support interventions on the basis of age categories, differential acculturation, and social influence, but overall the findings are more striking for their similarity to predictors of smoking in the general population than for their differences. © 1991.</t>
  </si>
  <si>
    <t>S400-340</t>
  </si>
  <si>
    <t>SCOPUS_ID:75149122788</t>
  </si>
  <si>
    <t>10.1093/aje/kwp403</t>
  </si>
  <si>
    <t>Fitting general relative risk models for survival time and matched case-control analysis</t>
  </si>
  <si>
    <t>['Algorithms', 'Cohort studies', 'Conditional likelihood', 'Dose-response function', 'Linear trend', 'Logistic models', 'Models, statistical', 'Software']</t>
  </si>
  <si>
    <t>Cox proportional hazards regression analysis of survival data and conditional logistic regression analysis of matched case-control data are methods that are widely used by epidemiologists. Standard statistical software packages accommodate only log-linear model forms, which imply exponential exposure-response functions and multiplicative interactions. In this paper, the authors describe methods for fitting non-log-linear Cox and conditional logistic regression models. The authors use data from a study of lung cancer mortality among Colorado Plateau uranium miners (1950-1982) to illustrate these methods for fitting general relative risk models to matched case-control control data, countermatched data with weights, d:m matching, and full cohort Cox regression using the SAS statistical package (SAS Institute Inc., Cary, North Carolina).</t>
  </si>
  <si>
    <t>S400-341</t>
  </si>
  <si>
    <t>SCOPUS_ID:84978151027</t>
  </si>
  <si>
    <t>10.1016/j.ypmed.2016.06.015</t>
  </si>
  <si>
    <t>Grandparental education, parental education and adolescent blood pressure</t>
  </si>
  <si>
    <t>['Blood pressure', 'Child', 'Cohort studies', 'Grandparental education', 'Parental education', 'Socioeconomic position']</t>
  </si>
  <si>
    <t>Background Maternal and paternal education could affect childhood blood pressure differently. Grandparental education might also play a role. Disentangling their contribution to childhood blood pressure may shed light on the persistence of disparities and potential windows of intervention. Methods Using 5604 participants from a Chinese birth cohort born in 1997 and followed-up until ~ 13 years (68% of follow-up), we examined the associations of parental education and grandparental education with age-, sex, and height-specific blood pressure z-scores or prehypertension status. Results Parental education was inversely associated with adolescent systolic (− 0.11 z-score, equivalent to − 1.17 mm Hg, 95% confidence interval (CI) − 0.19 to − 0.04 for grade ≥ 12 compared with grade ≤ 9) and diastolic blood pressure (− 0.07 z-score, equivalent to − 0.79 mm Hg, 95% CI − 0.11 to − 0.04). The magnitude of association was similar for maternal or paternal education. Grandparental education was not associated with adolescent blood pressure. No association with prehypertension was found. Conclusions In an economically developed non-Western setting, both maternal and paternal, but not grandparental, education was associated with adolescent blood pressure. Blood pressure may be responsive to contemporary family socioeconomic conditions that may be scrutinized for suitable interventions.</t>
  </si>
  <si>
    <t>S400-342</t>
  </si>
  <si>
    <t>SCOPUS_ID:32544449982</t>
  </si>
  <si>
    <t>10.1093/aje/kwj049</t>
  </si>
  <si>
    <t>The relation between visceral fat measurement and torso level - Is one level better than another? The Atherosclerosis Risk in Communities Study, 1990-1992</t>
  </si>
  <si>
    <t>['Adipose tissue', 'Body composition', 'Epidemiologic methods', 'Magnetic resonance imaging']</t>
  </si>
  <si>
    <t>Intraabdominal fat (IAF) area is often measured indirectly in epidemiologic studies. The authors recruited 147 participants from the second examination (1990-1992) of the Atherosclerosis Risk in Communities Study to examine IAF area and determine whether there were differences in IAF area and distribution by location. Magnetic resonance imaging was used to image four 10-mm slices between the second and fourth lumbar vertebrae by an inverse recovery method, and IAF was calculated from each image. The authors constructed gender-specific mixed models with IAF area as the outcome and the location of imaging along the torso as the independent variable, using random intercepts to account for between-person variation in IAF area. The torso location of IAF measurement was a significant predictor of IAF area in both men (p = 0.02) and women (p &lt; 0.0001) after adjustment for body mass index. A significant positive interaction between age and location was seen in men, with increasing IAF area moving down the torso with older ages. Using magnetic resonance imaging, location along the torso yields different IAF areas and distributions independently of body mass index in both genders, with measurement at the second lumbar vertebra (slightly above the umbilicus) capturing the largest amount of IAF. Studies that attempt to link IAF with cardiovascular disease risk factors should consider measurement location to accurately capture the association. Copyright © 2006 by the Johns Hopkins Bloomberg School of Public Health All rights reserved.</t>
  </si>
  <si>
    <t>S400-343</t>
  </si>
  <si>
    <t>SCOPUS_ID:67649226445</t>
  </si>
  <si>
    <t>10.1093/aje/kwp071</t>
  </si>
  <si>
    <t>Serum and dietary magnesium and risk of ischemic stroke</t>
  </si>
  <si>
    <t>['Brain infarction', 'Diet', 'Magnesium', 'Risk factors']</t>
  </si>
  <si>
    <t>The authors sought to examine the relation between serum or dietary magnesium and the incidence of ischemic stroke among blacks and whites. Between 1987 and 1989, 14,221 men and women aged 45-64 years took part in the first examination of the Atherosclerosis Risk in Communities Study cohort. The incidence of stroke was ascertained from hospital records. Higher serum magnesium levels were associated with lower prevalence of hypertension and diabetes mellitus at baseline. During the 15-year follow-up, 577 ischemic strokes occurred. Serum magnesium was inversely associated with ischemic stroke incidence. The age-, sex-, and race-adjusted rate ratios of ischemic stroke for those with serum magnesium levels of ≤1.5, 1.6, 1.7, and ≥1.8 mEq/L were 1.0, 0.78 (95% confidence interval (CI): 0.62, 0.96), 0.70 (95% CI: 0.56, 0.88), and 0.75 (95% CI: 0.59, 0.95) (Ptrend=0.005). After adjustment for hypertension and diabetes, the rate ratios were attenuated to nonsignificant levels. Dietary magnesium intake was marginally inversely associated with the incidence of ischemic stroke (Ptrend=0.09). Low serum magnesium levels could be associated with increased risk of ischemic stroke, in part, via effects on hypertension and diabetes. © The Author 2009. Published by the Johns Hopkins Bloomberg School of Public Health. All rights reserved.</t>
  </si>
  <si>
    <t>S400-344</t>
  </si>
  <si>
    <t>SCOPUS_ID:0027276501</t>
  </si>
  <si>
    <t>10.1097/00001648-199305000-00004</t>
  </si>
  <si>
    <t>Radon, cigarette smoke, and lung cancer: A re-analysis of the Colorado Plateau uranium miners’ data</t>
  </si>
  <si>
    <t>['Initiation', 'Interaction', 'Multistage models', 'Promotion', 'Synergy']</t>
  </si>
  <si>
    <t>Much of our knowledge regarding the interaction of radon and tobacco smoke in the etiology of human lung cancer derives from studies of uranium miners. In this article, we present a re-analysis of lung cancer mortality in the Colorado Plateau miners’ cohort within the framework of the two- mutation clonal expansion model of carcinogenesis. This analysis takes into account the patterns of exposure to radon and cigarette smoke experienced by individuals in the cohort. A simultaneous re-analysis of the British doctors’ cohort indicated that those model parameters relating to the effects of tobacco were comparable in the two data sets. We found no evidence of interaction between radon and tobacco smoke with respect to their joint effect on the first or second stage mutation rates or on the rate of proliferation of initiated cells. The age-specific relative risks associated with joint exposure to radon and cigarette smoke, however, were supra- additive but submultiplicative. The analysis also confirmed that fractionation of radon exposures leads to higher lung cancer risks. Finally, we present some estimates of lung cancer risk from environmental radon exposure for non- smokers and smokers. © 1993 Epidemiology Resources Inc.</t>
  </si>
  <si>
    <t>S400-345</t>
  </si>
  <si>
    <t>SCOPUS_ID:85170110110</t>
  </si>
  <si>
    <t>10.2105/AJPH.2023.307347</t>
  </si>
  <si>
    <t>Communities at Risk for Mpox and Stigmatizing Policies: A Randomized Survey, Republic of Korea, 2022</t>
  </si>
  <si>
    <t>Objectives. To estimate the impact of communicating to the public that men who have sex with men (MSM) are most at risk for mpox on potential stigmatization and risk perception. Methods. We conducted a survey experiment randomizing exposure to messages about mpox among a sample of the South Korean public (n=1500) in July 2022. We randomized respondents to receive an informational message about mpox that was (1) a neutral informational message about mpox that did not highlight its origins or risk groups (control group), (2) a message explaining that the virus originated in Africa, or (3) a message emphasizing that MSM are most at risk. Results. We found that emphasizing that MSM are most at risk increases support for policies that would restrict lesbian, gay, bisexual, transgender/-sexual, queer or questioning-related events by about 7 percentage points compared with the control condition. However, the message describing African origins did not affect support for restricting travel from Africa. Neither changed risk perceptions or willingness to be vaccinated against mpox. Conclusions. Messages aimed at educating the public about most at-risk groups may trigger increased stigmatization of those groups in ways that could contribute to unnecessary persecution.</t>
  </si>
  <si>
    <t>S400-346</t>
  </si>
  <si>
    <t>SCOPUS_ID:0029909972</t>
  </si>
  <si>
    <t>10.2105/AJPH.86.10.1460</t>
  </si>
  <si>
    <t>Racial differences in urban children's environmental exposures to lead</t>
  </si>
  <si>
    <t>Objectives. This study explored whether differences in environmental lead exposures explain the racial disparity in children's blood lead levels. Methods. Environmental sources of lead were identified for a random sample of 172 urban children. Results. Blood lead levels were significantly higher among Black children. Lead-contamination of dust was higher in Black children's homes, and the condition of floors and interior paint was generally poorer. White children were more likely to put soil in their mouths and to suck their fingers, whereas Black children were more likely to put their mouths on window sills and to use a bottle. Major contributors to blood lead were interior lead exposures for Black children and exterior lead exposures for White children. Conclusions. Differences in housing conditions and exposures to lead-contaminated house dust contribute strongly to the racial disparity in urban children's blood lead levels.</t>
  </si>
  <si>
    <t>S400-347</t>
  </si>
  <si>
    <t>SCOPUS_ID:84861137055</t>
  </si>
  <si>
    <t>10.1016/j.amepre.2012.02.019</t>
  </si>
  <si>
    <t>Healthcare costs around the time of smoking cessation</t>
  </si>
  <si>
    <t>Background: The Affordable Care Act mandates that new insurance plans cover smoking-cessation therapy without cost-sharing. Previous cost difference estimates, which show a spike around the time of cessation, suggest premiums might rise as a result of covering these services. Purpose: The goal of the study was to test (1) whether individuals in an RCT of pharmacotherapy and counseling for smoking cessation differed in their healthcare costs around the cessation period, and (2) whether the healthcare costs of those in the trial who successfully quit were different from a matched sample of smokers in the community. Methods: Generalized linear regression models were used to analyze healthcare cost data on individuals enrolled in a comparative effectiveness trial of cessation therapies between October 2005 and May 2007 (1346 total participants; 1338 with requisite data for further analysis). Cost differences for the period preceding and subsequent to the cessation attempt were assessed by trial participants' 12-month sustained quit status. Healthcare cost differences between sustained quitters and a sample of community-dwelling smokers, matched to these quitters on the basis of health services use around the time trial participant enrolled and by demographics, were also examined. Data were analyzed in 2011. Results: All three groups had a spike in cost associated with the index clinic visit. Regression results revealed little difference in healthcare costs by quit status for trial participants until the sixth quarter post-quit. By that quarter, continuous sustained quitters cost $541 (p&lt;0.001) less than continuing smokers. Continuous sustained quitters cost less than their matched community- dwelling smokers in almost every quarter observed. The cost difference ranged from $270 (p=0.01) during the quarter of quit, to $490 (p&lt;0.01) in the 6th quarter after quitting. Conclusions: The inclusion of smoking-cessation therapy does not appear to raise short-term healthcare costs. By the sixth quarter post-quit, sustained quitters were less costly than trial participants who continued smoking. © 2012 American Journal of Preventive Medicine.</t>
  </si>
  <si>
    <t>S400-348</t>
  </si>
  <si>
    <t>SCOPUS_ID:0028575896</t>
  </si>
  <si>
    <t>10.1136/jech.48.6.555</t>
  </si>
  <si>
    <t>Damp housing and adult health: Results from a lifestyle study in Worcester, England</t>
  </si>
  <si>
    <t>Study objective - To explore the relationship between damp housing and adult health using two separate measures of ill health and taking into account the confounding effects of health related lifestyles and social factors. Design and setting - Analysis of responses gathered in a cross sectional, postal questionnaire survey of a randomly selected sample of 5347 residents of Worcester. Participants - Altogether 2353 people aged 16 to 64 years responded to the survey (adjusted response 52%). Results - Nine per cent of respondents lived in housing which they reported to be damp. Rates were highest among young women. People who lived in damp housing were more likely to report long standing illness, disability, or infirmity; the increased prevalence could not be attributed to any particular medical condition. Perceived ill health, as measured by the sleep, energy, and social isolation dimensions of the Nottingham Health Profile, was also more common in this group. These associations could not be explained by lifestyle factors; the relationship proved strongest among people in non-manual social classes living in owner occupied housing. The prevalence of ill health increased as the severity of dampness increased. Conclusion - Self reported damp housing and ill health in adults were strongly associated, most noticeably among people in non-manual social classes living in owner occupied housing. The association met many of the epidemiological criteria necessary for suggesting causality: alternative explanations are discussed.</t>
  </si>
  <si>
    <t>S400-349</t>
  </si>
  <si>
    <t>SCOPUS_ID:80051544347</t>
  </si>
  <si>
    <t>10.1097/EDE.0b013e31821d1096</t>
  </si>
  <si>
    <t>Diabetes prevalence in populations of South Asian Indian and African origins: A comparison of england and the Netherlands</t>
  </si>
  <si>
    <t>Background: We determined whether the overall lower prevalence of type II diabetes in England versus the Netherlands is observed in South-Asian-Indian and African-Caribbean populations. Additionally, we assessed the contribution of health behavior, body size, and socioeconomic position to observed differences between countries. Methods: Secondary analyses of population-based standardized individual-level data of 3386 participants were conducted. Results: Indian and African-Caribbean populations had higher prevalence rates of diabetes than whites in both countries. In crosscountry comparisons (and similar to whites), Indians residing in England had a lower prevalence of diabetes than those residing in the Netherlands; the prevalence ratio (PR) was 0.35 (95% confidence interval = 0.22 to 0.55) in women and 0.74 (0.50 to 1.10) in men after adjustment for other covariates. Among people of African descent as well, diabetes prevalence was lower in England than in the Netherlands; for women, PR = 0.43 (0.20 to 0.89) and for men, 0.57 (0.21 to 1.49). Conclusions: The increasing prevalence of diabetes after migration may be modified by the context in which ethnic minority groups live. © 2011 by Lippincott Williams &amp; Wilkins.</t>
  </si>
  <si>
    <t>S400-350</t>
  </si>
  <si>
    <t>SCOPUS_ID:85076047464</t>
  </si>
  <si>
    <t>10.1016/j.ypmed.2019.105930</t>
  </si>
  <si>
    <t>Behavioral correlates of self-reported health status in US active duty military</t>
  </si>
  <si>
    <t>['Armed Forces', 'Cardiometabolic risk', 'Exercise', 'Sleep', 'Survey']</t>
  </si>
  <si>
    <t>Trends and relationships between health behaviors and conditions in US active duty military and Coast Guard personnel are understudied. Self-reported data from the 2011 and 2015 Department of Defense Health Related Behaviors Surveys were analyzed to estimate associations between seven behaviors (reasons for not exercising; moderate, vigorous, and strength training exercise; alcohol intake; sleep; and smoking) and five health conditions (high blood pressure [BP], blood sugar [BG], cholesterol [CH]; overweight/obesity [OW]; or obesity [OB]). In 33,531 respondents, 14.8%, 1.7%, 13.6%, 65.5%, and 12.1% had high BP, BG, CH, OW, or OB, respectively. Respondents in 2015, versus 2011, had higher odds of BP, BG, OW, and OB. Compared to exercising as much as desired, citing a disability or injury, or work commitments as reasons for not exercising associated with higher odds of each condition. Longer sleep associated with lower odds of each condition except BG. Current and former smoking associated with higher odds of BP; former smoking also associated with higher odds of high CH and OW. Three behaviors contributing to the best predictive models of each condition resulted in associations of reasons for not exercising with all conditions; strength training for OW and OB; alcohol intake for BP and BG; sleep for BP and CH; and moderate exercise for BG. Disability and injury and time constraints limiting exercise were consistent markers of self-reported health conditions. Military-specific initiatives to promote strategies for overcoming barriers to exercising, continued emphasis on adequate sleep, and reduction of alcohol intake and smoking are warranted.</t>
  </si>
  <si>
    <t>S400-351</t>
  </si>
  <si>
    <t>SCOPUS_ID:84861934308</t>
  </si>
  <si>
    <t>10.2105/AJPH.2011.300459</t>
  </si>
  <si>
    <t>Strong tobacco control program requirements and secure funding are not enough: Lessons from Florida</t>
  </si>
  <si>
    <t>Florida's Tobacco Pilot Program (TPP; 1998-2003), with its edgy Truth media campaign, achieved unprecedented youth smoking reductions and became a model for tobacco control programming. In 2006, 3 years after the TPP was defunded, public health groups restored funding for tobacco control programming by convincing Florida voters to amend their constitution. Despite the new program's strong legal structure, Governor Charlie Crist's Department of Health implemented a low-impact program. Although they secured the program's strong structure and funding, Florida's nongovernmental public health organizations did not mobilize to demand a high-impact program. Implementation of Florida's Amendment 4 demonstrates that a strong programmatic structure and secure funding are insufficient to ensure a successful public health program, without external pressure from nongovernmental groups.</t>
  </si>
  <si>
    <t>S400-352</t>
  </si>
  <si>
    <t>SCOPUS_ID:0031735547</t>
  </si>
  <si>
    <t>10.1006/pmed.1998.0247</t>
  </si>
  <si>
    <t>Cancer information service-initiated outcalls to promote screening mammography among low-income and minority women: Design and feasibility testing</t>
  </si>
  <si>
    <t>['Cancer Information Service', 'Geodemographic targeting', 'INFORUM', 'Outreach to underserved populations', 'Screening mammography promotion', 'Targeted health interventions', 'Telephone outcalls']</t>
  </si>
  <si>
    <t>Background. The telephone information service of the Cancer Information Service (CIS) historically is most effective in eliciting calls from higher income, white women. This article describes the design and feasibility of a project that tested the use of telephone outcalls to extend the reach of the telephone information service to underserved women. Methods. Neighborhoods throughout Colorado were identified using a geodemographic database (INFORUM) that allowed selection of census block groups according to demographic characteristics. Households were assigned randomly to: (1) a control group; (2) an outcall-only group, which received 'cold' telephone outcalls promoting screening mammography; and (3) an advance card plus outcall group, which received a card introducing the program prior to the outcall. Results. The use of INFORUM to target low-income, less educated, and black women was largely successful. While quality of intervention delivery was high, the protocol was labor intensive, requiring an average of 40 rain to identify and counsel each eligible woman. The advance card did not increase acceptance of the outcalls. Conclusions. This approach successfully extended the CIS's audience; however, its labor intensity may limit its applicability. Strategies for increasing the efficiency of outcall efforts are suggested.</t>
  </si>
  <si>
    <t>S400-353</t>
  </si>
  <si>
    <t>SCOPUS_ID:3042719922</t>
  </si>
  <si>
    <t>10.1093/aje/kwh172</t>
  </si>
  <si>
    <t>Risk factors for enteric perforation in patients with typhoid fever</t>
  </si>
  <si>
    <t>['Intestinal perforation', 'Multivariate analysis', 'Risk factors', 'Typhoid fever']</t>
  </si>
  <si>
    <t>A case-control study was performed using the records of patients hospitalized for typhoid fever at Dicle University Hospital, Diyarbakir, Turkey, between 1994 and 1998. Case patients with enteric perforation were compared with control patients with typhoid fever but no enteric perforation. Risk factors for perforation were determined using logistic regression modeling. Forty case patients who had surgery because of typhoid enteric perforation were compared with 80 control patients. In univariate analyses, male sex (p = 0.01), age (p = 0.01), leukopenia (p = 0.01), inadequate antimicrobial therapy prior to admission (p = 0.01), and short duration of symptoms (p = 0.01) were significantly associated with perforation. In multivariate analysis, male sex (odds ratio (OR) = 4.39, 95% confidence interval (CI): 1.37, 14.09; p = 0.01), leukopenia (OR = 3.88, 95% CI: 1.46, 10.33; p = 0.04), inadequate treatment prior to admission (OR = 4.58, 95% CI 1.14, 18.35; p = 0.03), and short duration of symptoms (OR = 1.22, 95% CI: 1.10, 1.35; p=0.001) were significant predictors of perforation. A short duration of symptoms, inadequate antimicrobial therapy, male sex, and leukopenia are independent risk factors for enteric perforation in patients with typhoid fever.</t>
  </si>
  <si>
    <t>S400-354</t>
  </si>
  <si>
    <t>SCOPUS_ID:0028331478</t>
  </si>
  <si>
    <t>10.1136/jech.48.2.161</t>
  </si>
  <si>
    <t>Case-control study on the association between a cluster of childhood haematopoietic malignancies and local environmental factors in Aalsmeer, The Netherlands</t>
  </si>
  <si>
    <t>Study objective and design - In Aalsmeer, a horticultural community near the main international airport in The Netherlands, a more than fourfold increase in the incidence of haematopoietic malignancies in young people was observed between 1980 and 1985. In a population based case-control study, the association with local environmental factors was investigated. Participants - For each patient younger than 40 years of age (n = 14) diagnosed between 1975 and 1989, four age and sex matched controls were selected via local general practitioners. Methods - All parents of patients and controls completed a questionnaire on their lifestyle, living conditions, and health, for several years preceding each individual diagnosis. Odds ratios (ORs) with 95% confidence intervals (CI) were calculated, matched, and, if necessary, stratified for neighbourhood. Main results - Increased ORs were recorded for intensive use of petroleum products and pesticides by the patients themselves and their fathers: OR petroleum products: 8.0 (95% CI 2.2, 129.9) and 9.0 (1.0, 66.1) respectively; OR pesticides: 6.0 (0.6, 49.3) and 3.2 (1.0, 10.1) respectively. Swimming in a local pond was also significantly associated with the disease: OR = 5.3 (1.3, 17.4). In the 1970s this pond had been polluted by petroleum products and pesticides. Conclusions - The increased incidence of childhood haematopoietic malignancies in Aalsmeer may have been associated with several specific local environmental factors. Interpretation of the results, however, should take into account the fact that confidence intervals were wide because of the limited number of cases.</t>
  </si>
  <si>
    <t>S400-355</t>
  </si>
  <si>
    <t>SCOPUS_ID:33748295846</t>
  </si>
  <si>
    <t>10.1016/j.ypmed.2006.04.008</t>
  </si>
  <si>
    <t>Women's use of hormone therapy before and after the Women's Health Initiative: A psychosocial model of stability and change</t>
  </si>
  <si>
    <t>['Health belief model', 'Long-term post-menopausal hormone replacement therapy (HT, HRT)', 'Longitudinal study', "Women's Health Initiative (WHI)"]</t>
  </si>
  <si>
    <t>Objective.: This longitudinal study examined factors underlying hormone therapy (HT) use before and after termination of the landmark Women's Health Initiative (WHI) estrogen plus progestin HT trial in July 2002, after which dramatic reductions in HT use occurred. Methods.: A community sample of 324 women (aged 40-86) from Arizona was interviewed four times between 1995 and 2003. A model of medical and psychological factors underlying intentions for long-term HT use expressed in 1995/1996 was developed and employed to predict subsequent use and discontinued use pre- and post-WHI. Results.: Philosophy of menopause and perceived susceptibility to breast cancer predicted perceived benefits of and barriers to long-term HT use, beyond age, oophorectomy, and physician recommendation. Age, benefits, and barriers predicted intentions for long-term HT use over and above current use. Intentions predicted use 3 years later, controlling for previous use. HT use in 1995/1996 predicted use until the WHI announcement, but not thereafter. Oophorectomy predicted continued HT use before WHI trial termination; perceived barriers, expressed 8 years earlier, predicted discontinued use after WHI trial termination. Conclusions.: Medical and psychological factors predicted sustained and discontinued HT use before and after the WHI announcement. The WHI findings apparently activated potential barriers to use expressed almost a decade earlier. © 2006 Elsevier Inc. All rights reserved.</t>
  </si>
  <si>
    <t>S400-356</t>
  </si>
  <si>
    <t>SCOPUS_ID:77951214440</t>
  </si>
  <si>
    <t>10.2105/AJPH.2009.176834</t>
  </si>
  <si>
    <t>Decreases in smoking prevalence in asian communities served by the Racial and Ethnic Approaches to Community Health (REACH) project</t>
  </si>
  <si>
    <t>Objectives. We examined trends in smoking prevalence from 2002 through 2006 in 4 Asian communities served by the Racial and Ethnic Approaches to Community Health (REACH) intervention. Methods. Annual survey data from 2002 through 2006 were gathered in 4 REACH Asian communities. Trends in the age-standardized prevalence of current smoking for men in 2 Vietnamese communities, 1 Cambodian community, and 1 Asian American/Pacific Islander (API) community were examined and compared with nationwide US and state-specific data from the Behavioral Risk Factor Surveillance System. Results. Prevalence of current smoking decreased dramatically among men in REACH communities. The reduction rate was significantly greater than that observed in the general US or API male population, and it was greater than reduction rates observed in the states in which REACH communities were located. There was little change in the quit ratio of men at the state and national levels, but there was a significant increase in quit ratios in the REACH communities, indicating increases in the proportions of smokers who had quit smoking. Conclusions. Smoking prevalence decreased in Asian communities served by the REACH project, and these decreases were larger than nationwide decreases in smoking prevalence observed for the same period. However, disparities in smoking prevalence remain a concern among Cambodian men and nonEnglish-speaking Vietnamese men; these subgroups continue to smoke at a higher rate than do men nationwide.</t>
  </si>
  <si>
    <t>only description of findings?</t>
  </si>
  <si>
    <t>S400-357</t>
  </si>
  <si>
    <t>SCOPUS_ID:79954578645</t>
  </si>
  <si>
    <t>10.1016/j.ypmed.2011.01.030</t>
  </si>
  <si>
    <t>Accelerometer-determined moderate intensity lifestyle activity and cardiometabolic health</t>
  </si>
  <si>
    <t>['Cardiovascular disease', 'Diabetes', 'Hypertension', 'Metabolic syndrome', 'NHANES', 'Pedometer']</t>
  </si>
  <si>
    <t>Objective: Objective. To assess the relationship between moderate intensity lifestyle activity (LA) and cardiometabolic health using accelerometer data from the National Health and Nutrition Examination Survey (NHANES) 2005-2006. Methods: One thousand three hundred and seventy-one adults (50% men; 71% non-Hispanic white) provided valid data to quantify time in LA [760-2019 counts per minute (CPM)] and moderate-to-vigorous physical activity (MVPA; ≥. 2020 CPM). Associations between LA [minutes per day (min/day); steps per day (steps/day)], and cardiometabolic risk factors [triglycerides, HDL-cholesterol (HDL-C), blood pressure, glucose, waist circumference], metabolic syndrome, self-reported hypertension and diabetes were investigated using logistic regression. Analyses were adjusted for age, gender, race/ethnicity, and MVPA categories. Results: Greater time in LA (min/day), independent from MVPA, was associated with lower odds of elevated triglycerides (OR,95% CI per 30 LA minutes: 0.89,0.83-0.97), low HDL-C (0.87,0.83-0.92), elevated waist circumference (0.88,0.83-0.94), metabolic syndrome (0.87,0.80-0.96), and diabetes (0.67,0.55-0.82). The same cardiometabolic risk factors were also significantly associated with LA steps/day. No significant association was found between LA (min/day or steps/day) and glucose or blood pressure. Conclusion: Accumulation of time or steps in LA is independently related to lower odds for certain cardiometabolic risk factors. Research should consider the effects of increasing LA, which could influence future physical activity recommendations. © 2011 Elsevier Inc.</t>
  </si>
  <si>
    <t>S400-358</t>
  </si>
  <si>
    <t>SCOPUS_ID:0033804795</t>
  </si>
  <si>
    <t>10.2105/AJPH.90.10.1575</t>
  </si>
  <si>
    <t>Driver air bag effectiveness by severity of the crash</t>
  </si>
  <si>
    <t>Objectives. This analysis provided effectiveness estimates of the driver-side air bag while controlling for severity of the crash and other potential confounders. Methods. Data were from the National Automotive Sampling System (1993-1996). Injury severity was described on the basis of the Abbreviated Injury Scale, Injury Severity Score, Functional Capacity Index, and survival. Ordinal, linear, and logistic multivariate regression methods were used. Results. Air bag deployment in frontal or near-frontal crashes decreases the probability of having severe and fatal injuries (e.g., Abbreviated Injury Scale score of 4-6), including those causing a long-lasting high degree of functional limitation. However, air bag deployment in low-severity crashes increases the probability that a driver (particularly a woman) will sustain injuries of Abbreviated Injury Scale level 1 to 3. Air bag deployment exerts a net injurious effect in low-severity crashes and a net protective effect in high-severity crashes. The level of crash severity at which air bags are protective is higher for female than for male drivers. Conclusions. Air bag improvement should minimize the injuries induced by their deployment. One possibility is to raise their deployment level so that they deploy only in more severe crashes.</t>
  </si>
  <si>
    <t>S400-359</t>
  </si>
  <si>
    <t>SCOPUS_ID:85107316212</t>
  </si>
  <si>
    <t>10.1093/aje/kwaa293</t>
  </si>
  <si>
    <t>Estimating the Effect of Social Distancing Interventions on COVID-19 in the United States</t>
  </si>
  <si>
    <t>['Bayesian hierarchical model', 'intervention effect size', 'reproduction number', 'severe acute respiratory syndrome coronavirus 2', 'social isolation']</t>
  </si>
  <si>
    <t>Since its global emergence in 2020, severe acute respiratory syndrome coronavirus 2 (SARS-CoV-2) has caused multiple epidemics in the United States. When medical treatments for the virus were still emerging and a vaccine was not yet available, state and local governments sought to limit its spread by enacting various social-distancing interventions, such as school closures and lockdowns; however, the effectiveness of these interventions was unknown. We applied an established, semimechanistic Bayesian hierarchical model of these interventions to the spread of SARS-CoV-2 from Europe to the United States, using case fatalities from February 29, 2020, up to April 25, 2020, when some states began reversing their interventions. We estimated the effects of interventions across all states, contrasted the estimated reproduction numbers before and after lockdown for each state, and contrasted the predicted number of future fatalities with the actual number of fatalities as a check of the model's validity. Overall, school closures and lockdowns were the only interventions modeled that had a reliable impact on the time-varying reproduction number, and lockdown appears to have played a key role in reducing that number to below 1.0. We conclude that reversal of lockdown without implementation of additional, equally effective interventions will enable continued, sustained transmission of SARS-CoV-2 in the United States.</t>
  </si>
  <si>
    <t>S400-360</t>
  </si>
  <si>
    <t>SCOPUS_ID:0037083172</t>
  </si>
  <si>
    <t>10.1093/aje/155.4.346</t>
  </si>
  <si>
    <t>Ethnic differences in the association between body mass index and hypertension</t>
  </si>
  <si>
    <t>['Adult', 'Body mass index', 'Ethnic groups', 'Hypertension', 'Obesity']</t>
  </si>
  <si>
    <t>Interest in ethnicity-specific definitions of obesity has been hindered by a lack of data clarifying whether or not obesity-related comorbid conditions occur at different levels of body mass index (BMI) (weight (kg)/height (m)2) in different ethnic groups. The objective of this study was to examine ethnic differences in the strength of the association between BMI and hypertension. Cross-sectional data obtained from adults aged 30-65 years in China (1997, n = 3,423), the Philippines (1998, n = 1,929), and the United States (1988-1994, n = 7,957) were used. Higher BMI was associated with a higher prevalence of hypertension in all ethnic groups. However, at BMI levels less than 25, prevalence difference figures suggested a stronger association between BMI and hypertension in Chinese men and women but not in Filipino women, compared with non-Hispanic Whites. Non-Hispanic Blacks and Filipino women had a higher prevalence of hypertension at every level of BMI compared with non-Hispanic Whites and Mexican Americans. These ethnic differences in the strength of association between BMI and hypertension and in underlying prevalence warrant further investigation into the use of ethnicity-specific BMI cutoffs in clinical settings to more accurately identify individuals at risk from obesity.</t>
  </si>
  <si>
    <t>S400-361</t>
  </si>
  <si>
    <t>SCOPUS_ID:85035214808</t>
  </si>
  <si>
    <t>10.1016/j.ypmed.2017.10.021</t>
  </si>
  <si>
    <t>Projected impacts of federal tax policy proposals on mortality burden in the United States: A microsimulation analysis</t>
  </si>
  <si>
    <t>['Income inequality', 'Microsimulation', 'Social determinants', 'Taxation']</t>
  </si>
  <si>
    <t>The public health consequences of federal income tax policies that influence income inequality are not well understood. I aimed to project the impacts on mortality of modifying federal income tax structures based on proposals by two recent United States (U.S.) Presidential candidates: Donald Trump and Senator Bernie Sanders. I performed a microsimulation analysis using the latest U.S. Internal Revenue Service public-use tax file with state identifiers (2008 tax year), containing nationally-representative data from 139,651 tax returns. I considered five tax plan scenarios: 1) actual 2008 tax structures; proposals in 2016 by then-candidates 2) Trump and 3) Sanders; 4) a modified Sanders plan with higher top tax rates (75%); and 5) a modified Sanders plan with higher top rates plus revenue redistribution to lower-income households (&lt;$40,000/year). I combined projected changes in income inequality with vital statistics data and past estimates of linkages between income inequality, income, and mortality. 29,689 (95% CI: 10,865–48,920) more deaths/year and 31,302 (95% CI: 11,455–51,577) fewer deaths/year from all causes are anticipated under the Trump and Sanders plans, respectively. Under the modified Sanders plan including higher top rates, 68,919 (95% CI: 25,221–113,561) fewer deaths/year are projected. Under the modified Sanders plan with redistribution, 333,504 (95% CI: 192,897–473,787) fewer deaths/year are expected. Policies that both raise federal income tax rates and redistribute tax revenue could confer large reductions in the total number of annual deaths among Americans. In this era of high income inequality and growing public support to address the rich-poor gap, policymakers should consider joint federal tax and redistributive policies as levers to reduce the burden of mortality in the United States.</t>
  </si>
  <si>
    <t>S400-362</t>
  </si>
  <si>
    <t>SCOPUS_ID:0027963297</t>
  </si>
  <si>
    <t>10.1093/oxfordjournals.aje.a117264</t>
  </si>
  <si>
    <t>Epidemiology of intermittent claudication in middle-aged men</t>
  </si>
  <si>
    <t>['Incidence', 'Peripheral vascular diseases', 'Prevalence', 'Risk factors']</t>
  </si>
  <si>
    <t>Intermittent claudication, myocardial infarction, and angina pectoris share many epidemiologic and biologic features. Yet few large cohort studies describing the prevalence, Incidence, and risk factors for intermittent claudication have been done. The authors evaluated intemiittent claudication in 10,059 Israeli men aged 40-65 years, of whom 8,343 were free of coronary heart disease and symptoms of peripheral vascular disease; this latter group was followed for 5 years from 1963 to 1968. Prevalent and incident cases of intermittent claudication were defined by the London School of Hygiene Cardiovascular Disease Questionnaire, and all cardiovascular disease risk factor evaluations were standardized. Baseline prevalence was 27.0/ 1,000 (211/10,029). A total of 360 previously healthy men developed intermittent claudication for a crude 5-year incidence rate of 43.1/1,000 (360/8,343) or a crude annual incidence of 8.6/1,000. Following univariate analysis with demographic, physiologic, psychosocial, and other cardiovascular disease variables, logistic regression was used to identify risk factors for intermittent claudication. These were the following: &gt;20 cigarettes per day, odds ratio (OR) = 2.02, 95% confidence interval (Cl) 1.54-2.66; serum cholesterol (50-mg/dl difference), OR = 1.35, 95% Cl 1.18-1.54; 11-20 cigarettes per day, OR = 1.69, 95% Cl 1.24-2.30; anxiety (high vs. low), OR = 1.85, 95% Cl 1.29-2.65; socioeconomic status, OR = 1.82, 95% Cl 1.26-2.64; and diabetes, OR = 1.85, 95% Cl 1.25-2.75. Other significant predictors of smaller magnitude included in the regression were age, psychosocial coping factors, Quetelet's index, and exsmoking. The risk factors for intermittent claudication were a blend of those related to myocardlal infarction (smoking, cholesterol, diabetes, but not hypertension) and others related to angina pectons but not to myocardial infarction (stress and coping variables). There is reason to believe that preventing or modifying these factors will prove effective in altering the natural history and clinical outcomes of peripheral vascular disease as shown in other forms of atherosclerosis. © 1994 by The Johns Hopkins University School of Hygiene and Public Health.</t>
  </si>
  <si>
    <t>S400-363</t>
  </si>
  <si>
    <t>SCOPUS_ID:0027732493</t>
  </si>
  <si>
    <t>10.1093/ije/22.Supplement_2.S113</t>
  </si>
  <si>
    <t>Sources of discrepancies between a job exposure matrix and a case by case expert assessment for occupational exposure to formaldehyde and wood-dust</t>
  </si>
  <si>
    <t>Two methods used for retrospective evaluation of occupational exposures, a case by case assessment by expert and the application of a job exposure matrix (JEM), are compared using occupational histories collected for a case-control study on sinonasal cancer. The objective was to identify the main sources of discrepancies and to contribute to an optimal use of a JEM for population-based case-control studies. Comparisons were based on job periods, and were performed separately for two substances: formaldehyde and wood-dust. Job periods were classified according to the category of exposure assigned by the matrix, and to the probability and level of exposure assessed by the study expert. The sources of discrepancies were examined for job periods probably or definitely exposed according to the JEM and unexposed for the expert, or unexposed in the JEM and probably or definitely exposed to medium or high level for the expert. Such discrepancies were observed for 8% of the job periods for formaldehyde and 3% of the job periods for wood-dust. The agreement between the two approaches was better for wood-dust than for formaldehyde. The relative importance of different sources of discrepancies was not the same for formaldehyde and wood-dust. For formaldehyde a substantial part of the discrepancies was due to disagreements between the study expert and the matrix experts, which were mostly differences in threshold limits between 'not exposed' and 'definitely exposed at a low level'. Differences between experts' opinions did not explain the discordances observed for wood-dust. The presence of additional information in the questionnaire was an important source of discrepancy for the two substances. However in situations where additional information from the questionnaire is important, the fact that the matrix is insufficient or inadequate can often be foreseen: time-dependent exposure in the matrix, complex job with multiple activities difficult to code, additional part-time job, and a limited list of occupations. With a semi-structured questionnaire, the two methods could be used in a complementary way, with an evaluation by experts from the questionnaire limited to these situations, and with a direct application of the matrix for the other jobs. © International Epidemiological Association 1993.</t>
  </si>
  <si>
    <t>S400-364</t>
  </si>
  <si>
    <t>SCOPUS_ID:0037308475</t>
  </si>
  <si>
    <t>10.2105/AJPH.93.2.307</t>
  </si>
  <si>
    <t>Hysterectomy prevalence by hispanic ethnicity: Evidence from a national survey</t>
  </si>
  <si>
    <t>Objectives. We investigated hysterectomy prevalence among Hispanic women. Methods. We obtained data from 4684 Hispanic women and 20 604 non-Hispanic White women from the 1998-1999 National Health Interview Survey. We calculated nationally representative odds ratios of previous hysterectomy, controlling for confounders. Results. Compared with non-Hispanic White women, the odds ratio for hysterectomy was 0.36 (95% confidence interval [CI]=0.30, 0.44) for Hispanic women with no high school diploma, 0.57 (95% CI=0.44, 0.74) for high school graduates, and 0.67 (95% CI=0.42, 0.87) for college attenders. Country of origin had little influence on hysterectomy prevalence. Hysterectomy was positively associated with acculturation. Conclusions. Hispanic women undergo fewer hysterectomies than do non-Hispanic White women. The reasons for this, as well as information on ethnicity-specific appropriateness of hysterectomy, should be explored.</t>
  </si>
  <si>
    <t>S400-365</t>
  </si>
  <si>
    <t>SCOPUS_ID:0034118036</t>
  </si>
  <si>
    <t>10.1136/jech.54.5.333</t>
  </si>
  <si>
    <t>Weather and the risk of sudden infant death syndrome: The effect of wind</t>
  </si>
  <si>
    <t>Study objective - To examine and identify relations between sudden infant death syndrome (SIDS) and wind, particularly the fohn wind, in Christchurch, New Zealand. Design - A retrospective epidemiological study combining details of regional hourly meteorological variables and reported SIDS cases. Setting - Christchurch, New Zealand, between 1968 and 1997 inclusively. Participants - All 646 infants reported as dying from SIDS within the greater Christchurch region. Main results - Analysis of 1968-1989 data revealed nine wind variables significantly related to SIDS. When compared with corresponding variables calculated over the 1990-1997 period, only the northerly wind on the day of death and the southerly wind three days before a SIDS death had estimated associations with similar effect size and sign. However, both these variables had confidence intervals that included unity. Conclusions-No evidence was found to suspect that fohn winds influenced SIDS occurrence. The relations identified between SIDS incidence and wind, after controlling for the effects of temperature and trend, were tenuous and relatively small. More data are necessary to substantiate whether northerly winds on the day of death or southerly winds occurring three days before a death are truly associated with SIDS. It seems that wind has little, if any effect on SIDS incidence in Christchurch.</t>
  </si>
  <si>
    <t>S400-366</t>
  </si>
  <si>
    <t>SCOPUS_ID:85137301338</t>
  </si>
  <si>
    <t>10.1007/s10654-022-00907-z</t>
  </si>
  <si>
    <t>Temporal trends in calls for suicide attempts to poison control centers in France during the COVID-19 pandemic: a nationwide study</t>
  </si>
  <si>
    <t>['Adolescent', 'Age', 'Attempted suicide', 'COVID-19', 'Gender', 'Poison Control Center', 'Surveillance']</t>
  </si>
  <si>
    <t>Concerns have been raised about early vs. later impacts of the COVID-19 pandemic on suicidal behavior. However, data remain sparse to date. We investigated all calls for intentional drug or other toxic ingestions to the eight Poison Control Centers in France between 1st January 2018 and 31st May 2022. Data were extracted from the French National Database of Poisonings. Calls during the study period were analyzed using time trends and time series analyses with SARIMA models (based on the first two years). Breakpoints were determined using Chow test. These analyses were performed together with examination of age groups (≤ 11, 12–24, 25–64, ≥ 65 years) and gender effects when possible. Over the studied period, 66,589 calls for suicide attempts were received. Overall, there was a downward trend from 2018, which slowed down in October 2019 and was followed by an increase from November 2020. Number of calls observed during the COVID period were above what was expected. However, important differences were found according to age and gender. The increase in calls from mid-2020 was particularly observed in young females, while middle-aged adults showed a persisting decrease. An increase in older-aged people was observed from mid-2019 and persisted during the pandemic. The pandemic may therefore have exacerbated a pre-existing fragile situation in adolescents and old-aged people. This study emphasizes the rapidly evolving situation regarding suicidal behaviour during the pandemic, the possibility of age and gender differences in impact, and the value of having access to real-time information to monitor suicidal acts.</t>
  </si>
  <si>
    <t>borderline, the conclusion is about monitoring</t>
  </si>
  <si>
    <t>S400-367</t>
  </si>
  <si>
    <t>SCOPUS_ID:0034895821</t>
  </si>
  <si>
    <t>10.2105/AJPH.91.8.1276</t>
  </si>
  <si>
    <t>Adolescent sexual orientation and suicide risk: Evidence from a national study</t>
  </si>
  <si>
    <t>Objectives. Sexual orientation has been a debated risk factor for adolescent suicidality over the past 20 years. This study examined the link between sexual orientation and suicidality, using data that are nationally representative and that include other critical youth suicide risk factors. Methods. Data from the National Longitudinal Study of Adolescent Health were examined. Survey logistic regression was used to control for sample design effects. Results. There is a strong link between adolescent sexual orientation and suicidal thoughts and behaviors. The strong effect of sexual orientation on suicidal thoughts is mediated by critical youth suicide risk factors, including depression, hopelessness, alcohol abuse, recent suicide attempts by a peer or a family member, and experiences of victimization. Conclusions. The findings provide strong evidence that sexual minority youths are more likely than their peers to think about and attempt suicide.</t>
  </si>
  <si>
    <t>S400-368</t>
  </si>
  <si>
    <t>SCOPUS_ID:0025062447</t>
  </si>
  <si>
    <t>10.1093/oxfordjournals.aje.a115489</t>
  </si>
  <si>
    <t>Self-evaluated health and mortality among the elderly in New Haven, Connecticut, and Iowa and Washington counties, Iowa, 1982-1986</t>
  </si>
  <si>
    <t>['Aged', 'Chronic disease', 'Health surveys', 'Mortality', 'Prospective studies']</t>
  </si>
  <si>
    <t>The ability of global self-evaluations of health to predict survival in follow-up studies is tested in two samples of elderly, noninstitutlonalized adults. Data from the Yale Health and Aging Project, New Haven, Connecticut (n=2,812), and the 65+ Rural Health Study, Iowa and Washington counties, Iowa (n=3,673), were used to investigate the association between 1982 self-evaluated global health status (excellent, good, fair, poor) and survivorship from 1982 to 1988. Despite extensive controls for physical health status in the form of measures of disabilities and chronic conditions, sociodemographic characteristics, and health risk behaviors at the beginning of the follow-up period, and the use of analytic techniques which take into account the stratified sample design of the New Haven data, poor self-perceptions of health significantly increase the risk of mortality. Adjusted odds ratios for the extreme categories ("poor" as compared with "excellent") for New Haven men and women were 5.33 (95% confidence interval (Cl) 1.93-14.75) and 2.99 (95% Cl 1.30-6.91), respectively; for Iowa men and women they were 4.84 (95% Cl 2.22-10.57) and 3.16 (95% Cl 1.49-6.71). Respondents reporting "fair" and "good" health also show elevated risks of mortality in dose-response fashion. Self-perceptions of health status appear to be a factor of unique pro spective significance in mortality studies. © 1990 by The Johns Hopkins University School of Hygiene and Public Health.</t>
  </si>
  <si>
    <t>S400-369</t>
  </si>
  <si>
    <t>SCOPUS_ID:85070606772</t>
  </si>
  <si>
    <t>10.2105/AJPH.2019.305171</t>
  </si>
  <si>
    <t>Included, but deportable: A new public health approach to policies that criminalize and integrate immigrants</t>
  </si>
  <si>
    <t>There has been a burst of research on immigrant health in the United States and an increasing attention to the broad range of state and local policies that are social determinants of immigrant health. Many of these policies criminalize immigrants by regulating the “legality” of their day-to-day lives while others function to integrate immigrants through expanded rights and eligibility for health care, social services, and other resources. Research on the health impact of policies has primarily focused on the extremes of either criminalization or integration. Most immigrants in the United States, however, live in states that possess a combination of both criminalizing and integrating policies, resulting in distinct contexts that may influence their well-being. We present data describing the variations in criminalization and integration policies across states and provide a framework that identifies distinct but concurrent mechanisms of deportability and inclusion that can influence health. Future public health research and practice should address the ongoing dynamics created by both criminalization and integration policies as these likely exacerbate health inequities by citizenship status, race/ethnicity, and other social hierarchies.</t>
  </si>
  <si>
    <t>S400-370</t>
  </si>
  <si>
    <t>SCOPUS_ID:77957280907</t>
  </si>
  <si>
    <t>10.1136/jech.2009.088476</t>
  </si>
  <si>
    <t>Does socio-economic status predict grip strength in older Europeans? Results from the SHARE study in non-institutionalised men and women aged 50+</t>
  </si>
  <si>
    <t>Background Reduced hand-grip strength predicts disability, morbidity and mortality, but whether it is shaped by socio-economic experiences is yet unknown. The authors examined the association of education, occupation, income and wealth with grip strength in older Europeans.Methods Data came from the Survey of Health, Ageing and Retirement in Europe comprising 27 351 participants ages 50+ in 11 countries. Grip strength was objectively measured using a handheld ynamometer. Estimates were obtained based on multivariate linear regression controlling for a wide set of confounders, demographics, health and disability measures, and behavioural risk factors.Results In the total sample, education, occupational class, income and wealth predicted grip strength among men, whereas only education and wealth predicted grip strength among women While education and income effects were inconsistent in most countries, wealth consistently p edicted grip strength in each country. A one-point increase in the log of wealth was associated with 0.38 kg (95% CI 0.31 to 0.45) higher grip strength in men and 0.18 kg (95% CI 0.15 to 0.21) higher grip strength in women. While education, income and occupation effects disappeared after adjustment for health measures, log of wealth effects remained significant in both men (0.22, 95% CI 0.15 to 0.29) and women (0.08, 95% CI 0.05 to 0.11). Wealth effects were particularly evident in the two lowest quintiles. Conclusion Old-agesocio-economic and financial circumstances as measured by wealth are associated with grip strength, particularly among the least wealthy, while circumstances defined earlier in life as me sured by education, income and occupation do not consistently predict grip strength.</t>
  </si>
  <si>
    <t>S400-371</t>
  </si>
  <si>
    <t>SCOPUS_ID:0029094918</t>
  </si>
  <si>
    <t>10.1097/00001648-199509000-00013</t>
  </si>
  <si>
    <t>Cutaneous melanoma in women. V. Characteristics of those who tan and those who burn when exposed to summer sun</t>
  </si>
  <si>
    <t>['Melanoma', 'Nevus', 'Pigmentation', 'Race', 'Sunburn', 'Sunlight', 'Ultraviolet rays']</t>
  </si>
  <si>
    <t>We studied 338 Caucasian women with superficial spreading melanoma (hereafter called melanoma) and 872 control subjects ages 25–59 years and compared characteristics of women who reported that they tanned with sun exposure with those who reported that they burned. The purpose of the study was to investigate how skin type, as measured by tendency to burn or tan, modified the effect of other melanoma risk factors. There was a clear relation between tendency to burn and prevalence of red hair, light complexion, freckles, and history of sunburns during elementary school and high school. Host factors such as light complexion and increased number of self-assessed large nevi elevated risk of melanoma among women of all skin types. Increased risk for melanoma associated with frequent sunburns during childhood and adolescence was most pronounced for women who burned and then tanned; risk was not substantially elevated for women who burned without tanning. Women who had a history of sunburns had an increased melanoma risk even if they reported tanning. © 1995 Epidemiology Resources Inc.</t>
  </si>
  <si>
    <t>S400-372</t>
  </si>
  <si>
    <t>SCOPUS_ID:85148668904</t>
  </si>
  <si>
    <t>10.1016/j.ypmed.2023.107437</t>
  </si>
  <si>
    <t>The first nicotine product tried is associated with current multiple nicotine product use and nicotine dependence among a nationally representative sample of U.S. youths</t>
  </si>
  <si>
    <t>['Adolescents', 'E-cigarettes', 'Multiple nicotine product use', 'Nicotine dependence', 'Polytobacco use', 'Smoking devices', 'Tobacco']</t>
  </si>
  <si>
    <t>This study examines the demographic factors associated with youths' first product tried (i.e., cigarettes, e-cigarettes, cigars, hookah, or smokeless tobacco). This study also evaluates whether the first product tried is associated with future nicotine product use (i.e., no use, single product use, and multiple product use) and nicotine dependence. Participants were 1999 youths (ages 12–17 years) who had ever tried a nicotine product and completed the Population Assessment of Tobacco Health study's Wave 1 (2013–2014) and Wave 4 (2016–2018) assessments. Two separate multinomial logistic regression models examined the association between 1) demographic factors and the first product tried at Wave 1 and 2) the first product tried at Wave 1 and past-30-day product use status at Wave 4. A two-part multivariable model examined the association between the first product tried and nicotine dependence, with part 1 modeling the presence (or absence) of any symptom of dependence and part 2 modeling the degree of dependence among those with any symptom of dependence. The first product tried was associated with sex, race, urbanicity, and parent education. First trying smokeless tobacco (vs. e-cigarettes) was associated with a greater likelihood of multiple product use (vs. no use and vs. single product use). Regarding the degree of nicotine dependence (n = 713), first trying smokeless tobacco (vs. e-cigarettes) was associated with higher nicotine dependence scores among those with any symptom of dependence. Youths who first try smokeless tobacco (vs. e-cigarettes) may be at higher risk for future multiple product use and more symptoms nicotine dependence. Research should explore tailored interventions for smokeless tobacco users.</t>
  </si>
  <si>
    <t>target seemed to be research</t>
  </si>
  <si>
    <t>S400-373</t>
  </si>
  <si>
    <t>SCOPUS_ID:0348010397</t>
  </si>
  <si>
    <t>10.1093/aje/kwg274</t>
  </si>
  <si>
    <t>Sources of Variability in Blood Pressure Measurement using the Dinamap PRO 100 Automated Oscillometric Device</t>
  </si>
  <si>
    <t>['Blood pressure', 'Epidemiologic methods', 'Equipment and supplies', 'Observer variation', 'Oscillometry', 'Research design']</t>
  </si>
  <si>
    <t>The Dinamap automated oscillometric device (GE Medical Systems Information Technologies, Inc., Milwaukee, Wisconsin) for blood pressure measurement is widely employed in epidemiologic studies because it is easy to use and because it eliminates observer variability. In this study, the authors assessed the variability in observed blood pressures associated with use of the Dinamap monitor and estimated the contributions of various factors to that variability. In 60 volunteers (30 aged 23-35 years and 30 aged 54-82 years) from New York, New York, the authors obtained 30 simultaneous paired blood pressure measurements in both arms at 1-minute intervals, using three separate Dinamap PRO 100 devices allocated to arm and subject according to a balanced incomplete block design. Variability, defined as the between-arm difference in blood pressure measurements, was analyzed using a mixed-effects linear regression model. A total of 1,800 paired blood pressure measurements were obtained between September 2001 and June 2002. The mean ages of the two groups were 28.3 years (standard deviation, 4.0) and 71.7 years (standard deviation, 8.0). A diagnosis of hypertension was present in 53% of the older subjects and none of the younger subjects. Fifty percent of paired simultaneous blood pressure measurements obtained were in agreement within 4 mmHg for systolic blood pressure or within 3 mmHg for diastolic blood pressure. Residual variability, attributable to the intrinsic inaccuracy of the device, accounted for 64-82% of the total systolic and diastolic blood pressure variability. The majority of variability in blood pressure measurement was due to the device as used under the study conditions.</t>
  </si>
  <si>
    <t>S400-374</t>
  </si>
  <si>
    <t>SCOPUS_ID:33845671785</t>
  </si>
  <si>
    <t>10.1093/aje/kwj330</t>
  </si>
  <si>
    <t>Nutrient intake and risk of non-Hodgkin's lymphoma</t>
  </si>
  <si>
    <t>['Case-control studies', 'Diet', 'Fatty acids', 'Lymphoma', 'Non-Hodgkin', 'Nutrition', 'Vitamin D']</t>
  </si>
  <si>
    <t>The mechanisms through which diet may influence the development of non-Hodgkin's lymphoma (NHL) are unclear but can be better understood by examining associations between nutrient consumption and NHL risk. Between 2000 and 2002, 591 NHL cases and 460 population-based controls in Sweden completed a semiquantitative food frequency questionnaire. Unconditional logistic regression was performed to estimate odds ratios and 95% confidence intervals for associations with nutrient intake; all statistical tests were two sided. Dietary intake of most macronutrients was not associated with risk of NHL or its common subtypes. Consumption of omega-3 or marine fatty acids was associated with decreased risk of NHL and chronic lymphocytic lymphoma, and dietary fiber was associated with lower risk of all subtypes examined. When the highest and the lowest quartiles of marine fat intake were compared, the odds ratio for NHL risk was 0.6 (95% confidence interval: 0.4, 0.9), ptrend = 0.03; for dietary fiber intake, the corresponding odds ratio was 0.5 (95% confidence interval: 0.3, 0.7), ptrend &lt; 0.001. Dietary consumption of beta-carotene or alpha-tocopherol was associated with lower NHL risk, whereas intake of calcium or retinol was associated with increased NHL risk. Nutrients that affect inflammation, vitamin D activity, oxidative DNA damage, or DNA methylation may be associated with risk of NHL. Copyright © 2006 by the Johns Hopkins Bloomberg School of Public Health All rights reserved.</t>
  </si>
  <si>
    <t>S400-375</t>
  </si>
  <si>
    <t>SCOPUS_ID:0028218149</t>
  </si>
  <si>
    <t>10.1093/oxfordjournals.aje.a117011</t>
  </si>
  <si>
    <t>Melanocytic Nevi in children: I. Anatomic sites and demographic and host factors</t>
  </si>
  <si>
    <t>['Ethnic groups', 'Eye color', 'Hair color', 'Melanoma', 'Nevus', 'Skin pigmentation', 'Social class']</t>
  </si>
  <si>
    <t>A survey of benign melanocytic nevi was conducted among schoolchildren in Perth, Western Australia, in 1985, with the aim of describing the prevalence and causes of nevi. Children were recruited from Perth public schools that were chosen to be representative of the socioeconomic and geographic distribution of the population. Of 4,898 eligible children, 2,595 (53%) had all of their nevi counted by one member of a team of five nurses. Analysis was restricted to 2,552 children aged 5-14 years. Children of European origin (i.e., white children), who comprised the majority of the sample (2,376 children), had many more nevi than did children of other ethnic origins. Among white children, the prevalence of nevi increased progressively with age, although the number of nevi per unit of skin area reached a plateau at about 9 years of age. Boys had more nevi at all ages than did girls. The number of nevi per unit of area was highest on the lateral surfaces of the upper limbs and the face and neck, and was lowest on the lower limbs. Children whose parents had been born in Southern Europe were likely to have few nevi. Children with red hair had relatively few nevi, but children with light skin generally had more nevi than children with darker skin. Ability to tan and propensity to burn were also associated with number of nevi, although not in a simple fashion; numbers of nevi were highest in intermediate categories of these two variables. The relation with freckling was also complex; the mean number of nevi increased with increasing freckling until the freckling became moderate to heavy, after which it fell. © 1994 by The Johns Hopkins University School of Hygiene and Public Health.</t>
  </si>
  <si>
    <t>S400-376</t>
  </si>
  <si>
    <t>SCOPUS_ID:84894498259</t>
  </si>
  <si>
    <t>10.1016/j.ypmed.2014.01.019</t>
  </si>
  <si>
    <t>An emerging adolescent health risk: Caffeinated energy drink consumption patterns among high school students</t>
  </si>
  <si>
    <t>['Caffeinated energy drinks', 'College students', 'Health risk', 'High school students', 'Mental health', 'Prevalence']</t>
  </si>
  <si>
    <t>Objective: To examine the prevalence, patterns, and correlates of energy drink use among adolescents, and determine whether more frequent use of energy drinks is associated with poorer health and behavioral outcomes. Methods: Data were from a 2012 cross-sectional survey of 8210 students in grades 7, 9, 10 and 12 attending public schools in Atlantic Canada. Multinomial logistic regression analysis was used to examine correlates of energy drink use patterns, including substance use, sensation seeking, risk of depression, and socioeconomic status. Results: Nearly two-thirds of survey respondents (62%) reported consuming energy drinks at least once in the previous year, with about 20% reporting use once or more per month. Sensation seeking, depression, and substance use were all higher among energy drink users relative to non-users, and in higher frequency users relative to lower frequency users. Conclusions: The prevalence of energy drink consumption among high school students was high. The association of energy drinks with other potential negative health and behavioral outcomes suggests that use of these products may represent a marker for other activities that may negatively affect adolescent development, health and well-being. © 2014 Elsevier Inc.</t>
  </si>
  <si>
    <t>S400-377</t>
  </si>
  <si>
    <t>SCOPUS_ID:84952629734</t>
  </si>
  <si>
    <t>10.1016/j.amepre.2015.06.015</t>
  </si>
  <si>
    <t>Effect of Community Volunteering on Physical Activity: A Randomized Controlled Trial</t>
  </si>
  <si>
    <t>Introduction Older adults with a high number of chronic conditions and who live in environments that do not promote physical activity have great difficulty initiating and adhering to exercise programs. Novel lifestyle activity interventions that can effectively increase physical activity may address disparities in health in these populations. This study evaluates the effects of the Baltimore Experience Corps program, a community-based volunteer program, on walking activity in older adults. Methods The Baltimore Experience Corps Trial is a sex-stratified RCT that recruited participants from 2006 to 2009. Older adult participants aged ≥60 years (n=123) were from a nested objective physical activity trial within the larger Baltimore Experience Corps Trial. Participants randomized to the intervention group were placed as volunteers within the Baltimore public school system for 2 years. The primary study outcome was objectively measured total amount of walking activity measured in steps/day. Differences between intervention and control groups were measured at 12 and 24 months using linear mixed effects models. Data were analyzed in 2014. Results At 24 months, women, but not men, in the intervention group showed an increased amount of walking activity, averaging 1,500.3 (95% CI=77.6, 2,922.9) greater steps/day compared with the control group. Women in the control group showed a decline of 1,191.6 (95% CI=-2243.7, -139.5) steps/day at 24 months compared to baseline. Conclusions A community-based volunteer intervention increased walking activity among older women, who were at elevated risk for both inactivity and adverse health outcomes. Trial registration This study is registered at www.clinicaltrials.gov NCT00380562.</t>
  </si>
  <si>
    <t>S400-378</t>
  </si>
  <si>
    <t>SCOPUS_ID:81555226637</t>
  </si>
  <si>
    <t>10.2105/AJPH.2011.300355</t>
  </si>
  <si>
    <t>Community health workers' perspectives on their contribution to rural health and well-being in Iran</t>
  </si>
  <si>
    <t>Objectives: The activities of community health workers (CHWs) have been identified as key to improvements in the health of Iran's rural population. We explored the perceptions of CHWs regarding their contribution to rural health in Iran. Methods: Three research assistants familiar with the Iranian primary health care network conducted face-to-face interviews with CHWs in 18 provinces in Iran. Results: Findings showed that Iranian CHWs have an in-depth understanding of health, including its social determinants, and are responsible for a wide range of activities. Respondents reported that trust-based relationships with rural communities, an altruistic motivation to serve rural people, and sound health knowledge and skills are the most important factors facilitating successful implementation of the CHW program in Iran. By contrast, high workload and the lack of a support system were mentioned as barriers to effective performance. Conclusions: The CHW program in Iran is a compelling example of comprehensive primary health care, in that CHWs provide basic health care but also work with community members and other sectors to address the social determinants of health.</t>
  </si>
  <si>
    <t>S400-379</t>
  </si>
  <si>
    <t>SCOPUS_ID:85014529008</t>
  </si>
  <si>
    <t>10.2105/AJPH.2017.303653</t>
  </si>
  <si>
    <t>Parent-centered prevention of risky behaviors among hispanic youths in Florida</t>
  </si>
  <si>
    <t>Objectives. To evaluate the effectiveness of an evidence-based, parent-centered intervention, Familias Unidas, delivered by nonresearch personnel, in preventing substance use (alcohol, illicit drugs) and sex without a condom among Hispanic adolescents. Methods. A randomized controlled trial (n = 746) evaluated the effectiveness of Familias Unidas among Hispanic eighth graders (age range = 12-16 years), relative to prevention as usual, within a public school system. School personnel, including social workers and mental health counselors, were trained to deliver the evidence-based intervention. Participant recruitment, intervention delivery, and follow-up ran from September 2010 through June 2014 in Miami-Dade County, Florida. Results. Familias Unidas was effective in preventing drug use from increasing and prevented greater increases in sex without a condom 30 months after baseline, relative to prevention as usual. Familias Unidas also had a positive impact on family functioning and parental monitoring of peers at 6 months after baseline. Conclusions. This study demonstrated the effectiveness of a parent-centered preventive intervention program in preventing risky behaviors among Hispanic youths. Findings highlight the feasibility of training nonresearch personnel on effectively delivering a manualized intervention in a real-world setting.</t>
  </si>
  <si>
    <t>S400-380</t>
  </si>
  <si>
    <t>SCOPUS_ID:84865695664</t>
  </si>
  <si>
    <t>10.1016/j.amepre.2012.05.025</t>
  </si>
  <si>
    <t>YMCA commit to quit: Randomized trial outcomes</t>
  </si>
  <si>
    <t>Background: Vigorous-intensity exercise has been shown to aid in smoking cessation, especially among women. In a previous trial, cognitive behavioral therapy (CBT) for smoking cessation plus regular vigorous aerobic exercise enhanced cessation rates, improved exercise capacity, and reduced weight gain compared to CBT plus equal contact time. Purpose: This study examined the effectiveness of this program adapted for and implemented in the YMCAs. Design: An RCT comparing CBT + Exercise (Exercise) to CBT + Contact Control (Control). Setting/participants: Apparently healthy female smokers were recruited to four local YMCAs. Intervention: YMCA staff members were trained to lead the manualized CBT smoking-cessation intervention and a standardized YMCA exercise program. Main outcome measures: Seven-day point prevalence and continuous abstinence. Results: Participants (330 women, mean age=44 years) were randomized to the Exercise (n=166) or Control (n=164) group. Results revealed no differences in 7-day point prevalence (29.5% vs 29.9%) nor continuous abstinence (13.9% vs 14.0%) between the Exercise and Control groups, respectively, at end of treatment or at the 3-, 6-, and 12-month follow-up. An examination of the relationship between exercise dose and quit status at end of treatment revealed that over 12 weeks, the odds of being quit (7-day point prevalence) grew by 4.5% for each additional aerobic exercise session (OR=1.05, 95% CI=1.01, 1.08) and by 7.7% for each additional resistance training session (OR=1.08, 95% CI=1.02, 1.14). Analyses were conducted between August 19, 2010, and December 16, 2011. Conclusions: No differences were seen between groups in smoking outcomes. The association between greater exercise participation and higher odds of quitting within the exercise condition suggests that the lack of between-group differences might be a result of poor compliance with the exercise program. Trial registration: This study is registered at clinicaltrials.gov NCT01615380. © 2012 American Journal of Preventive Medicine.</t>
  </si>
  <si>
    <t>S400-381</t>
  </si>
  <si>
    <t>SCOPUS_ID:0029938965</t>
  </si>
  <si>
    <t>10.2105/AJPH.86.4.533</t>
  </si>
  <si>
    <t>The health insurance status of US latino women: A profile from the 1982-1984 HHANES</t>
  </si>
  <si>
    <t>Objectives. This research studied the correlates of health insurance status among three major subpopulations (Mexican, Puerto Rican, and Cuban) of adult (ages of 20 to 64) Latino women. Methods. Data from the Hispanic Health and Nutrition Examination Survey (HHANES), 1982-1984, were examined to determine the percentages of health insurance coverage among the sample populations and to assess the relationship between access to coverage and selected sociodemographic, employment/income, ancestry, and acculturation variables. Results. Variations in health insurance coverage existed by Latina subpopulation. While Puerto Rican women had the highest percentage of any health insurance coverage. Mexican-origin women (particularly those 50 to 64 years old) had the lowest. For all three Latina groups, health insurance coverage was greater among those who reported a family income above the poverty level than among those whose income fell below the poverty level; employment location, acculturation variables, and ancestry were also related to coverage. Conclusions. Eligibility requirements, particularly for Mexican- and Cuban-origin women, need to be streamlined, and innovative health insurance programs need to be developed to increase access of Latinas to health insurance.</t>
  </si>
  <si>
    <t>S400-382</t>
  </si>
  <si>
    <t>SCOPUS_ID:0028901996</t>
  </si>
  <si>
    <t>10.1016/s0749-3797(18)30485-9</t>
  </si>
  <si>
    <t>Drug use prevalence in a rural school-age population: The New Hampshire survey</t>
  </si>
  <si>
    <t>Pre-adolescent and adolescent drug use is a major public health concern in the United States. Although we have good prevalence data on some adolescents, we have little information on preadolescents, young adolescents, and rural children. We conducted a survey of 4,406 children in grades 4-12 in rural New Hampshire in 1990. Students completed annual self-report surveys on demographic characteristics, drug use, and psychosocial risk factors. These children are initiating drug use in elementary school. Alcohol is the preferred drug for both genders at all grade levels, followed by cigarettes, marijuana, and spitting tobacco. Current use of these drugs escalates in the sixth through ninth grades. Lifetime prevalence and 30-day prevalence increase slowly through high school. Most children who are going to use drugs have begun by the tenth grade. In this rural state, children's drug preferences are similar to those of other pre-adolescents and adolescents. Rural students have equal, and in some cases higher, lifetime and current use prevalence of alcohol, marijuana, and tobacco in comparison with national samples.</t>
  </si>
  <si>
    <t>S400-383</t>
  </si>
  <si>
    <t>SCOPUS_ID:0027184614</t>
  </si>
  <si>
    <t>10.1093/ije/22.4.666</t>
  </si>
  <si>
    <t>Smoking cessation and changes in respiratory symptoms in two populations followed for 13 years</t>
  </si>
  <si>
    <t>To investigate the relationship between persistence and incidence rates of respiratory symptoms, and the cessation of cigarette smoking, the data from longitudinal studies conducted in Cracow, Poland and Tucson, USA were analysed jointly. Among 1722 subjects smoking at the beginning of the study, 468 had given up smoking at the 13-year followup. The persistence and incidence rates of chronic cough, chronic phlegm, wheeze and attacks of breathlessness were reduced by 50% in ex-smokers compared to the subjects continuing to smoke. The beneficial effects of smoking cessation were decreased in subjects smoking more cigarettes per day in the past and starting to smoke at a younger age. The symptoms were less likely if smoking ceased before the onset of any respiratory disease. These results were similar in the Cracow and Tucson populations, confirming the universal nature of the observations. © 1993, International Epidemiological Association.</t>
  </si>
  <si>
    <t>S400-384</t>
  </si>
  <si>
    <t>SCOPUS_ID:84862529617</t>
  </si>
  <si>
    <t>10.2105/AJPH.2011.300460</t>
  </si>
  <si>
    <t>Implementing rapid HIV testing with or without risk-reduction counseling in drug treatment centers: Results of a randomized trial</t>
  </si>
  <si>
    <t>Objectives. We examined the effectiveness of risk reduction counseling and the role of on-site HIV testing in drug treatment. Methods. Between January and May 2009, we randomized 1281 HIV-negative (or status unknown) adults who reported no past-year HIV testing to (1) referral for off-site HIV testing, (2) HIV risk-reduction counseling with on-site rapid HIV testing, or (3) verbal information about testing only with on-site rapid HIV testing. Results. We defined 2 primary self-reported outcomes a priori: receipt of HIV test results and unprotected anal or vaginal intercourse episodes at 6-month follow-up. The combined on-site rapid testing participants received more HIV test results than off-site testing referral participants (P &lt; .001; Mantel-Haenszel risk ratio = 4.52; 97.5% confidence interval [CI] = 3.57, 5.72). At 6 months, there were no significant differences in unprotected intercourse episodes between the combined on-site testing arms and the referral arm (P = .39; incidence rate ratio [IRR] = 1.04; 97.5% CI = 0.95, 1.14) or the 2 on-site testing arms (P = .81; IRR = 1.03; 97.5% CI = 0.84, 1.26). Conclusions. This study demonstrated on-site rapid HIV testing's value in drug treatment centers and found no additional benefit from HIV sexual risk-reduction counseling.</t>
  </si>
  <si>
    <t>S400-385</t>
  </si>
  <si>
    <t>SCOPUS_ID:0346724559</t>
  </si>
  <si>
    <t>10.1093/eurpub/13.4.334</t>
  </si>
  <si>
    <t>Unusually strong association between education and mortality in young adults in a community with a high rate of injection-drug users</t>
  </si>
  <si>
    <t>['Education', 'Leading causes of death', 'Mortality', 'Young adults']</t>
  </si>
  <si>
    <t>Background: To examine the association between education and mortality for various causes of death in young adults in a community with a high rate of injection-drug users. Methods: Linked mortality study based on mortality records for 1996 and 1997 and on 1996 population census data from the Region of Madrid (Spain). The association between educational level and mortality was estimated by the mortality rate ratio. Results: After adjustment for age and other socioeconomic variables the mortality rate in men and women aged 25-44 years with no education was, respectively, 4.7 and 3.7 times higher than in men and women with the highest educational level. The causes of death with the strongest association were chronic liver disease and cirrhosis, AIDS and diseases of the heart in both sexes and suicide in men. For these causes of death the mortality rate ratio between persons with the lowest and highest educational level ranged from 6.8 to 21.8 in men and from 4.1 to 16.9 in women. Conclusions: These causes of death are the leading specific causes of death in persons aged 25-44 years. Given that probably a substantial part of deaths from diseases of the heart in this age category are drug-related, the common denominator of the excess mortality related poor education seems to be drug injection.</t>
  </si>
  <si>
    <t>S400-386</t>
  </si>
  <si>
    <t>SCOPUS_ID:5644266333</t>
  </si>
  <si>
    <t>10.1016/j.amepre.2004.07.005</t>
  </si>
  <si>
    <t>The association between length of residence and obesity among Hispanic immigrants</t>
  </si>
  <si>
    <t>Newly arrived Hispanic immigrants are generally healthier than the U.S.-born population, but this distinction tends to diminish over time as immigrants adapt to a new and different sociocultural environment. This study sought to determine whether length of residence in the United States was associated with obesity (body mass index [BMI]&gt;30 kg/m 2) among Hispanic immigrants. Data for 2420 foreign-born Hispanic adults aged ≥18 years were obtained from the 1998 National Health Interview Survey. The prevalence of obesity among those with 0 to 4, 5 to 9, 10 to 14, and ≥15 years of residence in the United States was 9.4%, 14.5%, 21.0%, and 24.2%, respectively. A logistic regression model adjusted for smoking, physical inactivity, self-assessed health, chronic conditions, functional limitations, nonspecific psychological distress, several sociodemographic characteristics, and access to health services found that longer-term Hispanic immigrants (≥15 years) experienced a nearly four-fold greater risk of obesity than did recent immigrants (&lt;5 years). The higher risk for obesity associated with length of residence may be due to acculturation processes such as the adoption of the unhealthy dietary practices (i.e., a diet high in fat and low in fruits and vegetables) and sedentary lifestyles of the host country. The results of this study may facilitate the planning of public health interventions that are directed at subgroups of the Hispanic population. © 2004 American Journal of Preventive Medicine.</t>
  </si>
  <si>
    <t>S400-387</t>
  </si>
  <si>
    <t>SCOPUS_ID:84891721281</t>
  </si>
  <si>
    <t>10.2105/AJPH.2012.301091</t>
  </si>
  <si>
    <t>Smoking and risk of coronary heart disease in younger, middle-aged, and older adults</t>
  </si>
  <si>
    <r>
      <t xml:space="preserve">Objectives: We investigated associations of smoking and coronary heart disease (CHD) by age. Methods: Data came from the Pooling Project on Diet and Coronary Heart Disease (8 prospective studies, 1974-1996; n = 192 067 women and 74 720 men, aged 40-89 years). Results: During follow-up, 4326 cases of CHD were reported. Relative to never smokers, CHD risk among current smokers was highest in the youngest and lowest in the oldest participants. For example, among women aged 40 to 49 years the hazard ratio was 8.5 (95% confidence interval [CI]= 5.0, 14) and 3.1 (95% CI = 2.0, 4.9) among those aged 70 years or older. The largest absolute risk differences between current smokers and never smokers were observed among the oldest participants. Finally, the majority of CHD cases among smokers were attributable to smoking. For example, attributable proportions of CHD by age group were 88% (40-49 years), 81% (50-59 years), 71% for (60-69 years), and 68% (≥70 years) among women who smoked. Conclusions: Among smokers, the majority of CHD cases are attributable to smoking in all age groups. </t>
    </r>
    <r>
      <rPr>
        <sz val="11"/>
        <color rgb="FFFF0000"/>
        <rFont val="Calibri (Body)"/>
      </rPr>
      <t>Smoking prevention is important, irrespective of age.</t>
    </r>
  </si>
  <si>
    <t>this is just a description of the results</t>
  </si>
  <si>
    <t>S400-388</t>
  </si>
  <si>
    <t>SCOPUS_ID:85152705375</t>
  </si>
  <si>
    <t>10.1016/j.amepre.2023.03.008</t>
  </si>
  <si>
    <t>Racial/Ethnic Disparities in Mental Healthcare in Youth With Incarcerated Parents</t>
  </si>
  <si>
    <t>Introduction: Youth with incarcerated parents experience more adverse childhood experiences than other youth, placing them at higher risk for mental health and substance use disorders. Despite their increased risk, these youth may be less likely to access mental health services, particularly given their racial and ethnic makeup. Therefore, this study aimed to assess racial and ethnic disparities in access to mental health services for youth with incarcerated parents. Methods: This secondary data analysis used longitudinal data from 2016 to 2019 from the Adolescent Brain Cognitive Development Study. Logistic regression models assessed the relationships among incarceration, cumulative childhood experiences, DSM-5 diagnoses, and mental health services. Additional analyses stratified these models by race and ethnicity. All analyses were performed in 2022. Results: Youth with incarcerated parents were more likely to report 4 or more childhood experiences (51% vs 14%; AOR=3.92; 95% CI=3.3, 4.65; p&lt;0.001) and to have received mental health services (25% vs 15%; AOR=1.89; 95% CI=1.6, 2.21; p&lt;0.001) than unexposed youth. However, Black youth with incarcerated parents (19% vs 34%; AOR=0.38; 95% CI=0.27, 0.52; p&lt;0.001) and Latinx youth with incarcerated parents (10% vs 17%; AOR=0.5; 95% CI=0.33, 0.76; p&lt;0.001) were significantly less likely to report receiving mental health services than White youth with incarcerated parents and non-Latinx youth with incarcerated parents, respectively. Conclusions: Youth with incarcerated parents were more likely to report utilization of mental health services, but significant racial and ethnic disparities exist between Black and Latinx youth with incarcerated parents compared with that among White and non-Latinx youth with incarcerated parents. There is a continued need to expand mental health services to youth with incarcerated parents and to address racial and ethnic disparities in access to care.</t>
  </si>
  <si>
    <t>S400-389</t>
  </si>
  <si>
    <t>SCOPUS_ID:12344261745</t>
  </si>
  <si>
    <t>10.1093/ije/dyh284</t>
  </si>
  <si>
    <t>Maternal calcium supplementation and cardiovascular risk factors in twin offspring</t>
  </si>
  <si>
    <t>['Calcium', 'Cardiovascular disease', 'Children', 'Lipids', 'Pregnancy']</t>
  </si>
  <si>
    <t>Background. There is evidence that maternal calcium supplementation may result in lower offspring blood pressure. We hypothesized that maternal calcium supplementation also influences other cardiovascular risk factors. Methods. In the Tasmanian Infant Health Study, supplements reportedly taken in pregnancy were recorded. Twin children of 147 participating mothers were seen at mean age 9 years. Blood pressure was measured in all 294 children and fasting blood samples taken from 230 (78%) for glucose and insulin, triacylglycerol, total cholesterol (T-C) and HDL cholesterol (HDL-C). LDL cholesterol (LDL-C) was calculated. Results. Children of supplemented mothers (n = 110, 77 had venipuncture) had lower geometric mean triacylglycerol, T-C, and LDL-C than other children. After adjustment for potential confounding factors, geometric mean ratios were 0.86 (95% CI: 0.75, 0.98), 0.94, (95% CI: 0.90, 0.99) and 0.90, (95% CI: 0.83, 0.98) respectively. The association with T-C and LDL-C was seen principally among children with BMI &gt; 17.5: estimated ratios 0.85 (95% CI: 0.79, 0.92) for total cholesterol and 0.79 (95% CI: 0.70, 0.90) for LDL cholesterol (P for interaction 0.001 and 0.009 respectively). There was no significant association between maternal calcium supplementation and child size at birth and follow up, blood pressure, fasting glucose or insulin or HDL-C. Conclusions. Maternal calcium supplementation may confer health benefits on twin offspring, especially if they are relatively fat. Calcium availability could permanently programme lipid metabolism during fetal life, directly or by influencing maternal lipid profile. Our findings need to be replicated in other studies and in singletons. If confirmed, our findings could have important implications for population health. © International Epidemiological Association 2004; all rights reserved.</t>
  </si>
  <si>
    <t>S400-390</t>
  </si>
  <si>
    <t>SCOPUS_ID:0034073172</t>
  </si>
  <si>
    <t>10.1093/eurpub/10.1.68</t>
  </si>
  <si>
    <t>Disease-related distress among insulin-treated diabetic patients: Associations with health status, psychosocial factors and self-care practices</t>
  </si>
  <si>
    <t>['Diabetes cognitions', 'Diabetes distress', 'Health status', 'Insulin-treated diabetes', 'Social support']</t>
  </si>
  <si>
    <t>Background: Diabetes is a chronic illness that affects many domains of life. This cross-sectional study examined disease-related distress and its associations with health and psychosocial factors among insulin-treated diabetic persons. Method: The sample (n=423) was drawn from the Social Insurance Institution's drug registry. Health indicators were duration of diabetes, complications, and glycaemic control. Psychosocial measures included general and diabetes-specific social support, diabetes locus of control (DLC), self-efficacy, diabetes health beliefs and self-care practices and subjective health. Results: Most respondents reported moderate diabetes- related distress. In multivariate analysis, severe diabetes distress was related to lower net benefits of regimen (β = -0.29, and p&lt;0.001), poorer perceived health (β = -0.25, and p&lt;0.001), higher perceived threat of complications (β = 0.19, and p&lt;0.001), less adequate social support (β = - 0.16, and p&lt;0.01), stronger beliefs in chance (β = 0.15, and p&lt;0.01) and internal DLC (β = 0.11, and p&lt;0.05) and more frequent exercising (β = 0.10, and p&lt;0.05). Conclusions: The results suggest that emotional adjustment to diabetes is predominantly determined by diabetes-related cognitions and subjective health and to a lesser degree by objective diabetes indicators, which underlines the importance of assisting the patient with adjustment with the disease in health care centres.</t>
  </si>
  <si>
    <t>S400-391</t>
  </si>
  <si>
    <t>SCOPUS_ID:85124166197</t>
  </si>
  <si>
    <t>10.1016/j.ypmed.2022.106981</t>
  </si>
  <si>
    <t>Valuing the cross-sector benefits from improving youth health to drive investment in place-based preventive interventions in the US: A simulation modeling study</t>
  </si>
  <si>
    <t>['Child health', 'Health policy', 'Healthcare financing', 'Mental health', 'Prevention']</t>
  </si>
  <si>
    <t>Healthcare payment reform has not produced incentives for investing in place-based, or population-level, upstream preventive interventions. This article uses economic modeling to estimate the long-term benefits to different sectors associated with improvements in population health indicators in childhood. This information can motivate policymakers to invest in prevention and provide guidance for cross-sector contracting to align incentives for implementing place-based preventive interventions. A benefit-cost model developed by the Washington State Institute for Public Policy was used to estimate total and sector-specific benefits expected from improvements to nine different population health indicators at ages 17 and 18. The magnitudes of improvement used in the model were comparable to those that could be achieved by high-quality implementation of evidence-based population-level preventive interventions. Benefits accruing throughout the lifecycle and over a ten-year time horizon were modelled. Intervention effect sizes of 0.10 and 0.20 demonstrated substantial long-term benefits for eight of the nine outcomes measured. At an effect size of 0.10, the median lifecycle benefit per participant across the ten indicators was $3080 (ranged: $93 to $14,220). The median over a 10-year time horizon was $242 (range: $14 to $1357). Benefits at effect sizes of 0.20 were approximately double. Policymakers may be able to build will for additional investment based on these cross-sector returns and communities may be able to capture these cross-sector benefits through contracting to better align incentives for implementing and sustaining place-based preventive interventions.</t>
  </si>
  <si>
    <t>S400-392</t>
  </si>
  <si>
    <t>SCOPUS_ID:47949122155</t>
  </si>
  <si>
    <t>10.1016/j.ypmed.2008.05.006</t>
  </si>
  <si>
    <t>Physical activity as a strategy for maintaining tobacco abstinence: A randomized trial</t>
  </si>
  <si>
    <t>['Pedometer', 'Physical activity', 'Randomized trial', 'Relapse prevention', 'Smoking cessation']</t>
  </si>
  <si>
    <t>Objectives: For smoking cessation, physical activity (PA) may help manage withdrawal symptoms, mood, stress, and weight; yet studies of PA as an aid for smoking cessation have been mixed. This study examined: (1) the impact of an extended relapse prevention program on increasing moderate to vigorous PA (MVPA) in adults enrolled in a tobacco cessation treatment trial; (2) whether changes in MVPA were associated with sustained abstinence from smoking; and (3) mechanisms by which MVPA may support sustained abstinence from smoking. Methods: In a randomized controlled trial conducted from 2003-2006 in San Francisco, California, 407 adult smokers received a 12 week group-based smoking cessation treatment with bupropion and nicotine patch with the quit date set at week 3. At week 12, participants were randomized to no further treatment or to 40 weeks of bupropion or placebo with or without an 11-session relapse prevention intervention of which 2 sessions (held at weeks 16 and 20) focused on PA. Participants receiving the PA intervention (n = 163) received a pedometer, counseling to increase steps 10% biweekly towards a 10,000 steps/day goal, and personalized reports graphing progress with individualized goals. The International Physical Activity Questionnaire assessed weekly minutes of MVPA at baseline and weeks 12 and 24. Sustained abstinence from tobacco at week 24 was validated with expired carbon monoxide. Results: In a repeated mixed model analysis, intervention participants significantly increased their MVPA relative to control participants, F(1,475) = 3.95, p = .047. Pedometer step counts also increased significantly, t(23) = 2.36, p = .027, though only 15% of intervention participants provided 6 weeks of pedometer monitoring. Controlling for treatment condition, increased MVPA predicted sustained smoking abstinence at week 24, odds ratio = 1.84 (95% CI: 1.07, 3.05). Among participants with sustained abstinence, increased MVPA was associated with increased vigor (r = 0.23, p = .025) and decreased perceived difficulty with staying smoke-free (r = - 0.21, p = .038). Conclusion: PA promotion as an adjunct to tobacco treatment increases MVPA levels; changes in MVPA predict sustained abstinence, perhaps by improving mood and self-efficacy. © 2008 Elsevier Inc. All rights reserved.</t>
  </si>
  <si>
    <t>S400-393</t>
  </si>
  <si>
    <t>SCOPUS_ID:84905649813</t>
  </si>
  <si>
    <t>10.1093/ije/dyu051</t>
  </si>
  <si>
    <t>Do population-based interventions widen or narrow socioeconomic inequalities? The case of breastfeeding promotion</t>
  </si>
  <si>
    <t>['Breastfeeding', 'Cognitive functioning', 'Health inequalities', 'Randomized intervention trials']</t>
  </si>
  <si>
    <t>Background: Despite numerous population-based randomized intervention trials, the impact of such interventions on socioeconomic inequalities has rarely been examined. We used data from a large cluster-randomized trial to assess the impact of a breastfeeding promotion intervention on socioeconomic inequalities in breastfeeding (exclusivity and duration) and in child cognitive ability at early school age. Methods: The Promotion of Breastfeeding Intervention Trial (PROBIT) randomized 31 Belarusian maternity hospitals and their affiliated polyclinics either to receive a breastfeeding promotion intervention modelled on the WHO/UNICEF Baby-Friendly Hospital Initiative or to continue the standard practices in effect at the time of randomization. We estimated and compared inequalities in discontinuation of exclusive breastfeeding before 3 months and of any breastfeeding before 12 months and in child verbal IQ at age 6.5 years, across maternal education strata between the two intervention arms. Findings: Socioeconomic inequalities in discontinuing exclusive breastfeeding before 3 months were negligible in the control group. However, graded inequalities by maternal education emerged in the intervention group {relative risk [RR]=1.12 [95% confidence interval (CI): 1.04, 1.20] for partial university and RR=1.20 [95% CI: 1.11, 1.31] for secondary education or less vs complete university; risk difference [RD]=0.06 [95% CI: 0.03, 0.09] and 0.10 [95% CI: 0.06, 0.14], respectively}. For discontinuing any breastfeeding before 12 months, small socioeconomic gradients in the control group were widened in the intervention group (RR=1.04 and 1.16, respectively, for mothers with secondary education or less). Despite these differential effects on breastfeeding, however, we observed a small, nonsignificant reduction in socioeconomic inequalities in child verbal IQ at age 6.5 years.Conclusions: A population-based intervention to promote breastfeeding slightly widened socioeconomic inequalities in breastfeeding but not those in child cognitive ability. © The Author 2014; Published by Oxford University Press on behalf of the International Epidemiological Association all rights reserved.</t>
  </si>
  <si>
    <t>S400-394</t>
  </si>
  <si>
    <t>SCOPUS_ID:0027454355</t>
  </si>
  <si>
    <t>10.1006/pmed.1993.1068</t>
  </si>
  <si>
    <t>Dietary fat, calories, and fiber in colon cancer</t>
  </si>
  <si>
    <t>The purpose of this presentation is (a) to provide an overview of the data thus far obtained in human epidemiological studies and laboratory animal models on the relationship between dietary fat, calories, and fiber and colon carcinogenesis and (b) to discuss whether the effect of dietary fat on colon carcinogenesis is due to the specific action of fat or to an associated caloric effect. Although the primary discussion of this presentation will be on laboratory animal model studies, reference will be made to human studies where appropriate. Future research will produce additional evidence for the etiologic role of types of dietary fat and fiber and total calories in cancer of the colon discussed in this presentation. © 1993 Academic Press, Inc.</t>
  </si>
  <si>
    <t>S400-395</t>
  </si>
  <si>
    <t>SCOPUS_ID:33846042221</t>
  </si>
  <si>
    <t>10.1016/j.ypmed.2006.07.016</t>
  </si>
  <si>
    <t>Lower risk of death from gastric cancer among participants of gastric cancer screening in Japan: A population-based cohort study</t>
  </si>
  <si>
    <t>['Cohort study', 'Gastric cancer', 'Gastric cancer screening', 'Japanese']</t>
  </si>
  <si>
    <t>Objective.: This study aimed to investigate the association between gastric cancer screening and mortality from gastric cancer. Methods.: In 1990, 47,605 Japanese subjects were recruited and completed a questionnaire about participation in gastric cancer screening and life-style. We followed up their vital status through December 2001. In this cohort, 41,394 subjects without a history of cancer were allocated to the screened group or the unscreened group according to their response to the question about gastric cancer screening. We estimated the relative risk (RR) of death from gastric cancer, death from any cause except gastric cancer, and incidence of gastric cancer with adjustment for potential confounding variables. Results.: The risk of death from gastric cancer among the screened group was significantly lower than that among the unscreened group. The multivariate RR of death from gastric cancer for screened individuals compared with those not screened was 0.54 (95% confidence interval [CI]: 0.38, 0.77). The RR of death from any cause except gastric cancer was 0.83 (95% CI: 0.77, 0.90), and the RR of incidence of gastric cancer was 0.94 (95% CI: 0.79, 1.13). Conclusion.: Our data suggest that gastric cancer screening or factors associated with it may be associated with lower mortality from gastric cancer. © 2006.</t>
  </si>
  <si>
    <t>S400-396</t>
  </si>
  <si>
    <t>SCOPUS_ID:0041834522</t>
  </si>
  <si>
    <t>10.1093/aje/kwg184</t>
  </si>
  <si>
    <t>Wine, liquor, beer, and mortality</t>
  </si>
  <si>
    <t>['Alcohol drinking', 'Alcoholic beverages', 'Beer', 'Mortality', 'Risk', 'Wine']</t>
  </si>
  <si>
    <t>A substantially increased risk for heavy drinkers and a slightly reduced risk for lighter drinkers results in the J-shaped alcohol-mortality curve. Limited data suggest a more favorable mortality experience for drinkers of wine than for drinkers of liquor or beer. To examine these relations, the authors performed a cohort study of participants in a large Northern California prepaid health care program. Demographic and history data were collected from 128,934 adults undergoing health evaluations in 1978-1985, with subsequent death ascertained by an automated linkage system. Cox proportional hazards models with eight covariates were used to determine relative risk estimates according to total alcohol intake and days per week of drinking wine, wine types, beer, or liquor. The J-shaped alcohol-mortality relation was stable for 20 years. Independently, frequency of wine drinking was associated with lower mortality risk (p &lt; 0.001) largely because of lower coronary disease risk. Similar risk reductions were associated with red wine, white wine, other types of wine, and combinations of wine types. Much of the lower risk associated with light drinking was related to wine drinking. The authors conclude that drinkers of any type of wine have a lower mortality risk than do beer or liquor drinkers, but it remains unclear whether this reduced risk is due to nonalcoholic wine ingredients, drinking pattern, or associated traits.</t>
  </si>
  <si>
    <t>S400-397</t>
  </si>
  <si>
    <t>SCOPUS_ID:0029941114</t>
  </si>
  <si>
    <t>10.1093/oxfordjournals.aje.a008709</t>
  </si>
  <si>
    <t>NHLBI Family Heart Study: Objectives and design</t>
  </si>
  <si>
    <t>['coronary heart disease', 'genetics', 'hypertension', 'risk factors']</t>
  </si>
  <si>
    <t>The NHLBI Family Heart Study is a multicenter, population-based study of genetic and nongenetic determinants of coronary heart disease (CHD), atherosclerosis, and cardiovascular risk factors. In phase I, 2,000 randomly selected participants and 2,000 with family histories of CHD were identified among 14,592 middle-aged participants in epidemiologic studies. Medical histories from these individuals, their parents, and their siblings were used to calculate family risk scores that compared the number of reported and validated CHD events with the number expected based on the size, sex, and age of family members. A total of 657 families with the highest risk scores and early-onset CHD and 588 randomly sampled families had clinic examinations that included electrocardiograms, carotid artery ultrasound scans, spirometry, measurements of body size, blood pressure, lipids, lipoproteins, hemostatic factors, insulin, glucose, and routine chemistries. Additional biochemical and genetic studies are being performed on selected participants. Serum, plasma, lymphocytes, red cells, and DNA are stored for future studies, including genotyping of candidate genes and anonymous markers. Contributions of genes, shared and individual environments, and behaviors to variations in risk factors, preclinical atherosclerosis, and CHD will be estimated. Linkage studies, including the quantitative trait loci approach, are planned.</t>
  </si>
  <si>
    <t>S400-398</t>
  </si>
  <si>
    <t>SCOPUS_ID:33745658835</t>
  </si>
  <si>
    <t>10.2105/AJPH.2005.062224</t>
  </si>
  <si>
    <t>Effect of educational level and minority status on nursing home choice after hospital discharge</t>
  </si>
  <si>
    <t>Objectives. The movement to publicly report data on provider quality to inform consumer choices is predicated on assumptions of equal access and knowledge. We examine the validity of this assumption by testing whether minority/less educated Medicare patients are at greater risk of being discharged from a hospital to the lowest-quality nursing homes in a geographic area. Methods. We used the 2002 national Minimum Data Set to identify 62 601 new Medicare admissions to nursing homes in 95 hospital service areas with at least 4 freestanding nursing homes and at least 50 African Americans aged 65 years or older with Medicare admissions to nursing homes. Results. The probability of African Americans' being admitted to nursing homes in the lowest-quality quartile in the area was greater (relative risk [RR] = 1.26; 95% confidence interval [CI] = 1.0, 8.45) in comparison with Whites. Individuals without a high-school degree were also more likely to be admitted to a low-quality nursing home (RR = 1.22; 95% CI = 1.0, 1.46). Conclusions. African American and poorly educated patients enter the worst-quality nursing facilities. This finding raises concerns about the usefulness of the current public reporting model for certain consumers.</t>
  </si>
  <si>
    <t>borderline, I was not sure what the  policy implication was</t>
  </si>
  <si>
    <t>S400-399</t>
  </si>
  <si>
    <t>SCOPUS_ID:78649935623</t>
  </si>
  <si>
    <t>10.1016/j.amepre.2010.09.009</t>
  </si>
  <si>
    <t>Characteristics and prevalence of tobacco use among somali youth in minnesota</t>
  </si>
  <si>
    <t>Background Somalis compose the largest African refugee group in the U.S., with more than 55,000 primary arrivals since 2000. Minnesota has the largest Somali population in the U.S. Despite its size, little research has been conducted to determine the extent of tobacco use among Somali youth. Purpose This paper reports the results from a knowledge, attitudes, and practices (KAP) survey designed to explore factors related to tobacco-use prevention, initiation, and cessation, and to reliably estimate tobacco-use prevalence among Somali youth in grades 9 through 12 in Minnesota. Methods A KAP survey, modeled after validated state and national youth tobacco-use surveys, was adapted for Somali youth and administered to ethnically Somali youth (N=302) from seven high schools in Minnesota in 2008. Participants were chosen through probability-proportional-to-size and multi-stage random sampling methods, and the results were analyzed in 2009. Results Somali high school students' estimated prevalence for "ever-users" of cigarettes was 12.8%, and current use was 4.7%. This is one quarter of the reported statewide smoking prevalence for Minnesota high school students (19.1%) and half of the nationwide prevalence for blacks/African Americans (11.6%). Ever-users were more likely to have close friends or live with someone who smoked cigarettes (p&lt;0.01). Belief in the Islamic prohibition of tobacco affected future intention to use tobacco (p&lt;0.01), as did the belief that using hookah/sheisha is less risky than smoking cigarettes (p&lt;0.01). Conclusions Estimated cigarette use prevalence (4.7%) for Somali youth was substantially lower than among Minnesota high school students and also lower than perceived prevalence among Somalis. Positive peer pressure and religion appear to be protective factors in tobacco use and should be integrated into future Somali tobacco prevention and cessation programs, along with education on the risks of hookah/sheisha use. © 2010 American Journal of Preventive Medicine.</t>
  </si>
  <si>
    <t>S400-400</t>
  </si>
  <si>
    <t>SCOPUS_ID:84875174408</t>
  </si>
  <si>
    <t>10.2105/AJPH.2012.301016</t>
  </si>
  <si>
    <t>Improving the environmental quality component of the county health rankings model</t>
  </si>
  <si>
    <t>Objectives: We examined the association between environmental quality measures and health outcomes by using the County Health Rankings data, and tested whether a revised environmental quality measure for 1 state could improve the models. Methods: We conducted state-by-state, county-level linear regression analyses to determine how often the model's 4 health determinants (social and economic factors, health behaviors, clinical care, and physical environment) were associated with mortality and morbidity outcomes. We then developed a revised measure of environmental quality for West Virginia, and tested whether the revised measure was superior to the original measure. Results: Measures of social and economic conditions, and health behaviors, were related to health outcomes in 58% to 88% of state models; measures of environmental quality were related to outcomes in 0% to 8% of models. In West Virginia, the original measure of environmental quality was unrelated to any of the 8 health outcome measures, but the revised measure was significantly related to all 8. Conclusions: The County Health Rankings model underestimates the impact of the physical environment on public health outcomes. Suggestions for other data sources that may contribute to improved measurement of the physical environment are provided.</t>
  </si>
  <si>
    <t>the recommendaiotn is about research (more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</si>
</sst>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Calibri"/>
      <family val="2"/>
      <scheme val="minor"/>
    </font>
    <font>
      <b/>
      <sz val="11"/>
      <name val="Calibri"/>
      <family val="2"/>
    </font>
    <font>
      <u/>
      <sz val="11"/>
      <color theme="10"/>
      <name val="Calibri"/>
      <family val="2"/>
      <scheme val="minor"/>
    </font>
    <font>
      <sz val="11"/>
      <color rgb="FF242424"/>
      <name val="Aptos Narrow"/>
    </font>
    <font>
      <b/>
      <sz val="11"/>
      <color theme="1"/>
      <name val="Calibri"/>
      <family val="2"/>
      <scheme val="minor"/>
    </font>
    <font>
      <sz val="11"/>
      <color rgb="FFFF0000"/>
      <name val="Calibri (Body)"/>
    </font>
    <font>
      <sz val="11"/>
      <name val="Calibri"/>
      <family val="2"/>
      <scheme val="minor"/>
    </font>
    <font>
      <sz val="11"/>
      <name val="Calibri (Body)"/>
    </font>
  </fonts>
  <fills count="3">
    <fill>
      <patternFill patternType="none"/>
    </fill>
    <fill>
      <patternFill patternType="gray125"/>
    </fill>
    <fill>
      <patternFill patternType="solid">
        <fgColor rgb="FFFFFF0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2">
    <xf numFmtId="0" fontId="0" fillId="0" borderId="0"/>
    <xf numFmtId="0" fontId="2" fillId="0" borderId="0" applyNumberFormat="0" applyFill="0" applyBorder="0" applyAlignment="0" applyProtection="0"/>
  </cellStyleXfs>
  <cellXfs count="12">
    <xf numFmtId="0" fontId="0" fillId="0" borderId="0" xfId="0"/>
    <xf numFmtId="0" fontId="1" fillId="0" borderId="1" xfId="0" applyFont="1" applyBorder="1" applyAlignment="1">
      <alignment horizontal="center" vertical="top"/>
    </xf>
    <xf numFmtId="0" fontId="1" fillId="0" borderId="2" xfId="0" applyFont="1" applyBorder="1" applyAlignment="1">
      <alignment horizontal="center" vertical="top"/>
    </xf>
    <xf numFmtId="49" fontId="1" fillId="0" borderId="1" xfId="0" applyNumberFormat="1" applyFont="1" applyBorder="1" applyAlignment="1">
      <alignment horizontal="center" vertical="top" wrapText="1"/>
    </xf>
    <xf numFmtId="49" fontId="0" fillId="0" borderId="0" xfId="0" applyNumberFormat="1" applyAlignment="1">
      <alignment wrapText="1"/>
    </xf>
    <xf numFmtId="49" fontId="1" fillId="0" borderId="2" xfId="0" applyNumberFormat="1" applyFont="1" applyBorder="1" applyAlignment="1">
      <alignment horizontal="center" vertical="top"/>
    </xf>
    <xf numFmtId="49" fontId="0" fillId="0" borderId="0" xfId="0" applyNumberFormat="1"/>
    <xf numFmtId="0" fontId="3" fillId="0" borderId="0" xfId="0" applyFont="1"/>
    <xf numFmtId="0" fontId="2" fillId="0" borderId="0" xfId="1"/>
    <xf numFmtId="0" fontId="4" fillId="0" borderId="0" xfId="0" applyFont="1"/>
    <xf numFmtId="0" fontId="6" fillId="2" borderId="0" xfId="0" applyFont="1" applyFill="1"/>
    <xf numFmtId="49" fontId="6" fillId="0" borderId="0" xfId="0" applyNumberFormat="1" applyFont="1" applyAlignment="1">
      <alignment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ajph.aphapublications.org/doi/full/10.2105/AJPH.2012.30093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P401"/>
  <sheetViews>
    <sheetView tabSelected="1" topLeftCell="K1" zoomScale="125" zoomScaleNormal="50" workbookViewId="0">
      <selection activeCell="Q28" sqref="Q28"/>
    </sheetView>
  </sheetViews>
  <sheetFormatPr defaultColWidth="8.85546875" defaultRowHeight="15"/>
  <cols>
    <col min="7" max="7" width="116.42578125" style="4" customWidth="1"/>
    <col min="8" max="8" width="18.42578125" style="6" customWidth="1"/>
    <col min="9" max="9" width="17.140625" customWidth="1"/>
    <col min="10" max="10" width="22.140625" customWidth="1"/>
    <col min="11" max="11" width="87.28515625" bestFit="1" customWidth="1"/>
    <col min="12" max="12" width="14.7109375" bestFit="1" customWidth="1"/>
    <col min="15" max="15" width="19" bestFit="1" customWidth="1"/>
  </cols>
  <sheetData>
    <row r="1" spans="1:15">
      <c r="A1" s="1" t="s">
        <v>0</v>
      </c>
      <c r="B1" s="1" t="s">
        <v>1</v>
      </c>
      <c r="C1" s="1" t="s">
        <v>2</v>
      </c>
      <c r="D1" s="1" t="s">
        <v>3</v>
      </c>
      <c r="E1" s="1" t="s">
        <v>4</v>
      </c>
      <c r="F1" s="1" t="s">
        <v>5</v>
      </c>
      <c r="G1" s="3" t="s">
        <v>6</v>
      </c>
      <c r="H1" s="5" t="s">
        <v>7</v>
      </c>
      <c r="I1" s="2" t="s">
        <v>8</v>
      </c>
      <c r="J1" t="s">
        <v>9</v>
      </c>
      <c r="K1" t="s">
        <v>10</v>
      </c>
      <c r="L1" s="9" t="s">
        <v>11</v>
      </c>
      <c r="M1" s="9"/>
      <c r="N1" s="9"/>
      <c r="O1" t="s">
        <v>12</v>
      </c>
    </row>
    <row r="2" spans="1:15" ht="167.25" hidden="1">
      <c r="A2" t="s">
        <v>13</v>
      </c>
      <c r="B2" t="s">
        <v>14</v>
      </c>
      <c r="C2" t="s">
        <v>15</v>
      </c>
      <c r="D2" t="s">
        <v>16</v>
      </c>
      <c r="E2" t="s">
        <v>17</v>
      </c>
      <c r="F2" t="s">
        <v>18</v>
      </c>
      <c r="G2" s="4" t="s">
        <v>19</v>
      </c>
      <c r="H2" s="6" t="b">
        <v>0</v>
      </c>
      <c r="J2" t="b">
        <v>0</v>
      </c>
      <c r="L2" t="str">
        <f>IF(OR(H2="",J2=""),"",IF(TEXT(H2,"")&lt;&gt;TEXT(J2,""),"!!!",""))</f>
        <v/>
      </c>
    </row>
    <row r="3" spans="1:15" ht="167.25" hidden="1">
      <c r="A3" t="s">
        <v>20</v>
      </c>
      <c r="B3" t="s">
        <v>21</v>
      </c>
      <c r="C3" t="s">
        <v>22</v>
      </c>
      <c r="D3" t="s">
        <v>23</v>
      </c>
      <c r="E3" t="s">
        <v>24</v>
      </c>
      <c r="F3" t="s">
        <v>25</v>
      </c>
      <c r="G3" s="4" t="s">
        <v>26</v>
      </c>
      <c r="H3" s="6" t="b">
        <v>0</v>
      </c>
      <c r="J3" t="b">
        <v>0</v>
      </c>
      <c r="L3" t="str">
        <f t="shared" ref="L3:L66" si="0">IF(OR(H3="",J3=""),"",IF(TEXT(H3,"")&lt;&gt;TEXT(J3,""),"!!!",""))</f>
        <v/>
      </c>
    </row>
    <row r="4" spans="1:15" ht="167.25" hidden="1">
      <c r="A4" t="s">
        <v>27</v>
      </c>
      <c r="B4" t="s">
        <v>28</v>
      </c>
      <c r="C4" t="s">
        <v>29</v>
      </c>
      <c r="D4" t="s">
        <v>30</v>
      </c>
      <c r="E4" t="s">
        <v>31</v>
      </c>
      <c r="F4" t="s">
        <v>32</v>
      </c>
      <c r="G4" s="4" t="s">
        <v>33</v>
      </c>
      <c r="H4" s="6" t="b">
        <v>0</v>
      </c>
      <c r="J4" t="b">
        <v>0</v>
      </c>
      <c r="L4" t="str">
        <f t="shared" si="0"/>
        <v/>
      </c>
    </row>
    <row r="5" spans="1:15" ht="137.25" hidden="1">
      <c r="A5" t="s">
        <v>34</v>
      </c>
      <c r="B5" t="s">
        <v>35</v>
      </c>
      <c r="C5" t="s">
        <v>36</v>
      </c>
      <c r="D5" t="s">
        <v>37</v>
      </c>
      <c r="E5" t="s">
        <v>38</v>
      </c>
      <c r="F5" t="s">
        <v>39</v>
      </c>
      <c r="G5" s="4" t="s">
        <v>40</v>
      </c>
      <c r="H5" s="6" t="b">
        <v>0</v>
      </c>
      <c r="J5" t="b">
        <v>0</v>
      </c>
      <c r="L5" t="str">
        <f t="shared" si="0"/>
        <v/>
      </c>
    </row>
    <row r="6" spans="1:15" ht="167.25" hidden="1">
      <c r="A6" t="s">
        <v>41</v>
      </c>
      <c r="B6" t="s">
        <v>42</v>
      </c>
      <c r="C6" t="s">
        <v>43</v>
      </c>
      <c r="D6" t="s">
        <v>44</v>
      </c>
      <c r="E6" t="s">
        <v>24</v>
      </c>
      <c r="F6" t="s">
        <v>45</v>
      </c>
      <c r="G6" s="4" t="s">
        <v>46</v>
      </c>
      <c r="H6" s="6" t="s">
        <v>47</v>
      </c>
      <c r="J6" t="b">
        <v>0</v>
      </c>
      <c r="L6" t="str">
        <f t="shared" si="0"/>
        <v/>
      </c>
    </row>
    <row r="7" spans="1:15" ht="244.5" hidden="1">
      <c r="A7" t="s">
        <v>48</v>
      </c>
      <c r="B7" t="s">
        <v>49</v>
      </c>
      <c r="C7" t="s">
        <v>50</v>
      </c>
      <c r="D7" t="s">
        <v>51</v>
      </c>
      <c r="E7" t="s">
        <v>24</v>
      </c>
      <c r="F7" t="s">
        <v>52</v>
      </c>
      <c r="G7" s="4" t="s">
        <v>53</v>
      </c>
      <c r="H7" s="6" t="s">
        <v>47</v>
      </c>
      <c r="J7" t="b">
        <v>0</v>
      </c>
      <c r="L7" t="str">
        <f t="shared" si="0"/>
        <v/>
      </c>
    </row>
    <row r="8" spans="1:15" ht="198" hidden="1">
      <c r="A8" t="s">
        <v>54</v>
      </c>
      <c r="B8" t="s">
        <v>55</v>
      </c>
      <c r="C8" t="s">
        <v>56</v>
      </c>
      <c r="D8" t="s">
        <v>57</v>
      </c>
      <c r="E8" t="s">
        <v>31</v>
      </c>
      <c r="F8" t="s">
        <v>58</v>
      </c>
      <c r="G8" s="4" t="s">
        <v>59</v>
      </c>
      <c r="H8" s="6" t="s">
        <v>47</v>
      </c>
      <c r="J8" t="b">
        <v>0</v>
      </c>
      <c r="L8" t="str">
        <f t="shared" si="0"/>
        <v/>
      </c>
    </row>
    <row r="9" spans="1:15" ht="244.5" hidden="1">
      <c r="A9" t="s">
        <v>60</v>
      </c>
      <c r="B9" t="s">
        <v>61</v>
      </c>
      <c r="C9" t="s">
        <v>62</v>
      </c>
      <c r="D9" t="s">
        <v>63</v>
      </c>
      <c r="E9" t="s">
        <v>31</v>
      </c>
      <c r="F9" t="s">
        <v>64</v>
      </c>
      <c r="G9" s="4" t="s">
        <v>65</v>
      </c>
      <c r="H9" s="6" t="s">
        <v>66</v>
      </c>
      <c r="J9" t="b">
        <v>1</v>
      </c>
      <c r="L9" t="str">
        <f t="shared" si="0"/>
        <v/>
      </c>
    </row>
    <row r="10" spans="1:15" ht="167.25" hidden="1">
      <c r="A10" t="s">
        <v>67</v>
      </c>
      <c r="B10" t="s">
        <v>68</v>
      </c>
      <c r="C10" t="s">
        <v>69</v>
      </c>
      <c r="D10" t="s">
        <v>70</v>
      </c>
      <c r="E10" t="s">
        <v>71</v>
      </c>
      <c r="F10" t="s">
        <v>72</v>
      </c>
      <c r="G10" s="4" t="s">
        <v>73</v>
      </c>
      <c r="H10" s="6" t="s">
        <v>47</v>
      </c>
      <c r="J10" t="b">
        <v>0</v>
      </c>
      <c r="L10" t="str">
        <f t="shared" si="0"/>
        <v/>
      </c>
    </row>
    <row r="11" spans="1:15" ht="167.25" hidden="1">
      <c r="A11" t="s">
        <v>74</v>
      </c>
      <c r="B11" t="s">
        <v>75</v>
      </c>
      <c r="C11" t="s">
        <v>76</v>
      </c>
      <c r="D11" t="s">
        <v>77</v>
      </c>
      <c r="E11" t="s">
        <v>17</v>
      </c>
      <c r="F11" t="s">
        <v>18</v>
      </c>
      <c r="G11" s="4" t="s">
        <v>78</v>
      </c>
      <c r="H11" s="6" t="s">
        <v>47</v>
      </c>
      <c r="J11" t="b">
        <v>0</v>
      </c>
      <c r="L11" t="str">
        <f t="shared" si="0"/>
        <v/>
      </c>
    </row>
    <row r="12" spans="1:15" ht="183" hidden="1">
      <c r="A12" t="s">
        <v>79</v>
      </c>
      <c r="B12" t="s">
        <v>80</v>
      </c>
      <c r="C12" t="s">
        <v>81</v>
      </c>
      <c r="D12" t="s">
        <v>82</v>
      </c>
      <c r="E12" t="s">
        <v>31</v>
      </c>
      <c r="F12" t="s">
        <v>83</v>
      </c>
      <c r="G12" s="4" t="s">
        <v>84</v>
      </c>
      <c r="H12" s="6" t="s">
        <v>66</v>
      </c>
      <c r="J12" t="b">
        <v>1</v>
      </c>
      <c r="L12" t="str">
        <f t="shared" si="0"/>
        <v/>
      </c>
    </row>
    <row r="13" spans="1:15" ht="198" hidden="1">
      <c r="A13" t="s">
        <v>85</v>
      </c>
      <c r="B13" t="s">
        <v>86</v>
      </c>
      <c r="C13" t="s">
        <v>87</v>
      </c>
      <c r="D13" t="s">
        <v>88</v>
      </c>
      <c r="E13" t="s">
        <v>71</v>
      </c>
      <c r="F13" t="s">
        <v>89</v>
      </c>
      <c r="G13" s="4" t="s">
        <v>90</v>
      </c>
      <c r="H13" s="6" t="s">
        <v>47</v>
      </c>
      <c r="J13" t="b">
        <v>0</v>
      </c>
      <c r="L13" t="str">
        <f t="shared" si="0"/>
        <v/>
      </c>
    </row>
    <row r="14" spans="1:15" ht="244.5" hidden="1">
      <c r="A14" t="s">
        <v>91</v>
      </c>
      <c r="B14" t="s">
        <v>92</v>
      </c>
      <c r="C14" t="s">
        <v>93</v>
      </c>
      <c r="D14" t="s">
        <v>94</v>
      </c>
      <c r="E14" t="s">
        <v>95</v>
      </c>
      <c r="F14" t="s">
        <v>18</v>
      </c>
      <c r="G14" s="4" t="s">
        <v>96</v>
      </c>
      <c r="H14" s="6" t="s">
        <v>66</v>
      </c>
      <c r="J14" t="b">
        <v>1</v>
      </c>
      <c r="K14" t="s">
        <v>97</v>
      </c>
      <c r="L14" t="str">
        <f t="shared" si="0"/>
        <v/>
      </c>
    </row>
    <row r="15" spans="1:15" ht="183" hidden="1">
      <c r="A15" t="s">
        <v>98</v>
      </c>
      <c r="B15" t="s">
        <v>99</v>
      </c>
      <c r="C15" t="s">
        <v>100</v>
      </c>
      <c r="D15" t="s">
        <v>101</v>
      </c>
      <c r="E15" t="s">
        <v>38</v>
      </c>
      <c r="F15" t="s">
        <v>102</v>
      </c>
      <c r="G15" s="4" t="s">
        <v>103</v>
      </c>
      <c r="H15" s="6" t="s">
        <v>47</v>
      </c>
      <c r="J15" t="b">
        <v>0</v>
      </c>
      <c r="L15" t="str">
        <f t="shared" si="0"/>
        <v/>
      </c>
    </row>
    <row r="16" spans="1:15" ht="106.5" hidden="1">
      <c r="A16" t="s">
        <v>104</v>
      </c>
      <c r="B16" t="s">
        <v>105</v>
      </c>
      <c r="C16" t="s">
        <v>106</v>
      </c>
      <c r="D16" t="s">
        <v>107</v>
      </c>
      <c r="E16" t="s">
        <v>108</v>
      </c>
      <c r="F16" t="s">
        <v>109</v>
      </c>
      <c r="G16" s="4" t="s">
        <v>110</v>
      </c>
      <c r="H16" s="6" t="s">
        <v>47</v>
      </c>
      <c r="J16" t="b">
        <v>0</v>
      </c>
      <c r="L16" t="str">
        <f t="shared" si="0"/>
        <v/>
      </c>
    </row>
    <row r="17" spans="1:15" ht="229.5" hidden="1">
      <c r="A17" t="s">
        <v>111</v>
      </c>
      <c r="B17" t="s">
        <v>112</v>
      </c>
      <c r="C17" t="s">
        <v>113</v>
      </c>
      <c r="D17" t="s">
        <v>114</v>
      </c>
      <c r="E17" t="s">
        <v>108</v>
      </c>
      <c r="F17" t="s">
        <v>115</v>
      </c>
      <c r="G17" s="4" t="s">
        <v>116</v>
      </c>
      <c r="H17" s="6" t="s">
        <v>47</v>
      </c>
      <c r="J17" t="b">
        <v>0</v>
      </c>
      <c r="L17" t="str">
        <f t="shared" si="0"/>
        <v/>
      </c>
    </row>
    <row r="18" spans="1:15" ht="76.5" hidden="1">
      <c r="A18" t="s">
        <v>117</v>
      </c>
      <c r="B18" t="s">
        <v>118</v>
      </c>
      <c r="C18" t="s">
        <v>119</v>
      </c>
      <c r="D18" t="s">
        <v>120</v>
      </c>
      <c r="E18" t="s">
        <v>17</v>
      </c>
      <c r="F18" t="s">
        <v>18</v>
      </c>
      <c r="G18" s="4" t="s">
        <v>121</v>
      </c>
      <c r="H18" s="6" t="s">
        <v>47</v>
      </c>
      <c r="J18" t="b">
        <v>0</v>
      </c>
      <c r="L18" t="str">
        <f t="shared" si="0"/>
        <v/>
      </c>
    </row>
    <row r="19" spans="1:15" ht="198" hidden="1">
      <c r="A19" t="s">
        <v>122</v>
      </c>
      <c r="B19" t="s">
        <v>123</v>
      </c>
      <c r="C19" t="s">
        <v>124</v>
      </c>
      <c r="D19" t="s">
        <v>125</v>
      </c>
      <c r="E19" t="s">
        <v>31</v>
      </c>
      <c r="F19" t="s">
        <v>126</v>
      </c>
      <c r="G19" s="4" t="s">
        <v>127</v>
      </c>
      <c r="H19" s="6" t="s">
        <v>66</v>
      </c>
      <c r="J19" t="b">
        <v>1</v>
      </c>
      <c r="L19" t="str">
        <f t="shared" si="0"/>
        <v/>
      </c>
    </row>
    <row r="20" spans="1:15" ht="76.5" hidden="1">
      <c r="A20" t="s">
        <v>128</v>
      </c>
      <c r="B20" t="s">
        <v>129</v>
      </c>
      <c r="C20" t="s">
        <v>130</v>
      </c>
      <c r="D20" t="s">
        <v>131</v>
      </c>
      <c r="E20" t="s">
        <v>38</v>
      </c>
      <c r="F20" t="s">
        <v>18</v>
      </c>
      <c r="G20" s="4" t="s">
        <v>132</v>
      </c>
      <c r="H20" s="6" t="s">
        <v>47</v>
      </c>
      <c r="J20" t="b">
        <v>0</v>
      </c>
      <c r="L20" t="str">
        <f t="shared" si="0"/>
        <v/>
      </c>
    </row>
    <row r="21" spans="1:15" ht="183" hidden="1">
      <c r="A21" t="s">
        <v>133</v>
      </c>
      <c r="B21" t="s">
        <v>134</v>
      </c>
      <c r="C21" t="s">
        <v>135</v>
      </c>
      <c r="D21" t="s">
        <v>136</v>
      </c>
      <c r="E21" t="s">
        <v>31</v>
      </c>
      <c r="F21" t="s">
        <v>137</v>
      </c>
      <c r="G21" s="4" t="s">
        <v>138</v>
      </c>
      <c r="H21" s="6" t="s">
        <v>47</v>
      </c>
      <c r="J21" t="b">
        <v>0</v>
      </c>
      <c r="L21" t="str">
        <f t="shared" si="0"/>
        <v/>
      </c>
    </row>
    <row r="22" spans="1:15" ht="229.5" hidden="1">
      <c r="A22" t="s">
        <v>139</v>
      </c>
      <c r="B22" t="s">
        <v>140</v>
      </c>
      <c r="C22" t="s">
        <v>141</v>
      </c>
      <c r="D22" t="s">
        <v>142</v>
      </c>
      <c r="E22" t="s">
        <v>71</v>
      </c>
      <c r="F22" t="s">
        <v>143</v>
      </c>
      <c r="G22" s="4" t="s">
        <v>144</v>
      </c>
      <c r="H22" s="6" t="s">
        <v>47</v>
      </c>
      <c r="J22" t="b">
        <v>0</v>
      </c>
      <c r="L22" t="str">
        <f t="shared" si="0"/>
        <v/>
      </c>
    </row>
    <row r="23" spans="1:15" ht="152.25" hidden="1">
      <c r="A23" t="s">
        <v>145</v>
      </c>
      <c r="B23" t="s">
        <v>146</v>
      </c>
      <c r="C23" t="s">
        <v>147</v>
      </c>
      <c r="D23" t="s">
        <v>148</v>
      </c>
      <c r="E23" t="s">
        <v>149</v>
      </c>
      <c r="F23" t="s">
        <v>150</v>
      </c>
      <c r="G23" s="4" t="s">
        <v>151</v>
      </c>
      <c r="H23" s="6" t="s">
        <v>47</v>
      </c>
      <c r="J23" t="b">
        <v>0</v>
      </c>
      <c r="K23" t="s">
        <v>152</v>
      </c>
      <c r="L23" t="str">
        <f t="shared" si="0"/>
        <v/>
      </c>
    </row>
    <row r="24" spans="1:15" ht="76.5" hidden="1">
      <c r="A24" t="s">
        <v>153</v>
      </c>
      <c r="B24" t="s">
        <v>154</v>
      </c>
      <c r="C24" t="s">
        <v>155</v>
      </c>
      <c r="D24" t="s">
        <v>156</v>
      </c>
      <c r="E24" t="s">
        <v>38</v>
      </c>
      <c r="F24" t="s">
        <v>157</v>
      </c>
      <c r="G24" s="4" t="s">
        <v>158</v>
      </c>
      <c r="H24" s="6" t="s">
        <v>66</v>
      </c>
      <c r="J24" t="b">
        <v>1</v>
      </c>
      <c r="L24" t="str">
        <f t="shared" si="0"/>
        <v/>
      </c>
    </row>
    <row r="25" spans="1:15" ht="213" hidden="1">
      <c r="A25" t="s">
        <v>159</v>
      </c>
      <c r="B25" t="s">
        <v>160</v>
      </c>
      <c r="C25" t="s">
        <v>161</v>
      </c>
      <c r="D25" t="s">
        <v>162</v>
      </c>
      <c r="E25" t="s">
        <v>31</v>
      </c>
      <c r="F25" t="s">
        <v>163</v>
      </c>
      <c r="G25" s="4" t="s">
        <v>164</v>
      </c>
      <c r="H25" s="6" t="s">
        <v>66</v>
      </c>
      <c r="J25" t="b">
        <v>1</v>
      </c>
      <c r="L25" t="str">
        <f t="shared" si="0"/>
        <v/>
      </c>
    </row>
    <row r="26" spans="1:15" ht="76.5" hidden="1">
      <c r="A26" t="s">
        <v>165</v>
      </c>
      <c r="B26" t="s">
        <v>166</v>
      </c>
      <c r="C26" t="s">
        <v>167</v>
      </c>
      <c r="D26" t="s">
        <v>168</v>
      </c>
      <c r="E26" t="s">
        <v>17</v>
      </c>
      <c r="F26" t="s">
        <v>18</v>
      </c>
      <c r="G26" s="4" t="s">
        <v>169</v>
      </c>
      <c r="H26" s="6" t="s">
        <v>47</v>
      </c>
      <c r="I26" s="7" t="s">
        <v>170</v>
      </c>
      <c r="J26" t="b">
        <v>0</v>
      </c>
      <c r="K26" s="8" t="s">
        <v>171</v>
      </c>
      <c r="L26" t="str">
        <f t="shared" si="0"/>
        <v/>
      </c>
    </row>
    <row r="27" spans="1:15" ht="213" hidden="1">
      <c r="A27" t="s">
        <v>172</v>
      </c>
      <c r="B27" t="s">
        <v>173</v>
      </c>
      <c r="C27" t="s">
        <v>174</v>
      </c>
      <c r="D27" t="s">
        <v>175</v>
      </c>
      <c r="E27" t="s">
        <v>38</v>
      </c>
      <c r="F27" t="s">
        <v>176</v>
      </c>
      <c r="G27" s="4" t="s">
        <v>177</v>
      </c>
      <c r="H27" s="6" t="s">
        <v>66</v>
      </c>
      <c r="J27" t="b">
        <v>1</v>
      </c>
      <c r="K27" t="s">
        <v>178</v>
      </c>
      <c r="L27" t="str">
        <f t="shared" si="0"/>
        <v/>
      </c>
    </row>
    <row r="28" spans="1:15" ht="137.25">
      <c r="A28" t="s">
        <v>179</v>
      </c>
      <c r="B28" t="s">
        <v>180</v>
      </c>
      <c r="C28" t="s">
        <v>181</v>
      </c>
      <c r="D28" t="s">
        <v>182</v>
      </c>
      <c r="E28" t="s">
        <v>24</v>
      </c>
      <c r="F28" t="s">
        <v>183</v>
      </c>
      <c r="G28" s="4" t="s">
        <v>184</v>
      </c>
      <c r="H28" s="6" t="s">
        <v>66</v>
      </c>
      <c r="J28" t="b">
        <v>0</v>
      </c>
      <c r="K28" t="s">
        <v>185</v>
      </c>
      <c r="L28" t="str">
        <f t="shared" si="0"/>
        <v>!!!</v>
      </c>
      <c r="O28" t="b">
        <f>J28</f>
        <v>0</v>
      </c>
    </row>
    <row r="29" spans="1:15" ht="183" hidden="1">
      <c r="A29" t="s">
        <v>186</v>
      </c>
      <c r="B29" t="s">
        <v>187</v>
      </c>
      <c r="C29" t="s">
        <v>188</v>
      </c>
      <c r="D29" t="s">
        <v>189</v>
      </c>
      <c r="E29" t="s">
        <v>190</v>
      </c>
      <c r="F29" t="s">
        <v>18</v>
      </c>
      <c r="G29" s="4" t="s">
        <v>191</v>
      </c>
      <c r="H29" s="6" t="s">
        <v>47</v>
      </c>
      <c r="J29" t="b">
        <v>0</v>
      </c>
      <c r="L29" t="str">
        <f t="shared" si="0"/>
        <v/>
      </c>
    </row>
    <row r="30" spans="1:15" ht="229.5" hidden="1">
      <c r="A30" t="s">
        <v>192</v>
      </c>
      <c r="B30" t="s">
        <v>193</v>
      </c>
      <c r="C30" t="s">
        <v>194</v>
      </c>
      <c r="D30" t="s">
        <v>195</v>
      </c>
      <c r="E30" t="s">
        <v>149</v>
      </c>
      <c r="F30" t="s">
        <v>196</v>
      </c>
      <c r="G30" s="4" t="s">
        <v>197</v>
      </c>
      <c r="H30" s="6" t="s">
        <v>47</v>
      </c>
      <c r="J30" t="b">
        <v>0</v>
      </c>
      <c r="L30" t="str">
        <f t="shared" si="0"/>
        <v/>
      </c>
    </row>
    <row r="31" spans="1:15" ht="76.5" hidden="1">
      <c r="A31" t="s">
        <v>198</v>
      </c>
      <c r="B31" t="s">
        <v>199</v>
      </c>
      <c r="C31" t="s">
        <v>200</v>
      </c>
      <c r="D31" t="s">
        <v>201</v>
      </c>
      <c r="E31" t="s">
        <v>17</v>
      </c>
      <c r="F31" t="s">
        <v>18</v>
      </c>
      <c r="G31" s="4" t="s">
        <v>202</v>
      </c>
      <c r="H31" s="6" t="s">
        <v>47</v>
      </c>
      <c r="J31" t="b">
        <v>0</v>
      </c>
      <c r="L31" t="str">
        <f t="shared" si="0"/>
        <v/>
      </c>
    </row>
    <row r="32" spans="1:15" ht="275.25" hidden="1">
      <c r="A32" t="s">
        <v>203</v>
      </c>
      <c r="B32" t="s">
        <v>204</v>
      </c>
      <c r="C32" t="s">
        <v>205</v>
      </c>
      <c r="D32" t="s">
        <v>206</v>
      </c>
      <c r="E32" t="s">
        <v>190</v>
      </c>
      <c r="F32" t="s">
        <v>18</v>
      </c>
      <c r="G32" s="4" t="s">
        <v>207</v>
      </c>
      <c r="H32" s="6" t="s">
        <v>47</v>
      </c>
      <c r="J32" t="b">
        <v>0</v>
      </c>
      <c r="L32" t="str">
        <f t="shared" si="0"/>
        <v/>
      </c>
    </row>
    <row r="33" spans="1:15" ht="198" hidden="1">
      <c r="A33" t="s">
        <v>208</v>
      </c>
      <c r="B33" t="s">
        <v>209</v>
      </c>
      <c r="C33" t="s">
        <v>210</v>
      </c>
      <c r="D33" t="s">
        <v>211</v>
      </c>
      <c r="E33" t="s">
        <v>95</v>
      </c>
      <c r="F33" t="s">
        <v>212</v>
      </c>
      <c r="G33" s="4" t="s">
        <v>213</v>
      </c>
      <c r="H33" s="6" t="s">
        <v>66</v>
      </c>
      <c r="J33" t="b">
        <v>1</v>
      </c>
      <c r="L33" t="str">
        <f t="shared" si="0"/>
        <v/>
      </c>
    </row>
    <row r="34" spans="1:15" ht="152.25" hidden="1">
      <c r="A34" t="s">
        <v>214</v>
      </c>
      <c r="B34" t="s">
        <v>215</v>
      </c>
      <c r="C34" t="s">
        <v>216</v>
      </c>
      <c r="D34" t="s">
        <v>217</v>
      </c>
      <c r="E34" t="s">
        <v>108</v>
      </c>
      <c r="F34" t="s">
        <v>18</v>
      </c>
      <c r="G34" s="4" t="s">
        <v>218</v>
      </c>
      <c r="H34" s="6" t="s">
        <v>47</v>
      </c>
      <c r="J34" t="b">
        <v>0</v>
      </c>
      <c r="L34" t="str">
        <f t="shared" si="0"/>
        <v/>
      </c>
    </row>
    <row r="35" spans="1:15" ht="198" hidden="1">
      <c r="A35" t="s">
        <v>219</v>
      </c>
      <c r="B35" t="s">
        <v>220</v>
      </c>
      <c r="C35" t="s">
        <v>221</v>
      </c>
      <c r="D35" t="s">
        <v>222</v>
      </c>
      <c r="E35" t="s">
        <v>24</v>
      </c>
      <c r="F35" t="s">
        <v>223</v>
      </c>
      <c r="G35" s="4" t="s">
        <v>224</v>
      </c>
      <c r="H35" s="6" t="s">
        <v>66</v>
      </c>
      <c r="J35" t="b">
        <v>1</v>
      </c>
      <c r="L35" t="str">
        <f t="shared" si="0"/>
        <v/>
      </c>
    </row>
    <row r="36" spans="1:15" ht="91.5" hidden="1">
      <c r="A36" t="s">
        <v>225</v>
      </c>
      <c r="B36" t="s">
        <v>226</v>
      </c>
      <c r="C36" t="s">
        <v>227</v>
      </c>
      <c r="D36" t="s">
        <v>228</v>
      </c>
      <c r="E36" t="s">
        <v>108</v>
      </c>
      <c r="F36" t="s">
        <v>229</v>
      </c>
      <c r="G36" s="4" t="s">
        <v>230</v>
      </c>
      <c r="H36" s="6" t="s">
        <v>47</v>
      </c>
      <c r="J36" t="b">
        <v>0</v>
      </c>
      <c r="L36" t="str">
        <f t="shared" si="0"/>
        <v/>
      </c>
    </row>
    <row r="37" spans="1:15" ht="229.5">
      <c r="A37" t="s">
        <v>231</v>
      </c>
      <c r="B37" t="s">
        <v>232</v>
      </c>
      <c r="C37" t="s">
        <v>233</v>
      </c>
      <c r="D37" t="s">
        <v>234</v>
      </c>
      <c r="E37" t="s">
        <v>38</v>
      </c>
      <c r="F37" t="s">
        <v>235</v>
      </c>
      <c r="G37" s="4" t="s">
        <v>236</v>
      </c>
      <c r="H37" s="6" t="s">
        <v>66</v>
      </c>
      <c r="J37" t="b">
        <v>0</v>
      </c>
      <c r="K37" t="s">
        <v>237</v>
      </c>
      <c r="L37" t="str">
        <f t="shared" si="0"/>
        <v>!!!</v>
      </c>
      <c r="O37" t="b">
        <f>J37</f>
        <v>0</v>
      </c>
    </row>
    <row r="38" spans="1:15" ht="229.5" hidden="1">
      <c r="A38" t="s">
        <v>238</v>
      </c>
      <c r="B38" t="s">
        <v>239</v>
      </c>
      <c r="C38" t="s">
        <v>240</v>
      </c>
      <c r="D38" t="s">
        <v>241</v>
      </c>
      <c r="E38" t="s">
        <v>149</v>
      </c>
      <c r="F38" t="s">
        <v>242</v>
      </c>
      <c r="G38" s="4" t="s">
        <v>243</v>
      </c>
      <c r="H38" s="6" t="s">
        <v>66</v>
      </c>
      <c r="J38" t="b">
        <v>1</v>
      </c>
      <c r="L38" t="str">
        <f t="shared" si="0"/>
        <v/>
      </c>
    </row>
    <row r="39" spans="1:15" ht="244.5" hidden="1">
      <c r="A39" t="s">
        <v>244</v>
      </c>
      <c r="B39" t="s">
        <v>245</v>
      </c>
      <c r="C39" t="s">
        <v>246</v>
      </c>
      <c r="D39" t="s">
        <v>247</v>
      </c>
      <c r="E39" t="s">
        <v>149</v>
      </c>
      <c r="F39" t="s">
        <v>248</v>
      </c>
      <c r="G39" s="4" t="s">
        <v>249</v>
      </c>
      <c r="H39" s="6" t="s">
        <v>47</v>
      </c>
      <c r="J39" t="b">
        <v>0</v>
      </c>
      <c r="K39" t="s">
        <v>250</v>
      </c>
      <c r="L39" t="str">
        <f t="shared" si="0"/>
        <v/>
      </c>
    </row>
    <row r="40" spans="1:15" ht="183" hidden="1">
      <c r="A40" t="s">
        <v>251</v>
      </c>
      <c r="B40" t="s">
        <v>252</v>
      </c>
      <c r="C40" t="s">
        <v>253</v>
      </c>
      <c r="D40" t="s">
        <v>254</v>
      </c>
      <c r="E40" t="s">
        <v>31</v>
      </c>
      <c r="F40" t="s">
        <v>255</v>
      </c>
      <c r="G40" s="4" t="s">
        <v>256</v>
      </c>
      <c r="H40" s="6" t="s">
        <v>66</v>
      </c>
      <c r="J40" t="b">
        <v>1</v>
      </c>
      <c r="L40" t="str">
        <f t="shared" si="0"/>
        <v/>
      </c>
    </row>
    <row r="41" spans="1:15" ht="229.5" hidden="1">
      <c r="A41" t="s">
        <v>257</v>
      </c>
      <c r="B41" t="s">
        <v>258</v>
      </c>
      <c r="C41" t="s">
        <v>259</v>
      </c>
      <c r="D41" t="s">
        <v>260</v>
      </c>
      <c r="E41" t="s">
        <v>31</v>
      </c>
      <c r="F41" t="s">
        <v>261</v>
      </c>
      <c r="G41" s="4" t="s">
        <v>262</v>
      </c>
      <c r="H41" s="6" t="s">
        <v>66</v>
      </c>
      <c r="J41" t="b">
        <v>1</v>
      </c>
      <c r="L41" t="str">
        <f t="shared" si="0"/>
        <v/>
      </c>
    </row>
    <row r="42" spans="1:15" ht="167.25" hidden="1">
      <c r="A42" t="s">
        <v>263</v>
      </c>
      <c r="B42" t="s">
        <v>264</v>
      </c>
      <c r="C42" t="s">
        <v>265</v>
      </c>
      <c r="D42" t="s">
        <v>266</v>
      </c>
      <c r="E42" t="s">
        <v>17</v>
      </c>
      <c r="F42" t="s">
        <v>18</v>
      </c>
      <c r="G42" s="4" t="s">
        <v>267</v>
      </c>
      <c r="H42" s="6" t="s">
        <v>66</v>
      </c>
      <c r="J42" t="b">
        <v>1</v>
      </c>
      <c r="L42" t="str">
        <f t="shared" si="0"/>
        <v/>
      </c>
    </row>
    <row r="43" spans="1:15" ht="183" hidden="1">
      <c r="A43" t="s">
        <v>268</v>
      </c>
      <c r="B43" t="s">
        <v>269</v>
      </c>
      <c r="C43" t="s">
        <v>270</v>
      </c>
      <c r="D43" t="s">
        <v>271</v>
      </c>
      <c r="E43" t="s">
        <v>24</v>
      </c>
      <c r="F43" t="s">
        <v>272</v>
      </c>
      <c r="G43" s="4" t="s">
        <v>273</v>
      </c>
      <c r="H43" s="6" t="s">
        <v>47</v>
      </c>
      <c r="J43" t="b">
        <v>0</v>
      </c>
      <c r="L43" t="str">
        <f t="shared" si="0"/>
        <v/>
      </c>
    </row>
    <row r="44" spans="1:15" ht="198" hidden="1">
      <c r="A44" t="s">
        <v>274</v>
      </c>
      <c r="B44" t="s">
        <v>275</v>
      </c>
      <c r="C44" t="s">
        <v>276</v>
      </c>
      <c r="D44" t="s">
        <v>277</v>
      </c>
      <c r="E44" t="s">
        <v>71</v>
      </c>
      <c r="F44" t="s">
        <v>278</v>
      </c>
      <c r="G44" s="4" t="s">
        <v>279</v>
      </c>
      <c r="H44" s="6" t="s">
        <v>47</v>
      </c>
      <c r="J44" t="b">
        <v>0</v>
      </c>
      <c r="L44" t="str">
        <f t="shared" si="0"/>
        <v/>
      </c>
    </row>
    <row r="45" spans="1:15" ht="183" hidden="1">
      <c r="A45" t="s">
        <v>280</v>
      </c>
      <c r="B45" t="s">
        <v>281</v>
      </c>
      <c r="C45" t="s">
        <v>282</v>
      </c>
      <c r="D45" t="s">
        <v>283</v>
      </c>
      <c r="E45" t="s">
        <v>24</v>
      </c>
      <c r="F45" t="s">
        <v>284</v>
      </c>
      <c r="G45" s="4" t="s">
        <v>285</v>
      </c>
      <c r="H45" s="6" t="s">
        <v>47</v>
      </c>
      <c r="J45" t="b">
        <v>0</v>
      </c>
      <c r="L45" t="str">
        <f t="shared" si="0"/>
        <v/>
      </c>
    </row>
    <row r="46" spans="1:15" ht="91.5" hidden="1">
      <c r="A46" t="s">
        <v>286</v>
      </c>
      <c r="B46" t="s">
        <v>287</v>
      </c>
      <c r="C46" t="s">
        <v>288</v>
      </c>
      <c r="D46" t="s">
        <v>289</v>
      </c>
      <c r="E46" t="s">
        <v>17</v>
      </c>
      <c r="F46" t="s">
        <v>18</v>
      </c>
      <c r="G46" s="4" t="s">
        <v>290</v>
      </c>
      <c r="H46" s="6" t="s">
        <v>66</v>
      </c>
      <c r="J46" t="b">
        <v>1</v>
      </c>
      <c r="L46" t="str">
        <f t="shared" si="0"/>
        <v/>
      </c>
    </row>
    <row r="47" spans="1:15" ht="137.25" hidden="1">
      <c r="A47" t="s">
        <v>291</v>
      </c>
      <c r="B47" t="s">
        <v>292</v>
      </c>
      <c r="C47" t="s">
        <v>293</v>
      </c>
      <c r="D47" t="s">
        <v>294</v>
      </c>
      <c r="E47" t="s">
        <v>17</v>
      </c>
      <c r="F47" t="s">
        <v>18</v>
      </c>
      <c r="G47" s="4" t="s">
        <v>295</v>
      </c>
      <c r="H47" s="6" t="s">
        <v>66</v>
      </c>
      <c r="I47" t="s">
        <v>296</v>
      </c>
      <c r="J47" t="b">
        <v>1</v>
      </c>
      <c r="L47" t="str">
        <f t="shared" si="0"/>
        <v/>
      </c>
    </row>
    <row r="48" spans="1:15" ht="213" hidden="1">
      <c r="A48" t="s">
        <v>297</v>
      </c>
      <c r="B48" t="s">
        <v>298</v>
      </c>
      <c r="C48" t="s">
        <v>299</v>
      </c>
      <c r="D48" t="s">
        <v>300</v>
      </c>
      <c r="E48" t="s">
        <v>24</v>
      </c>
      <c r="F48" t="s">
        <v>301</v>
      </c>
      <c r="G48" s="4" t="s">
        <v>302</v>
      </c>
      <c r="H48" s="6" t="s">
        <v>47</v>
      </c>
      <c r="J48" t="b">
        <v>0</v>
      </c>
      <c r="L48" t="str">
        <f t="shared" si="0"/>
        <v/>
      </c>
    </row>
    <row r="49" spans="1:12" ht="198" hidden="1">
      <c r="A49" t="s">
        <v>303</v>
      </c>
      <c r="B49" t="s">
        <v>304</v>
      </c>
      <c r="C49" t="s">
        <v>305</v>
      </c>
      <c r="D49" t="s">
        <v>306</v>
      </c>
      <c r="E49" t="s">
        <v>38</v>
      </c>
      <c r="F49" t="s">
        <v>307</v>
      </c>
      <c r="G49" s="4" t="s">
        <v>308</v>
      </c>
      <c r="H49" s="6" t="s">
        <v>47</v>
      </c>
      <c r="J49" t="b">
        <v>0</v>
      </c>
      <c r="L49" t="str">
        <f t="shared" si="0"/>
        <v/>
      </c>
    </row>
    <row r="50" spans="1:12" ht="198" hidden="1">
      <c r="A50" t="s">
        <v>309</v>
      </c>
      <c r="B50" t="s">
        <v>310</v>
      </c>
      <c r="C50" t="s">
        <v>311</v>
      </c>
      <c r="D50" t="s">
        <v>312</v>
      </c>
      <c r="E50" t="s">
        <v>31</v>
      </c>
      <c r="F50" t="s">
        <v>313</v>
      </c>
      <c r="G50" s="4" t="s">
        <v>314</v>
      </c>
      <c r="H50" s="6" t="s">
        <v>47</v>
      </c>
      <c r="J50" t="b">
        <v>0</v>
      </c>
      <c r="L50" t="str">
        <f t="shared" si="0"/>
        <v/>
      </c>
    </row>
    <row r="51" spans="1:12" ht="137.25" hidden="1">
      <c r="A51" t="s">
        <v>315</v>
      </c>
      <c r="B51" t="s">
        <v>316</v>
      </c>
      <c r="C51" t="s">
        <v>317</v>
      </c>
      <c r="D51" t="s">
        <v>318</v>
      </c>
      <c r="E51" t="s">
        <v>17</v>
      </c>
      <c r="F51" t="s">
        <v>18</v>
      </c>
      <c r="G51" s="4" t="s">
        <v>319</v>
      </c>
      <c r="H51" s="6" t="s">
        <v>47</v>
      </c>
      <c r="J51" t="b">
        <v>0</v>
      </c>
      <c r="L51" t="str">
        <f t="shared" si="0"/>
        <v/>
      </c>
    </row>
    <row r="52" spans="1:12" ht="229.5" hidden="1">
      <c r="A52" t="s">
        <v>320</v>
      </c>
      <c r="B52" t="s">
        <v>321</v>
      </c>
      <c r="C52" t="s">
        <v>322</v>
      </c>
      <c r="D52" t="s">
        <v>323</v>
      </c>
      <c r="E52" t="s">
        <v>95</v>
      </c>
      <c r="F52" t="s">
        <v>18</v>
      </c>
      <c r="G52" s="4" t="s">
        <v>324</v>
      </c>
      <c r="H52" s="6" t="s">
        <v>66</v>
      </c>
      <c r="J52" t="b">
        <v>1</v>
      </c>
      <c r="L52" t="str">
        <f t="shared" si="0"/>
        <v/>
      </c>
    </row>
    <row r="53" spans="1:12" ht="198" hidden="1">
      <c r="A53" t="s">
        <v>325</v>
      </c>
      <c r="B53" t="s">
        <v>326</v>
      </c>
      <c r="C53" t="s">
        <v>327</v>
      </c>
      <c r="D53" t="s">
        <v>328</v>
      </c>
      <c r="E53" t="s">
        <v>108</v>
      </c>
      <c r="F53" t="s">
        <v>18</v>
      </c>
      <c r="G53" s="4" t="s">
        <v>329</v>
      </c>
      <c r="H53" s="6" t="s">
        <v>47</v>
      </c>
      <c r="J53" t="b">
        <v>0</v>
      </c>
      <c r="L53" t="str">
        <f t="shared" si="0"/>
        <v/>
      </c>
    </row>
    <row r="54" spans="1:12" ht="213" hidden="1">
      <c r="A54" t="s">
        <v>330</v>
      </c>
      <c r="B54" t="s">
        <v>331</v>
      </c>
      <c r="C54" t="s">
        <v>332</v>
      </c>
      <c r="D54" t="s">
        <v>333</v>
      </c>
      <c r="E54" t="s">
        <v>108</v>
      </c>
      <c r="F54" t="s">
        <v>18</v>
      </c>
      <c r="G54" s="4" t="s">
        <v>334</v>
      </c>
      <c r="H54" s="6" t="s">
        <v>47</v>
      </c>
      <c r="J54" t="b">
        <v>0</v>
      </c>
      <c r="L54" t="str">
        <f t="shared" si="0"/>
        <v/>
      </c>
    </row>
    <row r="55" spans="1:12" ht="213" hidden="1">
      <c r="A55" t="s">
        <v>335</v>
      </c>
      <c r="B55" t="s">
        <v>336</v>
      </c>
      <c r="C55" t="s">
        <v>337</v>
      </c>
      <c r="D55" t="s">
        <v>338</v>
      </c>
      <c r="E55" t="s">
        <v>149</v>
      </c>
      <c r="F55" t="s">
        <v>339</v>
      </c>
      <c r="G55" s="4" t="s">
        <v>340</v>
      </c>
      <c r="H55" s="6" t="s">
        <v>47</v>
      </c>
      <c r="J55" t="b">
        <v>0</v>
      </c>
      <c r="L55" t="str">
        <f t="shared" si="0"/>
        <v/>
      </c>
    </row>
    <row r="56" spans="1:12" ht="213" hidden="1">
      <c r="A56" t="s">
        <v>341</v>
      </c>
      <c r="B56" t="s">
        <v>342</v>
      </c>
      <c r="C56" t="s">
        <v>343</v>
      </c>
      <c r="D56" t="s">
        <v>344</v>
      </c>
      <c r="E56" t="s">
        <v>190</v>
      </c>
      <c r="F56" t="s">
        <v>18</v>
      </c>
      <c r="G56" s="4" t="s">
        <v>345</v>
      </c>
      <c r="H56" s="6" t="s">
        <v>47</v>
      </c>
      <c r="J56" t="b">
        <v>0</v>
      </c>
      <c r="L56" t="str">
        <f t="shared" si="0"/>
        <v/>
      </c>
    </row>
    <row r="57" spans="1:12" ht="213" hidden="1">
      <c r="A57" t="s">
        <v>346</v>
      </c>
      <c r="B57" t="s">
        <v>347</v>
      </c>
      <c r="C57" t="s">
        <v>348</v>
      </c>
      <c r="D57" t="s">
        <v>349</v>
      </c>
      <c r="E57" t="s">
        <v>24</v>
      </c>
      <c r="F57" t="s">
        <v>350</v>
      </c>
      <c r="G57" s="4" t="s">
        <v>351</v>
      </c>
      <c r="H57" s="6" t="s">
        <v>47</v>
      </c>
      <c r="J57" t="b">
        <v>0</v>
      </c>
      <c r="L57" t="str">
        <f t="shared" si="0"/>
        <v/>
      </c>
    </row>
    <row r="58" spans="1:12" ht="167.25" hidden="1">
      <c r="A58" t="s">
        <v>352</v>
      </c>
      <c r="B58" t="s">
        <v>353</v>
      </c>
      <c r="C58" t="s">
        <v>354</v>
      </c>
      <c r="D58" t="s">
        <v>355</v>
      </c>
      <c r="E58" t="s">
        <v>24</v>
      </c>
      <c r="F58" t="s">
        <v>356</v>
      </c>
      <c r="G58" s="4" t="s">
        <v>357</v>
      </c>
      <c r="H58" s="6" t="s">
        <v>47</v>
      </c>
      <c r="J58" t="b">
        <v>0</v>
      </c>
      <c r="L58" t="str">
        <f t="shared" si="0"/>
        <v/>
      </c>
    </row>
    <row r="59" spans="1:12" ht="213" hidden="1">
      <c r="A59" t="s">
        <v>358</v>
      </c>
      <c r="B59" t="s">
        <v>359</v>
      </c>
      <c r="C59" t="s">
        <v>360</v>
      </c>
      <c r="D59" t="s">
        <v>361</v>
      </c>
      <c r="E59" t="s">
        <v>31</v>
      </c>
      <c r="F59" t="s">
        <v>18</v>
      </c>
      <c r="G59" s="4" t="s">
        <v>362</v>
      </c>
      <c r="H59" s="6" t="s">
        <v>66</v>
      </c>
      <c r="J59" t="b">
        <v>1</v>
      </c>
      <c r="L59" t="str">
        <f t="shared" si="0"/>
        <v/>
      </c>
    </row>
    <row r="60" spans="1:12" ht="198" hidden="1">
      <c r="A60" t="s">
        <v>363</v>
      </c>
      <c r="B60" t="s">
        <v>364</v>
      </c>
      <c r="C60" t="s">
        <v>365</v>
      </c>
      <c r="D60" t="s">
        <v>366</v>
      </c>
      <c r="E60" t="s">
        <v>24</v>
      </c>
      <c r="F60" t="s">
        <v>367</v>
      </c>
      <c r="G60" s="4" t="s">
        <v>368</v>
      </c>
      <c r="H60" s="6" t="s">
        <v>47</v>
      </c>
      <c r="J60" t="b">
        <v>0</v>
      </c>
      <c r="L60" t="str">
        <f t="shared" si="0"/>
        <v/>
      </c>
    </row>
    <row r="61" spans="1:12" ht="231" hidden="1">
      <c r="A61" t="s">
        <v>369</v>
      </c>
      <c r="B61" t="s">
        <v>370</v>
      </c>
      <c r="C61" t="s">
        <v>371</v>
      </c>
      <c r="D61" t="s">
        <v>372</v>
      </c>
      <c r="E61" t="s">
        <v>38</v>
      </c>
      <c r="F61" t="s">
        <v>373</v>
      </c>
      <c r="G61" s="4" t="s">
        <v>374</v>
      </c>
      <c r="H61" s="6" t="s">
        <v>66</v>
      </c>
      <c r="J61" t="b">
        <v>1</v>
      </c>
      <c r="L61" t="str">
        <f t="shared" si="0"/>
        <v/>
      </c>
    </row>
    <row r="62" spans="1:12" ht="213" hidden="1">
      <c r="A62" t="s">
        <v>375</v>
      </c>
      <c r="B62" t="s">
        <v>376</v>
      </c>
      <c r="C62" t="s">
        <v>377</v>
      </c>
      <c r="D62" t="s">
        <v>378</v>
      </c>
      <c r="E62" t="s">
        <v>190</v>
      </c>
      <c r="F62" t="s">
        <v>379</v>
      </c>
      <c r="G62" s="4" t="s">
        <v>380</v>
      </c>
      <c r="H62" s="6" t="s">
        <v>66</v>
      </c>
      <c r="J62" t="b">
        <v>1</v>
      </c>
      <c r="L62" t="str">
        <f t="shared" si="0"/>
        <v/>
      </c>
    </row>
    <row r="63" spans="1:12" ht="183" hidden="1">
      <c r="A63" t="s">
        <v>381</v>
      </c>
      <c r="B63" t="s">
        <v>382</v>
      </c>
      <c r="C63" t="s">
        <v>383</v>
      </c>
      <c r="D63" t="s">
        <v>384</v>
      </c>
      <c r="E63" t="s">
        <v>31</v>
      </c>
      <c r="F63" t="s">
        <v>385</v>
      </c>
      <c r="G63" s="4" t="s">
        <v>386</v>
      </c>
      <c r="H63" s="6" t="s">
        <v>47</v>
      </c>
      <c r="J63" t="b">
        <v>0</v>
      </c>
      <c r="L63" t="str">
        <f t="shared" si="0"/>
        <v/>
      </c>
    </row>
    <row r="64" spans="1:12" ht="213" hidden="1">
      <c r="A64" t="s">
        <v>387</v>
      </c>
      <c r="B64" t="s">
        <v>388</v>
      </c>
      <c r="C64" t="s">
        <v>389</v>
      </c>
      <c r="D64" t="s">
        <v>390</v>
      </c>
      <c r="E64" t="s">
        <v>31</v>
      </c>
      <c r="F64" t="s">
        <v>391</v>
      </c>
      <c r="G64" s="4" t="s">
        <v>392</v>
      </c>
      <c r="H64" s="6" t="s">
        <v>66</v>
      </c>
      <c r="J64" t="b">
        <v>1</v>
      </c>
      <c r="L64" t="str">
        <f t="shared" si="0"/>
        <v/>
      </c>
    </row>
    <row r="65" spans="1:12" ht="167.25" hidden="1">
      <c r="A65" t="s">
        <v>393</v>
      </c>
      <c r="B65" t="s">
        <v>394</v>
      </c>
      <c r="C65" t="s">
        <v>395</v>
      </c>
      <c r="D65" t="s">
        <v>396</v>
      </c>
      <c r="E65" t="s">
        <v>149</v>
      </c>
      <c r="F65" t="s">
        <v>397</v>
      </c>
      <c r="G65" s="4" t="s">
        <v>398</v>
      </c>
      <c r="H65" s="6" t="s">
        <v>47</v>
      </c>
      <c r="J65" t="b">
        <v>0</v>
      </c>
      <c r="L65" t="str">
        <f t="shared" si="0"/>
        <v/>
      </c>
    </row>
    <row r="66" spans="1:12" ht="167.25" hidden="1">
      <c r="A66" t="s">
        <v>399</v>
      </c>
      <c r="B66" t="s">
        <v>400</v>
      </c>
      <c r="C66" t="s">
        <v>401</v>
      </c>
      <c r="D66" t="s">
        <v>402</v>
      </c>
      <c r="E66" t="s">
        <v>24</v>
      </c>
      <c r="F66" t="s">
        <v>403</v>
      </c>
      <c r="G66" s="4" t="s">
        <v>404</v>
      </c>
      <c r="H66" s="6" t="s">
        <v>47</v>
      </c>
      <c r="J66" t="b">
        <v>0</v>
      </c>
      <c r="L66" t="str">
        <f t="shared" si="0"/>
        <v/>
      </c>
    </row>
    <row r="67" spans="1:12" ht="183" hidden="1">
      <c r="A67" t="s">
        <v>405</v>
      </c>
      <c r="B67" t="s">
        <v>406</v>
      </c>
      <c r="C67" t="s">
        <v>407</v>
      </c>
      <c r="D67" t="s">
        <v>408</v>
      </c>
      <c r="E67" t="s">
        <v>108</v>
      </c>
      <c r="F67" t="s">
        <v>409</v>
      </c>
      <c r="G67" s="4" t="s">
        <v>410</v>
      </c>
      <c r="H67" s="6" t="s">
        <v>47</v>
      </c>
      <c r="J67" t="b">
        <v>0</v>
      </c>
      <c r="L67" t="str">
        <f t="shared" ref="L67:L130" si="1">IF(OR(H67="",J67=""),"",IF(TEXT(H67,"")&lt;&gt;TEXT(J67,""),"!!!",""))</f>
        <v/>
      </c>
    </row>
    <row r="68" spans="1:12" ht="183" hidden="1">
      <c r="A68" t="s">
        <v>411</v>
      </c>
      <c r="B68" t="s">
        <v>412</v>
      </c>
      <c r="C68" t="s">
        <v>413</v>
      </c>
      <c r="D68" t="s">
        <v>414</v>
      </c>
      <c r="E68" t="s">
        <v>24</v>
      </c>
      <c r="F68" t="s">
        <v>415</v>
      </c>
      <c r="G68" s="4" t="s">
        <v>416</v>
      </c>
      <c r="H68" s="6" t="s">
        <v>47</v>
      </c>
      <c r="J68" t="b">
        <v>0</v>
      </c>
      <c r="L68" t="str">
        <f t="shared" si="1"/>
        <v/>
      </c>
    </row>
    <row r="69" spans="1:12" ht="213" hidden="1">
      <c r="A69" t="s">
        <v>417</v>
      </c>
      <c r="B69" t="s">
        <v>418</v>
      </c>
      <c r="C69" t="s">
        <v>419</v>
      </c>
      <c r="D69" t="s">
        <v>420</v>
      </c>
      <c r="E69" t="s">
        <v>38</v>
      </c>
      <c r="F69" t="s">
        <v>421</v>
      </c>
      <c r="G69" s="4" t="s">
        <v>422</v>
      </c>
      <c r="H69" s="6" t="s">
        <v>66</v>
      </c>
      <c r="J69" t="b">
        <v>1</v>
      </c>
      <c r="L69" t="str">
        <f t="shared" si="1"/>
        <v/>
      </c>
    </row>
    <row r="70" spans="1:12" ht="244.5" hidden="1">
      <c r="A70" t="s">
        <v>423</v>
      </c>
      <c r="B70" t="s">
        <v>424</v>
      </c>
      <c r="C70" t="s">
        <v>425</v>
      </c>
      <c r="D70" t="s">
        <v>426</v>
      </c>
      <c r="E70" t="s">
        <v>190</v>
      </c>
      <c r="F70" t="s">
        <v>427</v>
      </c>
      <c r="G70" s="4" t="s">
        <v>428</v>
      </c>
      <c r="H70" s="6" t="s">
        <v>66</v>
      </c>
      <c r="J70" t="b">
        <v>1</v>
      </c>
      <c r="L70" t="str">
        <f t="shared" si="1"/>
        <v/>
      </c>
    </row>
    <row r="71" spans="1:12" ht="198" hidden="1">
      <c r="A71" t="s">
        <v>429</v>
      </c>
      <c r="B71" t="s">
        <v>430</v>
      </c>
      <c r="C71" t="s">
        <v>431</v>
      </c>
      <c r="D71" t="s">
        <v>432</v>
      </c>
      <c r="E71" t="s">
        <v>38</v>
      </c>
      <c r="F71" t="s">
        <v>433</v>
      </c>
      <c r="G71" s="4" t="s">
        <v>434</v>
      </c>
      <c r="H71" s="6" t="s">
        <v>47</v>
      </c>
      <c r="J71" t="b">
        <v>0</v>
      </c>
      <c r="L71" t="str">
        <f t="shared" si="1"/>
        <v/>
      </c>
    </row>
    <row r="72" spans="1:12" ht="198" hidden="1">
      <c r="A72" t="s">
        <v>435</v>
      </c>
      <c r="B72" t="s">
        <v>436</v>
      </c>
      <c r="C72" t="s">
        <v>437</v>
      </c>
      <c r="D72" t="s">
        <v>438</v>
      </c>
      <c r="E72" t="s">
        <v>190</v>
      </c>
      <c r="F72" t="s">
        <v>18</v>
      </c>
      <c r="G72" s="4" t="s">
        <v>439</v>
      </c>
      <c r="H72" s="6" t="s">
        <v>47</v>
      </c>
      <c r="J72" t="b">
        <v>0</v>
      </c>
      <c r="L72" t="str">
        <f t="shared" si="1"/>
        <v/>
      </c>
    </row>
    <row r="73" spans="1:12" ht="152.25" hidden="1">
      <c r="A73" t="s">
        <v>440</v>
      </c>
      <c r="B73" t="s">
        <v>441</v>
      </c>
      <c r="C73" t="s">
        <v>442</v>
      </c>
      <c r="D73" t="s">
        <v>443</v>
      </c>
      <c r="E73" t="s">
        <v>17</v>
      </c>
      <c r="F73" t="s">
        <v>18</v>
      </c>
      <c r="G73" s="4" t="s">
        <v>444</v>
      </c>
      <c r="H73" s="6" t="s">
        <v>47</v>
      </c>
      <c r="J73" t="b">
        <v>0</v>
      </c>
      <c r="L73" t="str">
        <f t="shared" si="1"/>
        <v/>
      </c>
    </row>
    <row r="74" spans="1:12" ht="106.5" hidden="1">
      <c r="A74" t="s">
        <v>445</v>
      </c>
      <c r="B74" t="s">
        <v>446</v>
      </c>
      <c r="C74" t="s">
        <v>447</v>
      </c>
      <c r="D74" t="s">
        <v>448</v>
      </c>
      <c r="E74" t="s">
        <v>108</v>
      </c>
      <c r="F74" t="s">
        <v>449</v>
      </c>
      <c r="G74" s="4" t="s">
        <v>450</v>
      </c>
      <c r="H74" s="6" t="s">
        <v>47</v>
      </c>
      <c r="J74" t="b">
        <v>0</v>
      </c>
      <c r="L74" t="str">
        <f t="shared" si="1"/>
        <v/>
      </c>
    </row>
    <row r="75" spans="1:12" ht="198" hidden="1">
      <c r="A75" t="s">
        <v>451</v>
      </c>
      <c r="B75" t="s">
        <v>452</v>
      </c>
      <c r="C75" t="s">
        <v>453</v>
      </c>
      <c r="D75" t="s">
        <v>454</v>
      </c>
      <c r="E75" t="s">
        <v>190</v>
      </c>
      <c r="F75" t="s">
        <v>18</v>
      </c>
      <c r="G75" s="4" t="s">
        <v>455</v>
      </c>
      <c r="H75" s="6" t="s">
        <v>47</v>
      </c>
      <c r="J75" t="b">
        <v>0</v>
      </c>
      <c r="L75" t="str">
        <f t="shared" si="1"/>
        <v/>
      </c>
    </row>
    <row r="76" spans="1:12" ht="152.25" hidden="1">
      <c r="A76" t="s">
        <v>456</v>
      </c>
      <c r="B76" t="s">
        <v>457</v>
      </c>
      <c r="C76" t="s">
        <v>458</v>
      </c>
      <c r="D76" t="s">
        <v>459</v>
      </c>
      <c r="E76" t="s">
        <v>17</v>
      </c>
      <c r="F76" t="s">
        <v>18</v>
      </c>
      <c r="G76" s="4" t="s">
        <v>460</v>
      </c>
      <c r="H76" s="6" t="s">
        <v>66</v>
      </c>
      <c r="J76" t="b">
        <v>1</v>
      </c>
      <c r="L76" t="str">
        <f t="shared" si="1"/>
        <v/>
      </c>
    </row>
    <row r="77" spans="1:12" ht="152.25" hidden="1">
      <c r="A77" t="s">
        <v>461</v>
      </c>
      <c r="B77" t="s">
        <v>462</v>
      </c>
      <c r="C77" t="s">
        <v>463</v>
      </c>
      <c r="D77" t="s">
        <v>464</v>
      </c>
      <c r="E77" t="s">
        <v>71</v>
      </c>
      <c r="F77" t="s">
        <v>18</v>
      </c>
      <c r="G77" s="4" t="s">
        <v>465</v>
      </c>
      <c r="H77" s="6" t="s">
        <v>47</v>
      </c>
      <c r="J77" t="b">
        <v>0</v>
      </c>
      <c r="L77" t="str">
        <f t="shared" si="1"/>
        <v/>
      </c>
    </row>
    <row r="78" spans="1:12" ht="183" hidden="1">
      <c r="A78" t="s">
        <v>466</v>
      </c>
      <c r="B78" t="s">
        <v>467</v>
      </c>
      <c r="C78" t="s">
        <v>468</v>
      </c>
      <c r="D78" t="s">
        <v>469</v>
      </c>
      <c r="E78" t="s">
        <v>71</v>
      </c>
      <c r="F78" t="s">
        <v>470</v>
      </c>
      <c r="G78" s="4" t="s">
        <v>471</v>
      </c>
      <c r="H78" s="6" t="s">
        <v>66</v>
      </c>
      <c r="J78" t="b">
        <v>1</v>
      </c>
      <c r="L78" t="str">
        <f t="shared" si="1"/>
        <v/>
      </c>
    </row>
    <row r="79" spans="1:12" ht="229.5" hidden="1">
      <c r="A79" t="s">
        <v>472</v>
      </c>
      <c r="B79" t="s">
        <v>473</v>
      </c>
      <c r="C79" t="s">
        <v>474</v>
      </c>
      <c r="D79" t="s">
        <v>475</v>
      </c>
      <c r="E79" t="s">
        <v>38</v>
      </c>
      <c r="F79" t="s">
        <v>18</v>
      </c>
      <c r="G79" s="4" t="s">
        <v>476</v>
      </c>
      <c r="H79" s="6" t="s">
        <v>66</v>
      </c>
      <c r="J79" t="b">
        <v>1</v>
      </c>
      <c r="L79" t="str">
        <f t="shared" si="1"/>
        <v/>
      </c>
    </row>
    <row r="80" spans="1:12" ht="213" hidden="1">
      <c r="A80" t="s">
        <v>477</v>
      </c>
      <c r="B80" t="s">
        <v>478</v>
      </c>
      <c r="C80" t="s">
        <v>479</v>
      </c>
      <c r="D80" t="s">
        <v>480</v>
      </c>
      <c r="E80" t="s">
        <v>71</v>
      </c>
      <c r="F80" t="s">
        <v>18</v>
      </c>
      <c r="G80" s="4" t="s">
        <v>481</v>
      </c>
      <c r="H80" s="6" t="s">
        <v>47</v>
      </c>
      <c r="J80" t="b">
        <v>0</v>
      </c>
      <c r="L80" t="str">
        <f t="shared" si="1"/>
        <v/>
      </c>
    </row>
    <row r="81" spans="1:12" ht="198" hidden="1">
      <c r="A81" t="s">
        <v>482</v>
      </c>
      <c r="B81" t="s">
        <v>483</v>
      </c>
      <c r="C81" t="s">
        <v>484</v>
      </c>
      <c r="D81" t="s">
        <v>485</v>
      </c>
      <c r="E81" t="s">
        <v>71</v>
      </c>
      <c r="F81" t="s">
        <v>486</v>
      </c>
      <c r="G81" s="4" t="s">
        <v>487</v>
      </c>
      <c r="H81" s="6" t="s">
        <v>47</v>
      </c>
      <c r="J81" t="b">
        <v>0</v>
      </c>
      <c r="L81" t="str">
        <f t="shared" si="1"/>
        <v/>
      </c>
    </row>
    <row r="82" spans="1:12" ht="198" hidden="1">
      <c r="A82" t="s">
        <v>488</v>
      </c>
      <c r="B82" t="s">
        <v>489</v>
      </c>
      <c r="C82" t="s">
        <v>490</v>
      </c>
      <c r="D82" t="s">
        <v>491</v>
      </c>
      <c r="E82" t="s">
        <v>149</v>
      </c>
      <c r="F82" t="s">
        <v>492</v>
      </c>
      <c r="G82" s="4" t="s">
        <v>493</v>
      </c>
      <c r="H82" s="6" t="s">
        <v>47</v>
      </c>
      <c r="J82" t="b">
        <v>0</v>
      </c>
      <c r="L82" t="str">
        <f t="shared" si="1"/>
        <v/>
      </c>
    </row>
    <row r="83" spans="1:12" ht="198" hidden="1">
      <c r="A83" t="s">
        <v>494</v>
      </c>
      <c r="B83" t="s">
        <v>495</v>
      </c>
      <c r="C83" t="s">
        <v>496</v>
      </c>
      <c r="D83" t="s">
        <v>497</v>
      </c>
      <c r="E83" t="s">
        <v>31</v>
      </c>
      <c r="F83" t="s">
        <v>498</v>
      </c>
      <c r="G83" s="4" t="s">
        <v>499</v>
      </c>
      <c r="H83" s="6" t="s">
        <v>66</v>
      </c>
      <c r="J83" t="b">
        <v>1</v>
      </c>
      <c r="L83" t="str">
        <f t="shared" si="1"/>
        <v/>
      </c>
    </row>
    <row r="84" spans="1:12" ht="198" hidden="1">
      <c r="A84" t="s">
        <v>500</v>
      </c>
      <c r="B84" t="s">
        <v>501</v>
      </c>
      <c r="C84" t="s">
        <v>502</v>
      </c>
      <c r="D84" t="s">
        <v>503</v>
      </c>
      <c r="E84" t="s">
        <v>108</v>
      </c>
      <c r="F84" t="s">
        <v>18</v>
      </c>
      <c r="G84" s="4" t="s">
        <v>504</v>
      </c>
      <c r="H84" s="6" t="s">
        <v>47</v>
      </c>
      <c r="J84" t="b">
        <v>0</v>
      </c>
      <c r="L84" t="str">
        <f t="shared" si="1"/>
        <v/>
      </c>
    </row>
    <row r="85" spans="1:12" ht="244.5" hidden="1">
      <c r="A85" t="s">
        <v>505</v>
      </c>
      <c r="B85" t="s">
        <v>506</v>
      </c>
      <c r="C85" t="s">
        <v>507</v>
      </c>
      <c r="D85" t="s">
        <v>508</v>
      </c>
      <c r="E85" t="s">
        <v>95</v>
      </c>
      <c r="F85" t="s">
        <v>18</v>
      </c>
      <c r="G85" s="4" t="s">
        <v>509</v>
      </c>
      <c r="H85" s="6" t="s">
        <v>66</v>
      </c>
      <c r="J85" t="b">
        <v>1</v>
      </c>
      <c r="L85" t="str">
        <f t="shared" si="1"/>
        <v/>
      </c>
    </row>
    <row r="86" spans="1:12" ht="198" hidden="1">
      <c r="A86" t="s">
        <v>510</v>
      </c>
      <c r="B86" t="s">
        <v>511</v>
      </c>
      <c r="C86" t="s">
        <v>512</v>
      </c>
      <c r="D86" t="s">
        <v>513</v>
      </c>
      <c r="E86" t="s">
        <v>38</v>
      </c>
      <c r="F86" t="s">
        <v>514</v>
      </c>
      <c r="G86" s="4" t="s">
        <v>515</v>
      </c>
      <c r="H86" s="6" t="s">
        <v>47</v>
      </c>
      <c r="J86" t="b">
        <v>0</v>
      </c>
      <c r="L86" t="str">
        <f t="shared" si="1"/>
        <v/>
      </c>
    </row>
    <row r="87" spans="1:12" ht="106.5" hidden="1">
      <c r="A87" t="s">
        <v>516</v>
      </c>
      <c r="B87" t="s">
        <v>517</v>
      </c>
      <c r="C87" t="s">
        <v>518</v>
      </c>
      <c r="D87" t="s">
        <v>519</v>
      </c>
      <c r="E87" t="s">
        <v>149</v>
      </c>
      <c r="F87" t="s">
        <v>520</v>
      </c>
      <c r="G87" s="4" t="s">
        <v>521</v>
      </c>
      <c r="H87" s="6" t="s">
        <v>47</v>
      </c>
      <c r="J87" t="b">
        <v>0</v>
      </c>
      <c r="L87" t="str">
        <f t="shared" si="1"/>
        <v/>
      </c>
    </row>
    <row r="88" spans="1:12" ht="167.25" hidden="1">
      <c r="A88" t="s">
        <v>522</v>
      </c>
      <c r="B88" t="s">
        <v>523</v>
      </c>
      <c r="C88" t="s">
        <v>524</v>
      </c>
      <c r="D88" t="s">
        <v>525</v>
      </c>
      <c r="E88" t="s">
        <v>24</v>
      </c>
      <c r="F88" t="s">
        <v>526</v>
      </c>
      <c r="G88" s="4" t="s">
        <v>527</v>
      </c>
      <c r="H88" s="6" t="s">
        <v>47</v>
      </c>
      <c r="J88" t="b">
        <v>0</v>
      </c>
      <c r="L88" t="str">
        <f t="shared" si="1"/>
        <v/>
      </c>
    </row>
    <row r="89" spans="1:12" ht="137.25" hidden="1">
      <c r="A89" t="s">
        <v>528</v>
      </c>
      <c r="B89" t="s">
        <v>529</v>
      </c>
      <c r="C89" t="s">
        <v>530</v>
      </c>
      <c r="D89" t="s">
        <v>531</v>
      </c>
      <c r="E89" t="s">
        <v>17</v>
      </c>
      <c r="F89" t="s">
        <v>18</v>
      </c>
      <c r="G89" s="4" t="s">
        <v>532</v>
      </c>
      <c r="H89" s="6" t="s">
        <v>66</v>
      </c>
      <c r="J89" t="b">
        <v>1</v>
      </c>
      <c r="L89" t="str">
        <f t="shared" si="1"/>
        <v/>
      </c>
    </row>
    <row r="90" spans="1:12" ht="137.25" hidden="1">
      <c r="A90" t="s">
        <v>533</v>
      </c>
      <c r="B90" t="s">
        <v>534</v>
      </c>
      <c r="C90" t="s">
        <v>535</v>
      </c>
      <c r="D90" t="s">
        <v>536</v>
      </c>
      <c r="E90" t="s">
        <v>108</v>
      </c>
      <c r="F90" t="s">
        <v>537</v>
      </c>
      <c r="G90" s="4" t="s">
        <v>538</v>
      </c>
      <c r="H90" s="6" t="s">
        <v>47</v>
      </c>
      <c r="J90" t="b">
        <v>0</v>
      </c>
      <c r="L90" t="str">
        <f t="shared" si="1"/>
        <v/>
      </c>
    </row>
    <row r="91" spans="1:12" ht="183" hidden="1">
      <c r="A91" t="s">
        <v>539</v>
      </c>
      <c r="B91" t="s">
        <v>540</v>
      </c>
      <c r="C91" t="s">
        <v>541</v>
      </c>
      <c r="D91" t="s">
        <v>542</v>
      </c>
      <c r="E91" t="s">
        <v>24</v>
      </c>
      <c r="F91" t="s">
        <v>543</v>
      </c>
      <c r="G91" s="4" t="s">
        <v>544</v>
      </c>
      <c r="H91" s="6" t="s">
        <v>47</v>
      </c>
      <c r="J91" t="b">
        <v>0</v>
      </c>
      <c r="L91" t="str">
        <f t="shared" si="1"/>
        <v/>
      </c>
    </row>
    <row r="92" spans="1:12" ht="60.75" hidden="1">
      <c r="A92" t="s">
        <v>545</v>
      </c>
      <c r="B92" t="s">
        <v>546</v>
      </c>
      <c r="C92" t="s">
        <v>547</v>
      </c>
      <c r="D92" t="s">
        <v>548</v>
      </c>
      <c r="E92" t="s">
        <v>149</v>
      </c>
      <c r="F92" t="s">
        <v>549</v>
      </c>
      <c r="G92" s="4" t="s">
        <v>550</v>
      </c>
      <c r="H92" s="6" t="s">
        <v>66</v>
      </c>
      <c r="J92" t="b">
        <v>1</v>
      </c>
      <c r="K92" t="s">
        <v>551</v>
      </c>
      <c r="L92" t="str">
        <f t="shared" si="1"/>
        <v/>
      </c>
    </row>
    <row r="93" spans="1:12" ht="183" hidden="1">
      <c r="A93" t="s">
        <v>552</v>
      </c>
      <c r="B93" t="s">
        <v>553</v>
      </c>
      <c r="C93" t="s">
        <v>554</v>
      </c>
      <c r="D93" t="s">
        <v>555</v>
      </c>
      <c r="E93" t="s">
        <v>24</v>
      </c>
      <c r="F93" t="s">
        <v>556</v>
      </c>
      <c r="G93" s="4" t="s">
        <v>557</v>
      </c>
      <c r="H93" s="6" t="s">
        <v>47</v>
      </c>
      <c r="J93" t="b">
        <v>0</v>
      </c>
      <c r="L93" t="str">
        <f t="shared" si="1"/>
        <v/>
      </c>
    </row>
    <row r="94" spans="1:12" ht="198" hidden="1">
      <c r="A94" t="s">
        <v>558</v>
      </c>
      <c r="B94" t="s">
        <v>559</v>
      </c>
      <c r="C94" t="s">
        <v>560</v>
      </c>
      <c r="D94" t="s">
        <v>561</v>
      </c>
      <c r="E94" t="s">
        <v>71</v>
      </c>
      <c r="F94" t="s">
        <v>562</v>
      </c>
      <c r="G94" s="4" t="s">
        <v>563</v>
      </c>
      <c r="H94" s="6" t="s">
        <v>66</v>
      </c>
      <c r="J94" t="b">
        <v>1</v>
      </c>
      <c r="L94" t="str">
        <f t="shared" si="1"/>
        <v/>
      </c>
    </row>
    <row r="95" spans="1:12" ht="106.5" hidden="1">
      <c r="A95" t="s">
        <v>564</v>
      </c>
      <c r="B95" t="s">
        <v>565</v>
      </c>
      <c r="C95" t="s">
        <v>566</v>
      </c>
      <c r="D95" t="s">
        <v>567</v>
      </c>
      <c r="E95" t="s">
        <v>17</v>
      </c>
      <c r="F95" t="s">
        <v>18</v>
      </c>
      <c r="G95" s="4" t="s">
        <v>568</v>
      </c>
      <c r="H95" s="6" t="s">
        <v>47</v>
      </c>
      <c r="J95" t="b">
        <v>0</v>
      </c>
      <c r="L95" t="str">
        <f t="shared" si="1"/>
        <v/>
      </c>
    </row>
    <row r="96" spans="1:12" ht="229.5" hidden="1">
      <c r="A96" t="s">
        <v>569</v>
      </c>
      <c r="B96" t="s">
        <v>570</v>
      </c>
      <c r="C96" t="s">
        <v>571</v>
      </c>
      <c r="D96" t="s">
        <v>572</v>
      </c>
      <c r="E96" t="s">
        <v>149</v>
      </c>
      <c r="F96" t="s">
        <v>573</v>
      </c>
      <c r="G96" s="4" t="s">
        <v>574</v>
      </c>
      <c r="H96" s="6" t="s">
        <v>47</v>
      </c>
      <c r="J96" t="b">
        <v>0</v>
      </c>
      <c r="L96" t="str">
        <f t="shared" si="1"/>
        <v/>
      </c>
    </row>
    <row r="97" spans="1:15" ht="167.25">
      <c r="A97" t="s">
        <v>575</v>
      </c>
      <c r="B97" t="s">
        <v>576</v>
      </c>
      <c r="C97" t="s">
        <v>577</v>
      </c>
      <c r="D97" t="s">
        <v>578</v>
      </c>
      <c r="E97" t="s">
        <v>17</v>
      </c>
      <c r="F97" t="s">
        <v>18</v>
      </c>
      <c r="G97" s="4" t="s">
        <v>579</v>
      </c>
      <c r="H97" s="6" t="s">
        <v>66</v>
      </c>
      <c r="J97" t="b">
        <v>0</v>
      </c>
      <c r="K97" t="s">
        <v>580</v>
      </c>
      <c r="L97" t="str">
        <f t="shared" si="1"/>
        <v>!!!</v>
      </c>
      <c r="O97" t="b">
        <f>J97</f>
        <v>0</v>
      </c>
    </row>
    <row r="98" spans="1:15" ht="213" hidden="1">
      <c r="A98" t="s">
        <v>581</v>
      </c>
      <c r="B98" t="s">
        <v>582</v>
      </c>
      <c r="C98" t="s">
        <v>583</v>
      </c>
      <c r="D98" t="s">
        <v>584</v>
      </c>
      <c r="E98" t="s">
        <v>149</v>
      </c>
      <c r="F98" t="s">
        <v>585</v>
      </c>
      <c r="G98" s="4" t="s">
        <v>586</v>
      </c>
      <c r="H98" s="6" t="s">
        <v>47</v>
      </c>
      <c r="J98" t="b">
        <v>0</v>
      </c>
      <c r="L98" t="str">
        <f t="shared" si="1"/>
        <v/>
      </c>
    </row>
    <row r="99" spans="1:15" ht="198" hidden="1">
      <c r="A99" t="s">
        <v>587</v>
      </c>
      <c r="B99" t="s">
        <v>588</v>
      </c>
      <c r="C99" t="s">
        <v>589</v>
      </c>
      <c r="D99" t="s">
        <v>590</v>
      </c>
      <c r="E99" t="s">
        <v>38</v>
      </c>
      <c r="F99" t="s">
        <v>18</v>
      </c>
      <c r="G99" s="4" t="s">
        <v>591</v>
      </c>
      <c r="H99" s="6" t="s">
        <v>47</v>
      </c>
      <c r="J99" t="b">
        <v>0</v>
      </c>
      <c r="L99" t="str">
        <f t="shared" si="1"/>
        <v/>
      </c>
    </row>
    <row r="100" spans="1:15" ht="244.5" hidden="1">
      <c r="A100" t="s">
        <v>592</v>
      </c>
      <c r="B100" t="s">
        <v>593</v>
      </c>
      <c r="C100" t="s">
        <v>594</v>
      </c>
      <c r="D100" t="s">
        <v>595</v>
      </c>
      <c r="E100" t="s">
        <v>190</v>
      </c>
      <c r="F100" t="s">
        <v>18</v>
      </c>
      <c r="G100" s="4" t="s">
        <v>596</v>
      </c>
      <c r="H100" s="6" t="s">
        <v>47</v>
      </c>
      <c r="J100" t="b">
        <v>0</v>
      </c>
      <c r="L100" t="str">
        <f t="shared" si="1"/>
        <v/>
      </c>
    </row>
    <row r="101" spans="1:15" ht="167.25" hidden="1">
      <c r="A101" t="s">
        <v>597</v>
      </c>
      <c r="B101" t="s">
        <v>598</v>
      </c>
      <c r="C101" t="s">
        <v>599</v>
      </c>
      <c r="D101" t="s">
        <v>600</v>
      </c>
      <c r="E101" t="s">
        <v>17</v>
      </c>
      <c r="F101" t="s">
        <v>18</v>
      </c>
      <c r="G101" s="4" t="s">
        <v>601</v>
      </c>
      <c r="H101" s="6" t="s">
        <v>47</v>
      </c>
      <c r="J101" t="b">
        <v>0</v>
      </c>
      <c r="L101" t="str">
        <f t="shared" si="1"/>
        <v/>
      </c>
    </row>
    <row r="102" spans="1:15" ht="167.25" hidden="1">
      <c r="A102" t="s">
        <v>602</v>
      </c>
      <c r="B102" t="s">
        <v>603</v>
      </c>
      <c r="C102" t="s">
        <v>604</v>
      </c>
      <c r="D102" t="s">
        <v>605</v>
      </c>
      <c r="E102" t="s">
        <v>31</v>
      </c>
      <c r="F102" t="s">
        <v>606</v>
      </c>
      <c r="G102" s="4" t="s">
        <v>607</v>
      </c>
      <c r="H102" s="6" t="s">
        <v>47</v>
      </c>
      <c r="J102" t="b">
        <v>0</v>
      </c>
      <c r="L102" t="str">
        <f t="shared" si="1"/>
        <v/>
      </c>
    </row>
    <row r="103" spans="1:15" ht="198" hidden="1">
      <c r="A103" t="s">
        <v>608</v>
      </c>
      <c r="B103" t="s">
        <v>609</v>
      </c>
      <c r="C103" t="s">
        <v>610</v>
      </c>
      <c r="D103" t="s">
        <v>611</v>
      </c>
      <c r="E103" t="s">
        <v>149</v>
      </c>
      <c r="F103" t="s">
        <v>612</v>
      </c>
      <c r="G103" s="4" t="s">
        <v>613</v>
      </c>
      <c r="H103" s="6" t="s">
        <v>47</v>
      </c>
      <c r="J103" t="b">
        <v>0</v>
      </c>
      <c r="L103" t="str">
        <f t="shared" si="1"/>
        <v/>
      </c>
    </row>
    <row r="104" spans="1:15" ht="213" hidden="1">
      <c r="A104" t="s">
        <v>614</v>
      </c>
      <c r="B104" t="s">
        <v>615</v>
      </c>
      <c r="C104" t="s">
        <v>616</v>
      </c>
      <c r="D104" t="s">
        <v>617</v>
      </c>
      <c r="E104" t="s">
        <v>190</v>
      </c>
      <c r="F104" t="s">
        <v>618</v>
      </c>
      <c r="G104" s="4" t="s">
        <v>619</v>
      </c>
      <c r="H104" s="6" t="s">
        <v>47</v>
      </c>
      <c r="J104" t="b">
        <v>0</v>
      </c>
      <c r="L104" t="str">
        <f t="shared" si="1"/>
        <v/>
      </c>
    </row>
    <row r="105" spans="1:15" ht="198" hidden="1">
      <c r="A105" t="s">
        <v>620</v>
      </c>
      <c r="B105" t="s">
        <v>621</v>
      </c>
      <c r="C105" t="s">
        <v>622</v>
      </c>
      <c r="D105" t="s">
        <v>623</v>
      </c>
      <c r="E105" t="s">
        <v>31</v>
      </c>
      <c r="F105" t="s">
        <v>624</v>
      </c>
      <c r="G105" s="4" t="s">
        <v>625</v>
      </c>
      <c r="H105" s="6" t="s">
        <v>66</v>
      </c>
      <c r="J105" t="b">
        <v>1</v>
      </c>
      <c r="L105" t="str">
        <f t="shared" si="1"/>
        <v/>
      </c>
    </row>
    <row r="106" spans="1:15" ht="213" hidden="1">
      <c r="A106" t="s">
        <v>626</v>
      </c>
      <c r="B106" t="s">
        <v>627</v>
      </c>
      <c r="C106" t="s">
        <v>628</v>
      </c>
      <c r="D106" t="s">
        <v>629</v>
      </c>
      <c r="E106" t="s">
        <v>95</v>
      </c>
      <c r="F106" t="s">
        <v>18</v>
      </c>
      <c r="G106" s="4" t="s">
        <v>630</v>
      </c>
      <c r="H106" s="6" t="s">
        <v>47</v>
      </c>
      <c r="J106" t="b">
        <v>0</v>
      </c>
      <c r="L106" t="str">
        <f t="shared" si="1"/>
        <v/>
      </c>
    </row>
    <row r="107" spans="1:15" ht="183" hidden="1">
      <c r="A107" t="s">
        <v>631</v>
      </c>
      <c r="B107" t="s">
        <v>632</v>
      </c>
      <c r="C107" t="s">
        <v>633</v>
      </c>
      <c r="D107" t="s">
        <v>634</v>
      </c>
      <c r="E107" t="s">
        <v>71</v>
      </c>
      <c r="F107" t="s">
        <v>18</v>
      </c>
      <c r="G107" s="4" t="s">
        <v>635</v>
      </c>
      <c r="H107" s="6" t="s">
        <v>66</v>
      </c>
      <c r="J107" t="b">
        <v>1</v>
      </c>
      <c r="L107" t="str">
        <f t="shared" si="1"/>
        <v/>
      </c>
    </row>
    <row r="108" spans="1:15" ht="229.5" hidden="1">
      <c r="A108" t="s">
        <v>636</v>
      </c>
      <c r="B108" t="s">
        <v>637</v>
      </c>
      <c r="C108" t="s">
        <v>638</v>
      </c>
      <c r="D108" t="s">
        <v>639</v>
      </c>
      <c r="E108" t="s">
        <v>71</v>
      </c>
      <c r="F108" t="s">
        <v>640</v>
      </c>
      <c r="G108" s="4" t="s">
        <v>641</v>
      </c>
      <c r="H108" s="6" t="s">
        <v>47</v>
      </c>
      <c r="J108" t="b">
        <v>0</v>
      </c>
      <c r="L108" t="str">
        <f t="shared" si="1"/>
        <v/>
      </c>
    </row>
    <row r="109" spans="1:15" ht="213" hidden="1">
      <c r="A109" t="s">
        <v>642</v>
      </c>
      <c r="B109" t="s">
        <v>643</v>
      </c>
      <c r="C109" t="s">
        <v>644</v>
      </c>
      <c r="D109" t="s">
        <v>645</v>
      </c>
      <c r="E109" t="s">
        <v>95</v>
      </c>
      <c r="F109" t="s">
        <v>18</v>
      </c>
      <c r="G109" s="4" t="s">
        <v>646</v>
      </c>
      <c r="H109" s="6" t="s">
        <v>66</v>
      </c>
      <c r="J109" t="b">
        <v>1</v>
      </c>
      <c r="L109" t="str">
        <f t="shared" si="1"/>
        <v/>
      </c>
    </row>
    <row r="110" spans="1:15" ht="167.25">
      <c r="A110" t="s">
        <v>647</v>
      </c>
      <c r="B110" t="s">
        <v>648</v>
      </c>
      <c r="C110" t="s">
        <v>649</v>
      </c>
      <c r="D110" t="s">
        <v>650</v>
      </c>
      <c r="E110" t="s">
        <v>31</v>
      </c>
      <c r="F110" t="s">
        <v>651</v>
      </c>
      <c r="G110" s="4" t="s">
        <v>652</v>
      </c>
      <c r="H110" s="6" t="s">
        <v>66</v>
      </c>
      <c r="I110" t="s">
        <v>653</v>
      </c>
      <c r="J110" t="b">
        <v>0</v>
      </c>
      <c r="K110" t="s">
        <v>654</v>
      </c>
      <c r="L110" t="str">
        <f t="shared" si="1"/>
        <v>!!!</v>
      </c>
      <c r="O110" s="10" t="s">
        <v>66</v>
      </c>
    </row>
    <row r="111" spans="1:15" ht="198" hidden="1">
      <c r="A111" t="s">
        <v>655</v>
      </c>
      <c r="B111" t="s">
        <v>656</v>
      </c>
      <c r="C111" t="s">
        <v>657</v>
      </c>
      <c r="D111" t="s">
        <v>658</v>
      </c>
      <c r="E111" t="s">
        <v>71</v>
      </c>
      <c r="F111" t="s">
        <v>659</v>
      </c>
      <c r="G111" s="4" t="s">
        <v>660</v>
      </c>
      <c r="H111" s="6" t="s">
        <v>47</v>
      </c>
      <c r="J111" t="b">
        <v>0</v>
      </c>
      <c r="L111" t="str">
        <f t="shared" si="1"/>
        <v/>
      </c>
    </row>
    <row r="112" spans="1:15" ht="76.5" hidden="1">
      <c r="A112" t="s">
        <v>661</v>
      </c>
      <c r="B112" t="s">
        <v>662</v>
      </c>
      <c r="C112" t="s">
        <v>663</v>
      </c>
      <c r="D112" t="s">
        <v>664</v>
      </c>
      <c r="E112" t="s">
        <v>17</v>
      </c>
      <c r="F112" t="s">
        <v>18</v>
      </c>
      <c r="G112" s="4" t="s">
        <v>665</v>
      </c>
      <c r="H112" s="6" t="s">
        <v>66</v>
      </c>
      <c r="I112" t="s">
        <v>666</v>
      </c>
      <c r="J112" t="b">
        <v>1</v>
      </c>
      <c r="L112" t="str">
        <f t="shared" si="1"/>
        <v/>
      </c>
    </row>
    <row r="113" spans="1:15" ht="183" hidden="1">
      <c r="A113" t="s">
        <v>667</v>
      </c>
      <c r="B113" t="s">
        <v>668</v>
      </c>
      <c r="C113" t="s">
        <v>669</v>
      </c>
      <c r="D113" t="s">
        <v>670</v>
      </c>
      <c r="E113" t="s">
        <v>95</v>
      </c>
      <c r="F113" t="s">
        <v>18</v>
      </c>
      <c r="G113" s="4" t="s">
        <v>671</v>
      </c>
      <c r="H113" s="6" t="s">
        <v>47</v>
      </c>
      <c r="I113" t="s">
        <v>250</v>
      </c>
      <c r="J113" t="b">
        <v>0</v>
      </c>
      <c r="L113" t="str">
        <f t="shared" si="1"/>
        <v/>
      </c>
    </row>
    <row r="114" spans="1:15" ht="198" hidden="1">
      <c r="A114" t="s">
        <v>672</v>
      </c>
      <c r="B114" t="s">
        <v>673</v>
      </c>
      <c r="C114" t="s">
        <v>674</v>
      </c>
      <c r="D114" t="s">
        <v>675</v>
      </c>
      <c r="E114" t="s">
        <v>31</v>
      </c>
      <c r="F114" t="s">
        <v>676</v>
      </c>
      <c r="G114" s="4" t="s">
        <v>677</v>
      </c>
      <c r="H114" s="6" t="s">
        <v>47</v>
      </c>
      <c r="J114" t="b">
        <v>0</v>
      </c>
      <c r="L114" t="str">
        <f t="shared" si="1"/>
        <v/>
      </c>
    </row>
    <row r="115" spans="1:15" ht="91.5" hidden="1">
      <c r="A115" t="s">
        <v>678</v>
      </c>
      <c r="B115" t="s">
        <v>679</v>
      </c>
      <c r="C115" t="s">
        <v>680</v>
      </c>
      <c r="D115" t="s">
        <v>681</v>
      </c>
      <c r="E115" t="s">
        <v>17</v>
      </c>
      <c r="F115" t="s">
        <v>18</v>
      </c>
      <c r="G115" s="4" t="s">
        <v>682</v>
      </c>
      <c r="H115" s="6" t="s">
        <v>47</v>
      </c>
      <c r="J115" t="b">
        <v>0</v>
      </c>
      <c r="L115" t="str">
        <f t="shared" si="1"/>
        <v/>
      </c>
    </row>
    <row r="116" spans="1:15" ht="183" hidden="1">
      <c r="A116" t="s">
        <v>683</v>
      </c>
      <c r="B116" t="s">
        <v>684</v>
      </c>
      <c r="C116" t="s">
        <v>685</v>
      </c>
      <c r="D116" t="s">
        <v>686</v>
      </c>
      <c r="E116" t="s">
        <v>24</v>
      </c>
      <c r="F116" t="s">
        <v>687</v>
      </c>
      <c r="G116" s="4" t="s">
        <v>688</v>
      </c>
      <c r="H116" s="6" t="s">
        <v>47</v>
      </c>
      <c r="J116" t="b">
        <v>0</v>
      </c>
      <c r="L116" t="str">
        <f t="shared" si="1"/>
        <v/>
      </c>
    </row>
    <row r="117" spans="1:15" ht="213" hidden="1">
      <c r="A117" t="s">
        <v>689</v>
      </c>
      <c r="B117" t="s">
        <v>690</v>
      </c>
      <c r="C117" t="s">
        <v>691</v>
      </c>
      <c r="D117" t="s">
        <v>692</v>
      </c>
      <c r="E117" t="s">
        <v>38</v>
      </c>
      <c r="F117" t="s">
        <v>18</v>
      </c>
      <c r="G117" s="4" t="s">
        <v>693</v>
      </c>
      <c r="H117" s="6" t="s">
        <v>66</v>
      </c>
      <c r="J117" t="b">
        <v>1</v>
      </c>
      <c r="L117" t="str">
        <f t="shared" si="1"/>
        <v/>
      </c>
    </row>
    <row r="118" spans="1:15" ht="213" hidden="1">
      <c r="A118" t="s">
        <v>694</v>
      </c>
      <c r="B118" t="s">
        <v>695</v>
      </c>
      <c r="C118" t="s">
        <v>696</v>
      </c>
      <c r="D118" t="s">
        <v>697</v>
      </c>
      <c r="E118" t="s">
        <v>108</v>
      </c>
      <c r="F118" t="s">
        <v>18</v>
      </c>
      <c r="G118" s="4" t="s">
        <v>698</v>
      </c>
      <c r="H118" s="6" t="s">
        <v>47</v>
      </c>
      <c r="J118" t="b">
        <v>0</v>
      </c>
      <c r="L118" t="str">
        <f t="shared" si="1"/>
        <v/>
      </c>
    </row>
    <row r="119" spans="1:15" ht="183" hidden="1">
      <c r="A119" t="s">
        <v>699</v>
      </c>
      <c r="B119" t="s">
        <v>700</v>
      </c>
      <c r="C119" t="s">
        <v>701</v>
      </c>
      <c r="D119" t="s">
        <v>702</v>
      </c>
      <c r="E119" t="s">
        <v>24</v>
      </c>
      <c r="F119" t="s">
        <v>703</v>
      </c>
      <c r="G119" s="4" t="s">
        <v>704</v>
      </c>
      <c r="H119" s="6" t="s">
        <v>47</v>
      </c>
      <c r="J119" t="b">
        <v>0</v>
      </c>
      <c r="L119" t="str">
        <f t="shared" si="1"/>
        <v/>
      </c>
    </row>
    <row r="120" spans="1:15" ht="244.5" hidden="1">
      <c r="A120" t="s">
        <v>705</v>
      </c>
      <c r="B120" t="s">
        <v>706</v>
      </c>
      <c r="C120" t="s">
        <v>707</v>
      </c>
      <c r="D120" t="s">
        <v>708</v>
      </c>
      <c r="E120" t="s">
        <v>95</v>
      </c>
      <c r="F120" t="s">
        <v>18</v>
      </c>
      <c r="G120" s="4" t="s">
        <v>709</v>
      </c>
      <c r="H120" s="6" t="s">
        <v>47</v>
      </c>
      <c r="J120" t="b">
        <v>0</v>
      </c>
      <c r="L120" t="str">
        <f t="shared" si="1"/>
        <v/>
      </c>
    </row>
    <row r="121" spans="1:15" ht="198" hidden="1">
      <c r="A121" t="s">
        <v>710</v>
      </c>
      <c r="B121" t="s">
        <v>711</v>
      </c>
      <c r="C121" t="s">
        <v>712</v>
      </c>
      <c r="D121" t="s">
        <v>713</v>
      </c>
      <c r="E121" t="s">
        <v>190</v>
      </c>
      <c r="F121" t="s">
        <v>18</v>
      </c>
      <c r="G121" s="4" t="s">
        <v>714</v>
      </c>
      <c r="H121" s="6" t="s">
        <v>66</v>
      </c>
      <c r="J121" t="b">
        <v>1</v>
      </c>
      <c r="L121" t="str">
        <f t="shared" si="1"/>
        <v/>
      </c>
    </row>
    <row r="122" spans="1:15" ht="213" hidden="1">
      <c r="A122" t="s">
        <v>715</v>
      </c>
      <c r="B122" t="s">
        <v>716</v>
      </c>
      <c r="C122" t="s">
        <v>717</v>
      </c>
      <c r="D122" t="s">
        <v>718</v>
      </c>
      <c r="E122" t="s">
        <v>38</v>
      </c>
      <c r="F122" t="s">
        <v>18</v>
      </c>
      <c r="G122" s="4" t="s">
        <v>719</v>
      </c>
      <c r="H122" s="6" t="s">
        <v>47</v>
      </c>
      <c r="J122" t="b">
        <v>0</v>
      </c>
      <c r="L122" t="str">
        <f t="shared" si="1"/>
        <v/>
      </c>
    </row>
    <row r="123" spans="1:15" ht="213">
      <c r="A123" t="s">
        <v>720</v>
      </c>
      <c r="B123" t="s">
        <v>721</v>
      </c>
      <c r="C123" t="s">
        <v>722</v>
      </c>
      <c r="D123" t="s">
        <v>723</v>
      </c>
      <c r="E123" t="s">
        <v>71</v>
      </c>
      <c r="F123" t="s">
        <v>724</v>
      </c>
      <c r="G123" s="4" t="s">
        <v>725</v>
      </c>
      <c r="H123" s="6" t="s">
        <v>66</v>
      </c>
      <c r="I123" t="s">
        <v>653</v>
      </c>
      <c r="J123" t="b">
        <v>0</v>
      </c>
      <c r="K123" t="s">
        <v>726</v>
      </c>
      <c r="L123" t="str">
        <f t="shared" si="1"/>
        <v>!!!</v>
      </c>
      <c r="O123" t="b">
        <f>J123</f>
        <v>0</v>
      </c>
    </row>
    <row r="124" spans="1:15" ht="121.5" hidden="1">
      <c r="A124" t="s">
        <v>727</v>
      </c>
      <c r="B124" t="s">
        <v>728</v>
      </c>
      <c r="C124" t="s">
        <v>729</v>
      </c>
      <c r="D124" t="s">
        <v>730</v>
      </c>
      <c r="E124" t="s">
        <v>17</v>
      </c>
      <c r="F124" t="s">
        <v>18</v>
      </c>
      <c r="G124" s="4" t="s">
        <v>731</v>
      </c>
      <c r="H124" s="6" t="s">
        <v>66</v>
      </c>
      <c r="I124" t="s">
        <v>666</v>
      </c>
      <c r="J124" t="b">
        <v>1</v>
      </c>
      <c r="L124" t="str">
        <f t="shared" si="1"/>
        <v/>
      </c>
    </row>
    <row r="125" spans="1:15" ht="229.5" hidden="1">
      <c r="A125" t="s">
        <v>732</v>
      </c>
      <c r="B125" t="s">
        <v>733</v>
      </c>
      <c r="C125" t="s">
        <v>734</v>
      </c>
      <c r="D125" t="s">
        <v>735</v>
      </c>
      <c r="E125" t="s">
        <v>71</v>
      </c>
      <c r="F125" t="s">
        <v>736</v>
      </c>
      <c r="G125" s="4" t="s">
        <v>737</v>
      </c>
      <c r="H125" s="6" t="s">
        <v>66</v>
      </c>
      <c r="J125" t="b">
        <v>1</v>
      </c>
      <c r="L125" t="str">
        <f t="shared" si="1"/>
        <v/>
      </c>
    </row>
    <row r="126" spans="1:15" ht="213" hidden="1">
      <c r="A126" t="s">
        <v>738</v>
      </c>
      <c r="B126" t="s">
        <v>739</v>
      </c>
      <c r="C126" t="s">
        <v>740</v>
      </c>
      <c r="D126" t="s">
        <v>741</v>
      </c>
      <c r="E126" t="s">
        <v>24</v>
      </c>
      <c r="F126" t="s">
        <v>742</v>
      </c>
      <c r="G126" s="4" t="s">
        <v>743</v>
      </c>
      <c r="H126" s="6" t="s">
        <v>47</v>
      </c>
      <c r="J126" t="b">
        <v>0</v>
      </c>
      <c r="L126" t="str">
        <f t="shared" si="1"/>
        <v/>
      </c>
    </row>
    <row r="127" spans="1:15" ht="198" hidden="1">
      <c r="A127" t="s">
        <v>744</v>
      </c>
      <c r="B127" t="s">
        <v>745</v>
      </c>
      <c r="C127" t="s">
        <v>746</v>
      </c>
      <c r="D127" t="s">
        <v>747</v>
      </c>
      <c r="E127" t="s">
        <v>149</v>
      </c>
      <c r="F127" t="s">
        <v>748</v>
      </c>
      <c r="G127" s="4" t="s">
        <v>749</v>
      </c>
      <c r="H127" s="6" t="s">
        <v>47</v>
      </c>
      <c r="J127" t="b">
        <v>0</v>
      </c>
      <c r="L127" t="str">
        <f t="shared" si="1"/>
        <v/>
      </c>
    </row>
    <row r="128" spans="1:15" ht="229.5" hidden="1">
      <c r="A128" t="s">
        <v>750</v>
      </c>
      <c r="B128" t="s">
        <v>751</v>
      </c>
      <c r="C128" t="s">
        <v>752</v>
      </c>
      <c r="D128" t="s">
        <v>753</v>
      </c>
      <c r="E128" t="s">
        <v>71</v>
      </c>
      <c r="F128" t="s">
        <v>754</v>
      </c>
      <c r="G128" s="4" t="s">
        <v>755</v>
      </c>
      <c r="H128" s="6" t="s">
        <v>47</v>
      </c>
      <c r="J128" t="b">
        <v>0</v>
      </c>
      <c r="L128" t="str">
        <f t="shared" si="1"/>
        <v/>
      </c>
    </row>
    <row r="129" spans="1:16" ht="167.25" hidden="1">
      <c r="A129" t="s">
        <v>756</v>
      </c>
      <c r="B129" t="s">
        <v>757</v>
      </c>
      <c r="C129" t="s">
        <v>758</v>
      </c>
      <c r="D129" t="s">
        <v>759</v>
      </c>
      <c r="E129" t="s">
        <v>17</v>
      </c>
      <c r="F129" t="s">
        <v>18</v>
      </c>
      <c r="G129" s="4" t="s">
        <v>760</v>
      </c>
      <c r="H129" s="6" t="s">
        <v>47</v>
      </c>
      <c r="J129" t="b">
        <v>0</v>
      </c>
      <c r="L129" t="str">
        <f t="shared" si="1"/>
        <v/>
      </c>
    </row>
    <row r="130" spans="1:16" ht="167.25" hidden="1">
      <c r="A130" t="s">
        <v>761</v>
      </c>
      <c r="B130" t="s">
        <v>762</v>
      </c>
      <c r="C130" t="s">
        <v>763</v>
      </c>
      <c r="D130" t="s">
        <v>764</v>
      </c>
      <c r="E130" t="s">
        <v>71</v>
      </c>
      <c r="F130" t="s">
        <v>18</v>
      </c>
      <c r="G130" s="4" t="s">
        <v>765</v>
      </c>
      <c r="H130" s="6" t="s">
        <v>47</v>
      </c>
      <c r="I130" t="s">
        <v>250</v>
      </c>
      <c r="J130" t="b">
        <v>0</v>
      </c>
      <c r="L130" t="str">
        <f t="shared" si="1"/>
        <v/>
      </c>
    </row>
    <row r="131" spans="1:16" ht="213" hidden="1">
      <c r="A131" t="s">
        <v>766</v>
      </c>
      <c r="B131" t="s">
        <v>767</v>
      </c>
      <c r="C131" t="s">
        <v>768</v>
      </c>
      <c r="D131" t="s">
        <v>769</v>
      </c>
      <c r="E131" t="s">
        <v>24</v>
      </c>
      <c r="F131" t="s">
        <v>770</v>
      </c>
      <c r="G131" s="4" t="s">
        <v>771</v>
      </c>
      <c r="H131" s="6" t="s">
        <v>47</v>
      </c>
      <c r="J131" t="b">
        <v>0</v>
      </c>
      <c r="L131" t="str">
        <f t="shared" ref="L131:L194" si="2">IF(OR(H131="",J131=""),"",IF(TEXT(H131,"")&lt;&gt;TEXT(J131,""),"!!!",""))</f>
        <v/>
      </c>
    </row>
    <row r="132" spans="1:16" ht="91.5" hidden="1">
      <c r="A132" t="s">
        <v>772</v>
      </c>
      <c r="B132" t="s">
        <v>773</v>
      </c>
      <c r="C132" t="s">
        <v>774</v>
      </c>
      <c r="D132" t="s">
        <v>775</v>
      </c>
      <c r="E132" t="s">
        <v>38</v>
      </c>
      <c r="F132" t="s">
        <v>776</v>
      </c>
      <c r="G132" s="4" t="s">
        <v>777</v>
      </c>
      <c r="H132" s="6" t="s">
        <v>47</v>
      </c>
      <c r="J132" t="b">
        <v>0</v>
      </c>
      <c r="L132" t="str">
        <f t="shared" si="2"/>
        <v/>
      </c>
    </row>
    <row r="133" spans="1:16" ht="213" hidden="1">
      <c r="A133" t="s">
        <v>778</v>
      </c>
      <c r="B133" t="s">
        <v>779</v>
      </c>
      <c r="C133" t="s">
        <v>780</v>
      </c>
      <c r="D133" t="s">
        <v>781</v>
      </c>
      <c r="E133" t="s">
        <v>24</v>
      </c>
      <c r="F133" t="s">
        <v>782</v>
      </c>
      <c r="G133" s="4" t="s">
        <v>783</v>
      </c>
      <c r="H133" s="6" t="s">
        <v>66</v>
      </c>
      <c r="J133" t="b">
        <v>1</v>
      </c>
      <c r="L133" t="str">
        <f t="shared" si="2"/>
        <v/>
      </c>
    </row>
    <row r="134" spans="1:16" ht="229.5">
      <c r="A134" t="s">
        <v>784</v>
      </c>
      <c r="B134" t="s">
        <v>785</v>
      </c>
      <c r="C134" t="s">
        <v>786</v>
      </c>
      <c r="D134" t="s">
        <v>787</v>
      </c>
      <c r="E134" t="s">
        <v>71</v>
      </c>
      <c r="F134" t="s">
        <v>788</v>
      </c>
      <c r="G134" s="4" t="s">
        <v>789</v>
      </c>
      <c r="H134" s="6" t="s">
        <v>66</v>
      </c>
      <c r="J134" t="b">
        <v>0</v>
      </c>
      <c r="K134" t="s">
        <v>790</v>
      </c>
      <c r="L134" t="str">
        <f t="shared" si="2"/>
        <v>!!!</v>
      </c>
      <c r="O134" t="s">
        <v>66</v>
      </c>
      <c r="P134" t="s">
        <v>791</v>
      </c>
    </row>
    <row r="135" spans="1:16" ht="229.5" hidden="1">
      <c r="A135" t="s">
        <v>792</v>
      </c>
      <c r="B135" t="s">
        <v>793</v>
      </c>
      <c r="C135" t="s">
        <v>794</v>
      </c>
      <c r="D135" t="s">
        <v>795</v>
      </c>
      <c r="E135" t="s">
        <v>190</v>
      </c>
      <c r="F135" t="s">
        <v>18</v>
      </c>
      <c r="G135" s="4" t="s">
        <v>796</v>
      </c>
      <c r="H135" s="6" t="s">
        <v>47</v>
      </c>
      <c r="J135" t="b">
        <v>0</v>
      </c>
      <c r="L135" t="str">
        <f t="shared" si="2"/>
        <v/>
      </c>
    </row>
    <row r="136" spans="1:16" ht="229.5" hidden="1">
      <c r="A136" t="s">
        <v>797</v>
      </c>
      <c r="B136" t="s">
        <v>798</v>
      </c>
      <c r="C136" t="s">
        <v>799</v>
      </c>
      <c r="D136" t="s">
        <v>800</v>
      </c>
      <c r="E136" t="s">
        <v>71</v>
      </c>
      <c r="F136" t="s">
        <v>18</v>
      </c>
      <c r="G136" s="4" t="s">
        <v>801</v>
      </c>
      <c r="H136" s="6" t="s">
        <v>47</v>
      </c>
      <c r="J136" t="b">
        <v>0</v>
      </c>
      <c r="L136" t="str">
        <f t="shared" si="2"/>
        <v/>
      </c>
    </row>
    <row r="137" spans="1:16" ht="198" hidden="1">
      <c r="A137" t="s">
        <v>802</v>
      </c>
      <c r="B137" t="s">
        <v>803</v>
      </c>
      <c r="C137" t="s">
        <v>804</v>
      </c>
      <c r="D137" t="s">
        <v>805</v>
      </c>
      <c r="E137" t="s">
        <v>38</v>
      </c>
      <c r="F137" t="s">
        <v>806</v>
      </c>
      <c r="G137" s="4" t="s">
        <v>807</v>
      </c>
      <c r="H137" s="6" t="s">
        <v>66</v>
      </c>
      <c r="J137" t="b">
        <v>1</v>
      </c>
      <c r="L137" t="str">
        <f t="shared" si="2"/>
        <v/>
      </c>
    </row>
    <row r="138" spans="1:16" ht="167.25" hidden="1">
      <c r="A138" t="s">
        <v>808</v>
      </c>
      <c r="B138" t="s">
        <v>809</v>
      </c>
      <c r="C138" t="s">
        <v>810</v>
      </c>
      <c r="D138" t="s">
        <v>811</v>
      </c>
      <c r="E138" t="s">
        <v>17</v>
      </c>
      <c r="F138" t="s">
        <v>18</v>
      </c>
      <c r="G138" s="4" t="s">
        <v>812</v>
      </c>
      <c r="H138" s="6" t="s">
        <v>66</v>
      </c>
      <c r="J138" t="b">
        <v>1</v>
      </c>
      <c r="L138" t="str">
        <f t="shared" si="2"/>
        <v/>
      </c>
    </row>
    <row r="139" spans="1:16" ht="167.25" hidden="1">
      <c r="A139" t="s">
        <v>813</v>
      </c>
      <c r="B139" t="s">
        <v>814</v>
      </c>
      <c r="C139" t="s">
        <v>815</v>
      </c>
      <c r="D139" t="s">
        <v>816</v>
      </c>
      <c r="E139" t="s">
        <v>17</v>
      </c>
      <c r="F139" t="s">
        <v>18</v>
      </c>
      <c r="G139" s="4" t="s">
        <v>817</v>
      </c>
      <c r="H139" s="6" t="s">
        <v>47</v>
      </c>
      <c r="J139" t="b">
        <v>0</v>
      </c>
      <c r="L139" t="str">
        <f t="shared" si="2"/>
        <v/>
      </c>
    </row>
    <row r="140" spans="1:16" ht="198" hidden="1">
      <c r="A140" t="s">
        <v>818</v>
      </c>
      <c r="B140" t="s">
        <v>819</v>
      </c>
      <c r="C140" t="s">
        <v>820</v>
      </c>
      <c r="D140" t="s">
        <v>821</v>
      </c>
      <c r="E140" t="s">
        <v>38</v>
      </c>
      <c r="F140" t="s">
        <v>18</v>
      </c>
      <c r="G140" s="4" t="s">
        <v>822</v>
      </c>
      <c r="H140" s="6" t="s">
        <v>66</v>
      </c>
      <c r="J140" t="b">
        <v>1</v>
      </c>
      <c r="L140" t="str">
        <f t="shared" si="2"/>
        <v/>
      </c>
    </row>
    <row r="141" spans="1:16" ht="198" hidden="1">
      <c r="A141" t="s">
        <v>823</v>
      </c>
      <c r="B141" t="s">
        <v>824</v>
      </c>
      <c r="C141" t="s">
        <v>825</v>
      </c>
      <c r="D141" t="s">
        <v>826</v>
      </c>
      <c r="E141" t="s">
        <v>108</v>
      </c>
      <c r="F141" t="s">
        <v>18</v>
      </c>
      <c r="G141" s="4" t="s">
        <v>827</v>
      </c>
      <c r="H141" s="6" t="s">
        <v>47</v>
      </c>
      <c r="J141" t="b">
        <v>0</v>
      </c>
      <c r="L141" t="str">
        <f t="shared" si="2"/>
        <v/>
      </c>
    </row>
    <row r="142" spans="1:16" ht="121.5" hidden="1">
      <c r="A142" t="s">
        <v>828</v>
      </c>
      <c r="B142" t="s">
        <v>829</v>
      </c>
      <c r="C142" t="s">
        <v>830</v>
      </c>
      <c r="D142" t="s">
        <v>831</v>
      </c>
      <c r="E142" t="s">
        <v>17</v>
      </c>
      <c r="F142" t="s">
        <v>18</v>
      </c>
      <c r="G142" s="4" t="s">
        <v>832</v>
      </c>
      <c r="H142" s="6" t="s">
        <v>66</v>
      </c>
      <c r="J142" t="b">
        <v>1</v>
      </c>
      <c r="L142" t="str">
        <f t="shared" si="2"/>
        <v/>
      </c>
    </row>
    <row r="143" spans="1:16" ht="183" hidden="1">
      <c r="A143" t="s">
        <v>833</v>
      </c>
      <c r="B143" t="s">
        <v>834</v>
      </c>
      <c r="C143" t="s">
        <v>835</v>
      </c>
      <c r="D143" t="s">
        <v>836</v>
      </c>
      <c r="E143" t="s">
        <v>190</v>
      </c>
      <c r="F143" t="s">
        <v>18</v>
      </c>
      <c r="G143" s="4" t="s">
        <v>837</v>
      </c>
      <c r="H143" s="6" t="s">
        <v>66</v>
      </c>
      <c r="J143" t="b">
        <v>1</v>
      </c>
      <c r="L143" t="str">
        <f t="shared" si="2"/>
        <v/>
      </c>
    </row>
    <row r="144" spans="1:16" ht="229.5" hidden="1">
      <c r="A144" t="s">
        <v>838</v>
      </c>
      <c r="B144" t="s">
        <v>839</v>
      </c>
      <c r="C144" t="s">
        <v>840</v>
      </c>
      <c r="D144" t="s">
        <v>841</v>
      </c>
      <c r="E144" t="s">
        <v>108</v>
      </c>
      <c r="F144" t="s">
        <v>18</v>
      </c>
      <c r="G144" s="4" t="s">
        <v>842</v>
      </c>
      <c r="H144" s="6" t="s">
        <v>47</v>
      </c>
      <c r="J144" t="b">
        <v>0</v>
      </c>
      <c r="L144" t="str">
        <f t="shared" si="2"/>
        <v/>
      </c>
    </row>
    <row r="145" spans="1:12" ht="106.5" hidden="1">
      <c r="A145" t="s">
        <v>843</v>
      </c>
      <c r="B145" t="s">
        <v>844</v>
      </c>
      <c r="C145" t="s">
        <v>845</v>
      </c>
      <c r="D145" t="s">
        <v>846</v>
      </c>
      <c r="E145" t="s">
        <v>17</v>
      </c>
      <c r="F145" t="s">
        <v>18</v>
      </c>
      <c r="G145" s="4" t="s">
        <v>847</v>
      </c>
      <c r="H145" s="6" t="s">
        <v>47</v>
      </c>
      <c r="J145" t="b">
        <v>0</v>
      </c>
      <c r="L145" t="str">
        <f t="shared" si="2"/>
        <v/>
      </c>
    </row>
    <row r="146" spans="1:12" ht="167.25" hidden="1">
      <c r="A146" t="s">
        <v>848</v>
      </c>
      <c r="B146" t="s">
        <v>849</v>
      </c>
      <c r="C146" t="s">
        <v>850</v>
      </c>
      <c r="D146" t="s">
        <v>851</v>
      </c>
      <c r="E146" t="s">
        <v>31</v>
      </c>
      <c r="F146" t="s">
        <v>852</v>
      </c>
      <c r="G146" s="4" t="s">
        <v>853</v>
      </c>
      <c r="H146" s="6" t="s">
        <v>66</v>
      </c>
      <c r="J146" t="b">
        <v>1</v>
      </c>
      <c r="L146" t="str">
        <f t="shared" si="2"/>
        <v/>
      </c>
    </row>
    <row r="147" spans="1:12" ht="229.5" hidden="1">
      <c r="A147" t="s">
        <v>854</v>
      </c>
      <c r="B147" t="s">
        <v>855</v>
      </c>
      <c r="C147" t="s">
        <v>856</v>
      </c>
      <c r="D147" t="s">
        <v>857</v>
      </c>
      <c r="E147" t="s">
        <v>95</v>
      </c>
      <c r="F147" t="s">
        <v>18</v>
      </c>
      <c r="G147" s="4" t="s">
        <v>858</v>
      </c>
      <c r="H147" s="6" t="s">
        <v>47</v>
      </c>
      <c r="J147" t="b">
        <v>0</v>
      </c>
      <c r="L147" t="str">
        <f t="shared" si="2"/>
        <v/>
      </c>
    </row>
    <row r="148" spans="1:12" ht="183" hidden="1">
      <c r="A148" t="s">
        <v>859</v>
      </c>
      <c r="B148" t="s">
        <v>860</v>
      </c>
      <c r="C148" t="s">
        <v>861</v>
      </c>
      <c r="D148" t="s">
        <v>862</v>
      </c>
      <c r="E148" t="s">
        <v>95</v>
      </c>
      <c r="F148" t="s">
        <v>863</v>
      </c>
      <c r="G148" s="4" t="s">
        <v>864</v>
      </c>
      <c r="H148" s="6" t="s">
        <v>47</v>
      </c>
      <c r="J148" t="b">
        <v>0</v>
      </c>
      <c r="L148" t="str">
        <f t="shared" si="2"/>
        <v/>
      </c>
    </row>
    <row r="149" spans="1:12" ht="213" hidden="1">
      <c r="A149" t="s">
        <v>865</v>
      </c>
      <c r="B149" t="s">
        <v>866</v>
      </c>
      <c r="C149" t="s">
        <v>867</v>
      </c>
      <c r="D149" t="s">
        <v>868</v>
      </c>
      <c r="E149" t="s">
        <v>95</v>
      </c>
      <c r="F149" t="s">
        <v>18</v>
      </c>
      <c r="G149" s="4" t="s">
        <v>869</v>
      </c>
      <c r="H149" s="6" t="s">
        <v>66</v>
      </c>
      <c r="J149" t="b">
        <v>1</v>
      </c>
      <c r="L149" t="str">
        <f t="shared" si="2"/>
        <v/>
      </c>
    </row>
    <row r="150" spans="1:12" ht="229.5" hidden="1">
      <c r="A150" t="s">
        <v>870</v>
      </c>
      <c r="B150" t="s">
        <v>871</v>
      </c>
      <c r="C150" t="s">
        <v>872</v>
      </c>
      <c r="D150" t="s">
        <v>873</v>
      </c>
      <c r="E150" t="s">
        <v>24</v>
      </c>
      <c r="F150" t="s">
        <v>874</v>
      </c>
      <c r="G150" s="4" t="s">
        <v>875</v>
      </c>
      <c r="H150" s="6" t="s">
        <v>47</v>
      </c>
      <c r="J150" t="b">
        <v>0</v>
      </c>
      <c r="L150" t="str">
        <f t="shared" si="2"/>
        <v/>
      </c>
    </row>
    <row r="151" spans="1:12" ht="167.25" hidden="1">
      <c r="A151" t="s">
        <v>876</v>
      </c>
      <c r="B151" t="s">
        <v>877</v>
      </c>
      <c r="C151" t="s">
        <v>878</v>
      </c>
      <c r="D151" t="s">
        <v>879</v>
      </c>
      <c r="E151" t="s">
        <v>24</v>
      </c>
      <c r="F151" t="s">
        <v>880</v>
      </c>
      <c r="G151" s="4" t="s">
        <v>881</v>
      </c>
      <c r="H151" s="6" t="s">
        <v>47</v>
      </c>
      <c r="J151" t="b">
        <v>0</v>
      </c>
      <c r="L151" t="str">
        <f t="shared" si="2"/>
        <v/>
      </c>
    </row>
    <row r="152" spans="1:12" ht="183" hidden="1">
      <c r="A152" t="s">
        <v>882</v>
      </c>
      <c r="B152" t="s">
        <v>883</v>
      </c>
      <c r="C152" t="s">
        <v>884</v>
      </c>
      <c r="D152" t="s">
        <v>885</v>
      </c>
      <c r="E152" t="s">
        <v>31</v>
      </c>
      <c r="F152" t="s">
        <v>886</v>
      </c>
      <c r="G152" s="4" t="s">
        <v>887</v>
      </c>
      <c r="H152" s="6" t="s">
        <v>47</v>
      </c>
      <c r="J152" t="b">
        <v>0</v>
      </c>
      <c r="L152" t="str">
        <f t="shared" si="2"/>
        <v/>
      </c>
    </row>
    <row r="153" spans="1:12" ht="229.5" hidden="1">
      <c r="A153" t="s">
        <v>888</v>
      </c>
      <c r="B153" t="s">
        <v>889</v>
      </c>
      <c r="C153" t="s">
        <v>890</v>
      </c>
      <c r="D153" t="s">
        <v>891</v>
      </c>
      <c r="E153" t="s">
        <v>95</v>
      </c>
      <c r="F153" t="s">
        <v>18</v>
      </c>
      <c r="G153" s="4" t="s">
        <v>892</v>
      </c>
      <c r="H153" s="6" t="s">
        <v>66</v>
      </c>
      <c r="J153" t="b">
        <v>1</v>
      </c>
      <c r="L153" t="str">
        <f t="shared" si="2"/>
        <v/>
      </c>
    </row>
    <row r="154" spans="1:12" ht="137.25" hidden="1">
      <c r="A154" t="s">
        <v>893</v>
      </c>
      <c r="B154" t="s">
        <v>894</v>
      </c>
      <c r="C154" t="s">
        <v>895</v>
      </c>
      <c r="D154" t="s">
        <v>896</v>
      </c>
      <c r="E154" t="s">
        <v>108</v>
      </c>
      <c r="F154" t="s">
        <v>897</v>
      </c>
      <c r="G154" s="4" t="s">
        <v>898</v>
      </c>
      <c r="H154" s="6" t="s">
        <v>47</v>
      </c>
      <c r="J154" t="b">
        <v>0</v>
      </c>
      <c r="L154" t="str">
        <f t="shared" si="2"/>
        <v/>
      </c>
    </row>
    <row r="155" spans="1:12" ht="229.5" hidden="1">
      <c r="A155" t="s">
        <v>899</v>
      </c>
      <c r="B155" t="s">
        <v>900</v>
      </c>
      <c r="C155" t="s">
        <v>901</v>
      </c>
      <c r="D155" t="s">
        <v>902</v>
      </c>
      <c r="E155" t="s">
        <v>108</v>
      </c>
      <c r="F155" t="s">
        <v>903</v>
      </c>
      <c r="G155" s="4" t="s">
        <v>904</v>
      </c>
      <c r="H155" s="6" t="s">
        <v>47</v>
      </c>
      <c r="J155" t="b">
        <v>0</v>
      </c>
      <c r="L155" t="str">
        <f t="shared" si="2"/>
        <v/>
      </c>
    </row>
    <row r="156" spans="1:12" ht="167.25" hidden="1">
      <c r="A156" t="s">
        <v>905</v>
      </c>
      <c r="B156" t="s">
        <v>906</v>
      </c>
      <c r="C156" t="s">
        <v>907</v>
      </c>
      <c r="D156" t="s">
        <v>908</v>
      </c>
      <c r="E156" t="s">
        <v>149</v>
      </c>
      <c r="F156" t="s">
        <v>909</v>
      </c>
      <c r="G156" s="4" t="s">
        <v>910</v>
      </c>
      <c r="H156" s="6" t="s">
        <v>47</v>
      </c>
      <c r="J156" t="b">
        <v>0</v>
      </c>
      <c r="L156" t="str">
        <f t="shared" si="2"/>
        <v/>
      </c>
    </row>
    <row r="157" spans="1:12" ht="198" hidden="1">
      <c r="A157" t="s">
        <v>911</v>
      </c>
      <c r="B157" t="s">
        <v>912</v>
      </c>
      <c r="C157" t="s">
        <v>913</v>
      </c>
      <c r="D157" t="s">
        <v>914</v>
      </c>
      <c r="E157" t="s">
        <v>71</v>
      </c>
      <c r="F157" t="s">
        <v>915</v>
      </c>
      <c r="G157" s="4" t="s">
        <v>916</v>
      </c>
      <c r="H157" s="6" t="s">
        <v>47</v>
      </c>
      <c r="J157" t="b">
        <v>0</v>
      </c>
      <c r="L157" t="str">
        <f t="shared" si="2"/>
        <v/>
      </c>
    </row>
    <row r="158" spans="1:12" ht="183" hidden="1">
      <c r="A158" t="s">
        <v>917</v>
      </c>
      <c r="B158" t="s">
        <v>918</v>
      </c>
      <c r="C158" t="s">
        <v>919</v>
      </c>
      <c r="D158" t="s">
        <v>920</v>
      </c>
      <c r="E158" t="s">
        <v>95</v>
      </c>
      <c r="F158" t="s">
        <v>18</v>
      </c>
      <c r="G158" s="4" t="s">
        <v>921</v>
      </c>
      <c r="H158" s="6" t="s">
        <v>47</v>
      </c>
      <c r="J158" t="b">
        <v>0</v>
      </c>
      <c r="L158" t="str">
        <f t="shared" si="2"/>
        <v/>
      </c>
    </row>
    <row r="159" spans="1:12" ht="152.25" hidden="1">
      <c r="A159" t="s">
        <v>922</v>
      </c>
      <c r="B159" t="s">
        <v>923</v>
      </c>
      <c r="C159" t="s">
        <v>924</v>
      </c>
      <c r="D159" t="s">
        <v>925</v>
      </c>
      <c r="E159" t="s">
        <v>24</v>
      </c>
      <c r="F159" t="s">
        <v>926</v>
      </c>
      <c r="G159" s="4" t="s">
        <v>927</v>
      </c>
      <c r="H159" s="6" t="s">
        <v>47</v>
      </c>
      <c r="J159" t="b">
        <v>0</v>
      </c>
      <c r="L159" t="str">
        <f t="shared" si="2"/>
        <v/>
      </c>
    </row>
    <row r="160" spans="1:12" ht="244.5" hidden="1">
      <c r="A160" t="s">
        <v>928</v>
      </c>
      <c r="B160" t="s">
        <v>929</v>
      </c>
      <c r="C160" t="s">
        <v>930</v>
      </c>
      <c r="D160" t="s">
        <v>931</v>
      </c>
      <c r="E160" t="s">
        <v>149</v>
      </c>
      <c r="F160" t="s">
        <v>932</v>
      </c>
      <c r="G160" s="4" t="s">
        <v>933</v>
      </c>
      <c r="H160" s="6" t="s">
        <v>47</v>
      </c>
      <c r="J160" t="b">
        <v>0</v>
      </c>
      <c r="L160" t="str">
        <f t="shared" si="2"/>
        <v/>
      </c>
    </row>
    <row r="161" spans="1:15" ht="183" hidden="1">
      <c r="A161" t="s">
        <v>934</v>
      </c>
      <c r="B161" t="s">
        <v>935</v>
      </c>
      <c r="C161" t="s">
        <v>936</v>
      </c>
      <c r="D161" t="s">
        <v>937</v>
      </c>
      <c r="E161" t="s">
        <v>31</v>
      </c>
      <c r="F161" t="s">
        <v>938</v>
      </c>
      <c r="G161" s="4" t="s">
        <v>939</v>
      </c>
      <c r="H161" s="6" t="s">
        <v>66</v>
      </c>
      <c r="J161" t="b">
        <v>1</v>
      </c>
      <c r="L161" t="str">
        <f t="shared" si="2"/>
        <v/>
      </c>
    </row>
    <row r="162" spans="1:15" ht="198" hidden="1">
      <c r="A162" t="s">
        <v>940</v>
      </c>
      <c r="B162" t="s">
        <v>941</v>
      </c>
      <c r="C162" t="s">
        <v>942</v>
      </c>
      <c r="D162" t="s">
        <v>943</v>
      </c>
      <c r="E162" t="s">
        <v>38</v>
      </c>
      <c r="F162" t="s">
        <v>944</v>
      </c>
      <c r="G162" s="4" t="s">
        <v>945</v>
      </c>
      <c r="H162" s="6" t="s">
        <v>47</v>
      </c>
      <c r="J162" t="b">
        <v>0</v>
      </c>
      <c r="L162" t="str">
        <f t="shared" si="2"/>
        <v/>
      </c>
    </row>
    <row r="163" spans="1:15" ht="152.25" hidden="1">
      <c r="A163" t="s">
        <v>946</v>
      </c>
      <c r="B163" t="s">
        <v>947</v>
      </c>
      <c r="C163" t="s">
        <v>948</v>
      </c>
      <c r="D163" t="s">
        <v>949</v>
      </c>
      <c r="E163" t="s">
        <v>24</v>
      </c>
      <c r="F163" t="s">
        <v>950</v>
      </c>
      <c r="G163" s="4" t="s">
        <v>951</v>
      </c>
      <c r="H163" s="6" t="s">
        <v>47</v>
      </c>
      <c r="J163" t="b">
        <v>0</v>
      </c>
      <c r="L163" t="str">
        <f t="shared" si="2"/>
        <v/>
      </c>
    </row>
    <row r="164" spans="1:15" ht="152.25" hidden="1">
      <c r="A164" t="s">
        <v>952</v>
      </c>
      <c r="B164" t="s">
        <v>953</v>
      </c>
      <c r="C164" t="s">
        <v>954</v>
      </c>
      <c r="D164" t="s">
        <v>955</v>
      </c>
      <c r="E164" t="s">
        <v>149</v>
      </c>
      <c r="F164" t="s">
        <v>956</v>
      </c>
      <c r="G164" s="4" t="s">
        <v>957</v>
      </c>
      <c r="H164" s="6" t="s">
        <v>47</v>
      </c>
      <c r="J164" t="b">
        <v>0</v>
      </c>
      <c r="L164" t="str">
        <f t="shared" si="2"/>
        <v/>
      </c>
    </row>
    <row r="165" spans="1:15" ht="152.25" hidden="1">
      <c r="A165" t="s">
        <v>958</v>
      </c>
      <c r="B165" t="s">
        <v>959</v>
      </c>
      <c r="C165" t="s">
        <v>960</v>
      </c>
      <c r="D165" t="s">
        <v>961</v>
      </c>
      <c r="E165" t="s">
        <v>24</v>
      </c>
      <c r="F165" t="s">
        <v>962</v>
      </c>
      <c r="G165" s="4" t="s">
        <v>963</v>
      </c>
      <c r="H165" s="6" t="s">
        <v>47</v>
      </c>
      <c r="J165" t="b">
        <v>0</v>
      </c>
      <c r="L165" t="str">
        <f t="shared" si="2"/>
        <v/>
      </c>
    </row>
    <row r="166" spans="1:15" ht="213" hidden="1">
      <c r="A166" t="s">
        <v>964</v>
      </c>
      <c r="B166" t="s">
        <v>965</v>
      </c>
      <c r="C166" t="s">
        <v>966</v>
      </c>
      <c r="D166" t="s">
        <v>967</v>
      </c>
      <c r="E166" t="s">
        <v>71</v>
      </c>
      <c r="F166" t="s">
        <v>968</v>
      </c>
      <c r="G166" s="4" t="s">
        <v>969</v>
      </c>
      <c r="H166" s="6" t="s">
        <v>47</v>
      </c>
      <c r="J166" t="b">
        <v>0</v>
      </c>
      <c r="L166" t="str">
        <f t="shared" si="2"/>
        <v/>
      </c>
    </row>
    <row r="167" spans="1:15" ht="137.25" hidden="1">
      <c r="A167" t="s">
        <v>970</v>
      </c>
      <c r="B167" t="s">
        <v>971</v>
      </c>
      <c r="C167" t="s">
        <v>972</v>
      </c>
      <c r="D167" t="s">
        <v>973</v>
      </c>
      <c r="E167" t="s">
        <v>31</v>
      </c>
      <c r="F167" t="s">
        <v>974</v>
      </c>
      <c r="G167" s="4" t="s">
        <v>975</v>
      </c>
      <c r="H167" s="6" t="s">
        <v>66</v>
      </c>
      <c r="J167" t="b">
        <v>1</v>
      </c>
      <c r="K167" t="s">
        <v>976</v>
      </c>
      <c r="L167" t="str">
        <f t="shared" si="2"/>
        <v/>
      </c>
    </row>
    <row r="168" spans="1:15" ht="198" hidden="1">
      <c r="A168" t="s">
        <v>977</v>
      </c>
      <c r="B168" t="s">
        <v>978</v>
      </c>
      <c r="C168" t="s">
        <v>979</v>
      </c>
      <c r="D168" t="s">
        <v>980</v>
      </c>
      <c r="E168" t="s">
        <v>24</v>
      </c>
      <c r="F168" t="s">
        <v>981</v>
      </c>
      <c r="G168" s="4" t="s">
        <v>982</v>
      </c>
      <c r="H168" s="6" t="s">
        <v>47</v>
      </c>
      <c r="J168" t="b">
        <v>0</v>
      </c>
      <c r="L168" t="str">
        <f t="shared" si="2"/>
        <v/>
      </c>
    </row>
    <row r="169" spans="1:15" ht="244.5" hidden="1">
      <c r="A169" t="s">
        <v>983</v>
      </c>
      <c r="B169" t="s">
        <v>984</v>
      </c>
      <c r="C169" t="s">
        <v>985</v>
      </c>
      <c r="D169" t="s">
        <v>986</v>
      </c>
      <c r="E169" t="s">
        <v>190</v>
      </c>
      <c r="F169" t="s">
        <v>987</v>
      </c>
      <c r="G169" s="4" t="s">
        <v>988</v>
      </c>
      <c r="H169" s="6" t="s">
        <v>66</v>
      </c>
      <c r="J169" t="b">
        <v>1</v>
      </c>
      <c r="L169" t="str">
        <f t="shared" si="2"/>
        <v/>
      </c>
    </row>
    <row r="170" spans="1:15" ht="183" hidden="1">
      <c r="A170" t="s">
        <v>989</v>
      </c>
      <c r="B170" t="s">
        <v>990</v>
      </c>
      <c r="C170" t="s">
        <v>991</v>
      </c>
      <c r="D170" t="s">
        <v>992</v>
      </c>
      <c r="E170" t="s">
        <v>31</v>
      </c>
      <c r="F170" t="s">
        <v>993</v>
      </c>
      <c r="G170" s="4" t="s">
        <v>994</v>
      </c>
      <c r="H170" s="6" t="s">
        <v>47</v>
      </c>
      <c r="J170" t="b">
        <v>0</v>
      </c>
      <c r="L170" t="str">
        <f t="shared" si="2"/>
        <v/>
      </c>
    </row>
    <row r="171" spans="1:15" ht="244.5" hidden="1">
      <c r="A171" t="s">
        <v>995</v>
      </c>
      <c r="B171" t="s">
        <v>996</v>
      </c>
      <c r="C171" t="s">
        <v>997</v>
      </c>
      <c r="D171" t="s">
        <v>998</v>
      </c>
      <c r="E171" t="s">
        <v>190</v>
      </c>
      <c r="F171" t="s">
        <v>18</v>
      </c>
      <c r="G171" s="4" t="s">
        <v>999</v>
      </c>
      <c r="H171" s="6" t="s">
        <v>47</v>
      </c>
      <c r="J171" t="b">
        <v>0</v>
      </c>
      <c r="L171" t="str">
        <f t="shared" si="2"/>
        <v/>
      </c>
    </row>
    <row r="172" spans="1:15" ht="198" hidden="1">
      <c r="A172" t="s">
        <v>1000</v>
      </c>
      <c r="B172" t="s">
        <v>1001</v>
      </c>
      <c r="C172" t="s">
        <v>1002</v>
      </c>
      <c r="D172" t="s">
        <v>1003</v>
      </c>
      <c r="E172" t="s">
        <v>71</v>
      </c>
      <c r="F172" t="s">
        <v>1004</v>
      </c>
      <c r="G172" s="4" t="s">
        <v>1005</v>
      </c>
      <c r="H172" s="6" t="s">
        <v>47</v>
      </c>
      <c r="J172" t="b">
        <v>0</v>
      </c>
      <c r="L172" t="str">
        <f t="shared" si="2"/>
        <v/>
      </c>
    </row>
    <row r="173" spans="1:15" ht="183" hidden="1">
      <c r="A173" t="s">
        <v>1006</v>
      </c>
      <c r="B173" t="s">
        <v>1007</v>
      </c>
      <c r="C173" t="s">
        <v>1008</v>
      </c>
      <c r="D173" t="s">
        <v>1009</v>
      </c>
      <c r="E173" t="s">
        <v>24</v>
      </c>
      <c r="F173" t="s">
        <v>1010</v>
      </c>
      <c r="G173" s="4" t="s">
        <v>1011</v>
      </c>
      <c r="H173" s="6" t="s">
        <v>47</v>
      </c>
      <c r="J173" t="b">
        <v>0</v>
      </c>
      <c r="L173" t="str">
        <f t="shared" si="2"/>
        <v/>
      </c>
    </row>
    <row r="174" spans="1:15" ht="167.25" hidden="1">
      <c r="A174" t="s">
        <v>1012</v>
      </c>
      <c r="B174" t="s">
        <v>1013</v>
      </c>
      <c r="C174" t="s">
        <v>1014</v>
      </c>
      <c r="D174" t="s">
        <v>1015</v>
      </c>
      <c r="E174" t="s">
        <v>190</v>
      </c>
      <c r="F174" t="s">
        <v>18</v>
      </c>
      <c r="G174" s="4" t="s">
        <v>1016</v>
      </c>
      <c r="H174" s="6" t="s">
        <v>66</v>
      </c>
      <c r="J174" t="b">
        <v>1</v>
      </c>
      <c r="L174" t="str">
        <f t="shared" si="2"/>
        <v/>
      </c>
    </row>
    <row r="175" spans="1:15" ht="167.25">
      <c r="A175" t="s">
        <v>1017</v>
      </c>
      <c r="B175" t="s">
        <v>1018</v>
      </c>
      <c r="C175" t="s">
        <v>1019</v>
      </c>
      <c r="D175" t="s">
        <v>1020</v>
      </c>
      <c r="E175" t="s">
        <v>190</v>
      </c>
      <c r="F175" t="s">
        <v>18</v>
      </c>
      <c r="G175" s="4" t="s">
        <v>1021</v>
      </c>
      <c r="H175" s="6" t="s">
        <v>66</v>
      </c>
      <c r="J175" t="b">
        <v>0</v>
      </c>
      <c r="K175" t="s">
        <v>1022</v>
      </c>
      <c r="L175" t="str">
        <f t="shared" si="2"/>
        <v>!!!</v>
      </c>
      <c r="O175" t="b">
        <f>J175</f>
        <v>0</v>
      </c>
    </row>
    <row r="176" spans="1:15" ht="183" hidden="1">
      <c r="A176" t="s">
        <v>1023</v>
      </c>
      <c r="B176" t="s">
        <v>1024</v>
      </c>
      <c r="C176" t="s">
        <v>1025</v>
      </c>
      <c r="D176" t="s">
        <v>1026</v>
      </c>
      <c r="E176" t="s">
        <v>31</v>
      </c>
      <c r="F176" t="s">
        <v>1027</v>
      </c>
      <c r="G176" s="4" t="s">
        <v>1028</v>
      </c>
      <c r="H176" s="6" t="s">
        <v>66</v>
      </c>
      <c r="J176" t="b">
        <v>1</v>
      </c>
      <c r="L176" t="str">
        <f t="shared" si="2"/>
        <v/>
      </c>
    </row>
    <row r="177" spans="1:15" ht="229.5" hidden="1">
      <c r="A177" t="s">
        <v>1029</v>
      </c>
      <c r="B177" t="s">
        <v>1030</v>
      </c>
      <c r="C177" t="s">
        <v>1031</v>
      </c>
      <c r="D177" t="s">
        <v>1032</v>
      </c>
      <c r="E177" t="s">
        <v>71</v>
      </c>
      <c r="F177" t="s">
        <v>1033</v>
      </c>
      <c r="G177" s="4" t="s">
        <v>1034</v>
      </c>
      <c r="H177" s="6" t="s">
        <v>66</v>
      </c>
      <c r="J177" t="b">
        <v>1</v>
      </c>
      <c r="L177" t="str">
        <f t="shared" si="2"/>
        <v/>
      </c>
    </row>
    <row r="178" spans="1:15" ht="106.5" hidden="1">
      <c r="A178" t="s">
        <v>1035</v>
      </c>
      <c r="B178" t="s">
        <v>1036</v>
      </c>
      <c r="C178" t="s">
        <v>1037</v>
      </c>
      <c r="D178" t="s">
        <v>1038</v>
      </c>
      <c r="E178" t="s">
        <v>95</v>
      </c>
      <c r="F178" t="s">
        <v>1039</v>
      </c>
      <c r="G178" s="4" t="s">
        <v>1040</v>
      </c>
      <c r="H178" s="6" t="s">
        <v>47</v>
      </c>
      <c r="I178" t="s">
        <v>250</v>
      </c>
      <c r="J178" t="b">
        <v>0</v>
      </c>
      <c r="L178" t="str">
        <f t="shared" si="2"/>
        <v/>
      </c>
    </row>
    <row r="179" spans="1:15" ht="152.25" hidden="1">
      <c r="A179" t="s">
        <v>1041</v>
      </c>
      <c r="B179" t="s">
        <v>1042</v>
      </c>
      <c r="C179" t="s">
        <v>1043</v>
      </c>
      <c r="D179" t="s">
        <v>1044</v>
      </c>
      <c r="E179" t="s">
        <v>31</v>
      </c>
      <c r="F179" t="s">
        <v>18</v>
      </c>
      <c r="G179" s="4" t="s">
        <v>1045</v>
      </c>
      <c r="H179" s="6" t="s">
        <v>47</v>
      </c>
      <c r="J179" t="b">
        <v>0</v>
      </c>
      <c r="L179" t="str">
        <f t="shared" si="2"/>
        <v/>
      </c>
    </row>
    <row r="180" spans="1:15" ht="229.5" hidden="1">
      <c r="A180" t="s">
        <v>1046</v>
      </c>
      <c r="B180" t="s">
        <v>1047</v>
      </c>
      <c r="C180" t="s">
        <v>1048</v>
      </c>
      <c r="D180" t="s">
        <v>1049</v>
      </c>
      <c r="E180" t="s">
        <v>190</v>
      </c>
      <c r="F180" t="s">
        <v>18</v>
      </c>
      <c r="G180" s="4" t="s">
        <v>1050</v>
      </c>
      <c r="H180" s="6" t="s">
        <v>66</v>
      </c>
      <c r="I180" t="s">
        <v>250</v>
      </c>
      <c r="J180" t="b">
        <v>1</v>
      </c>
      <c r="K180" t="s">
        <v>1051</v>
      </c>
      <c r="L180" t="str">
        <f t="shared" si="2"/>
        <v/>
      </c>
    </row>
    <row r="181" spans="1:15" ht="213" hidden="1">
      <c r="A181" t="s">
        <v>1052</v>
      </c>
      <c r="B181" t="s">
        <v>1053</v>
      </c>
      <c r="C181" t="s">
        <v>1054</v>
      </c>
      <c r="D181" t="s">
        <v>1055</v>
      </c>
      <c r="E181" t="s">
        <v>190</v>
      </c>
      <c r="F181" t="s">
        <v>18</v>
      </c>
      <c r="G181" s="4" t="s">
        <v>1056</v>
      </c>
      <c r="H181" s="6" t="s">
        <v>47</v>
      </c>
      <c r="J181" t="b">
        <v>0</v>
      </c>
      <c r="L181" t="str">
        <f t="shared" si="2"/>
        <v/>
      </c>
    </row>
    <row r="182" spans="1:15" ht="229.5" hidden="1">
      <c r="A182" t="s">
        <v>1057</v>
      </c>
      <c r="B182" t="s">
        <v>1058</v>
      </c>
      <c r="C182" t="s">
        <v>1059</v>
      </c>
      <c r="D182" t="s">
        <v>1060</v>
      </c>
      <c r="E182" t="s">
        <v>38</v>
      </c>
      <c r="F182" t="s">
        <v>1061</v>
      </c>
      <c r="G182" s="4" t="s">
        <v>1062</v>
      </c>
      <c r="H182" s="6" t="s">
        <v>47</v>
      </c>
      <c r="J182" t="b">
        <v>0</v>
      </c>
      <c r="L182" t="str">
        <f t="shared" si="2"/>
        <v/>
      </c>
    </row>
    <row r="183" spans="1:15" ht="137.25" hidden="1">
      <c r="A183" t="s">
        <v>1063</v>
      </c>
      <c r="B183" t="s">
        <v>1064</v>
      </c>
      <c r="C183" t="s">
        <v>1065</v>
      </c>
      <c r="D183" t="s">
        <v>1066</v>
      </c>
      <c r="E183" t="s">
        <v>31</v>
      </c>
      <c r="F183" t="s">
        <v>18</v>
      </c>
      <c r="G183" s="4" t="s">
        <v>1067</v>
      </c>
      <c r="H183" s="6" t="s">
        <v>47</v>
      </c>
      <c r="J183" t="b">
        <v>0</v>
      </c>
      <c r="L183" t="str">
        <f t="shared" si="2"/>
        <v/>
      </c>
    </row>
    <row r="184" spans="1:15" ht="106.5" hidden="1">
      <c r="A184" t="s">
        <v>1068</v>
      </c>
      <c r="B184" t="s">
        <v>1069</v>
      </c>
      <c r="C184" t="s">
        <v>1070</v>
      </c>
      <c r="D184" t="s">
        <v>1071</v>
      </c>
      <c r="E184" t="s">
        <v>17</v>
      </c>
      <c r="F184" t="s">
        <v>18</v>
      </c>
      <c r="G184" s="4" t="s">
        <v>1072</v>
      </c>
      <c r="H184" s="6" t="s">
        <v>66</v>
      </c>
      <c r="J184" t="b">
        <v>1</v>
      </c>
      <c r="L184" t="str">
        <f t="shared" si="2"/>
        <v/>
      </c>
    </row>
    <row r="185" spans="1:15" ht="213" hidden="1">
      <c r="A185" t="s">
        <v>1073</v>
      </c>
      <c r="B185" t="s">
        <v>1074</v>
      </c>
      <c r="C185" t="s">
        <v>1075</v>
      </c>
      <c r="D185" t="s">
        <v>1076</v>
      </c>
      <c r="E185" t="s">
        <v>190</v>
      </c>
      <c r="F185" t="s">
        <v>18</v>
      </c>
      <c r="G185" s="4" t="s">
        <v>1077</v>
      </c>
      <c r="H185" s="6" t="s">
        <v>66</v>
      </c>
      <c r="J185" t="b">
        <v>1</v>
      </c>
      <c r="L185" t="str">
        <f t="shared" si="2"/>
        <v/>
      </c>
    </row>
    <row r="186" spans="1:15" ht="198" hidden="1">
      <c r="A186" t="s">
        <v>1078</v>
      </c>
      <c r="B186" t="s">
        <v>1079</v>
      </c>
      <c r="C186" t="s">
        <v>1080</v>
      </c>
      <c r="D186" t="s">
        <v>1081</v>
      </c>
      <c r="E186" t="s">
        <v>71</v>
      </c>
      <c r="F186" t="s">
        <v>1082</v>
      </c>
      <c r="G186" s="4" t="s">
        <v>1083</v>
      </c>
      <c r="H186" s="6" t="s">
        <v>47</v>
      </c>
      <c r="J186" t="b">
        <v>0</v>
      </c>
      <c r="L186" t="str">
        <f t="shared" si="2"/>
        <v/>
      </c>
    </row>
    <row r="187" spans="1:15" ht="244.5" hidden="1">
      <c r="A187" t="s">
        <v>1084</v>
      </c>
      <c r="B187" t="s">
        <v>1085</v>
      </c>
      <c r="C187" t="s">
        <v>1086</v>
      </c>
      <c r="D187" t="s">
        <v>1087</v>
      </c>
      <c r="E187" t="s">
        <v>95</v>
      </c>
      <c r="F187" t="s">
        <v>18</v>
      </c>
      <c r="G187" s="4" t="s">
        <v>1088</v>
      </c>
      <c r="H187" s="6" t="s">
        <v>66</v>
      </c>
      <c r="J187" t="b">
        <v>1</v>
      </c>
      <c r="L187" t="str">
        <f t="shared" si="2"/>
        <v/>
      </c>
    </row>
    <row r="188" spans="1:15" ht="137.25" hidden="1">
      <c r="A188" t="s">
        <v>1089</v>
      </c>
      <c r="B188" t="s">
        <v>1090</v>
      </c>
      <c r="C188" t="s">
        <v>1091</v>
      </c>
      <c r="D188" t="s">
        <v>1092</v>
      </c>
      <c r="E188" t="s">
        <v>17</v>
      </c>
      <c r="F188" t="s">
        <v>18</v>
      </c>
      <c r="G188" s="4" t="s">
        <v>1093</v>
      </c>
      <c r="H188" s="6" t="s">
        <v>66</v>
      </c>
      <c r="J188" t="b">
        <v>1</v>
      </c>
      <c r="L188" t="str">
        <f t="shared" si="2"/>
        <v/>
      </c>
    </row>
    <row r="189" spans="1:15" ht="213" hidden="1">
      <c r="A189" t="s">
        <v>1094</v>
      </c>
      <c r="B189" t="s">
        <v>1095</v>
      </c>
      <c r="C189" t="s">
        <v>1096</v>
      </c>
      <c r="D189" t="s">
        <v>1097</v>
      </c>
      <c r="E189" t="s">
        <v>71</v>
      </c>
      <c r="F189" t="s">
        <v>1098</v>
      </c>
      <c r="G189" s="4" t="s">
        <v>1099</v>
      </c>
      <c r="H189" s="6" t="s">
        <v>47</v>
      </c>
      <c r="J189" t="b">
        <v>0</v>
      </c>
      <c r="L189" t="str">
        <f t="shared" si="2"/>
        <v/>
      </c>
    </row>
    <row r="190" spans="1:15" ht="321" hidden="1">
      <c r="A190" t="s">
        <v>1100</v>
      </c>
      <c r="B190" t="s">
        <v>1101</v>
      </c>
      <c r="C190" t="s">
        <v>1102</v>
      </c>
      <c r="D190" t="s">
        <v>1103</v>
      </c>
      <c r="E190" t="s">
        <v>1104</v>
      </c>
      <c r="F190" t="s">
        <v>18</v>
      </c>
      <c r="G190" s="4" t="s">
        <v>1105</v>
      </c>
      <c r="H190" s="6" t="s">
        <v>66</v>
      </c>
      <c r="J190" t="b">
        <v>1</v>
      </c>
      <c r="L190" t="str">
        <f t="shared" si="2"/>
        <v/>
      </c>
    </row>
    <row r="191" spans="1:15" ht="167.25" hidden="1">
      <c r="A191" t="s">
        <v>1106</v>
      </c>
      <c r="B191" t="s">
        <v>1107</v>
      </c>
      <c r="C191" t="s">
        <v>1108</v>
      </c>
      <c r="D191" t="s">
        <v>1109</v>
      </c>
      <c r="E191" t="s">
        <v>31</v>
      </c>
      <c r="F191" t="s">
        <v>1110</v>
      </c>
      <c r="G191" s="4" t="s">
        <v>1111</v>
      </c>
      <c r="H191" s="6" t="s">
        <v>47</v>
      </c>
      <c r="J191" t="b">
        <v>0</v>
      </c>
      <c r="L191" t="str">
        <f t="shared" si="2"/>
        <v/>
      </c>
    </row>
    <row r="192" spans="1:15" ht="106.5">
      <c r="A192" t="s">
        <v>1112</v>
      </c>
      <c r="B192" t="s">
        <v>1113</v>
      </c>
      <c r="C192" t="s">
        <v>1114</v>
      </c>
      <c r="D192" t="s">
        <v>1115</v>
      </c>
      <c r="E192" t="s">
        <v>17</v>
      </c>
      <c r="F192" t="s">
        <v>18</v>
      </c>
      <c r="G192" s="4" t="s">
        <v>1116</v>
      </c>
      <c r="H192" s="6" t="s">
        <v>66</v>
      </c>
      <c r="I192" t="s">
        <v>1117</v>
      </c>
      <c r="J192" t="b">
        <v>0</v>
      </c>
      <c r="K192" t="s">
        <v>1118</v>
      </c>
      <c r="L192" t="str">
        <f t="shared" si="2"/>
        <v>!!!</v>
      </c>
      <c r="O192" t="b">
        <f>J192</f>
        <v>0</v>
      </c>
    </row>
    <row r="193" spans="1:15" ht="183" hidden="1">
      <c r="A193" t="s">
        <v>1119</v>
      </c>
      <c r="B193" t="s">
        <v>1120</v>
      </c>
      <c r="C193" t="s">
        <v>1121</v>
      </c>
      <c r="D193" t="s">
        <v>1122</v>
      </c>
      <c r="E193" t="s">
        <v>24</v>
      </c>
      <c r="F193" t="s">
        <v>1123</v>
      </c>
      <c r="G193" s="4" t="s">
        <v>1124</v>
      </c>
      <c r="H193" s="6" t="s">
        <v>47</v>
      </c>
      <c r="J193" t="b">
        <v>0</v>
      </c>
      <c r="L193" t="str">
        <f t="shared" si="2"/>
        <v/>
      </c>
    </row>
    <row r="194" spans="1:15" ht="152.25" hidden="1">
      <c r="A194" t="s">
        <v>1125</v>
      </c>
      <c r="B194" t="s">
        <v>1126</v>
      </c>
      <c r="C194" t="s">
        <v>1127</v>
      </c>
      <c r="D194" t="s">
        <v>1128</v>
      </c>
      <c r="E194" t="s">
        <v>17</v>
      </c>
      <c r="F194" t="s">
        <v>18</v>
      </c>
      <c r="G194" s="4" t="s">
        <v>1129</v>
      </c>
      <c r="H194" s="6" t="s">
        <v>66</v>
      </c>
      <c r="I194" t="s">
        <v>250</v>
      </c>
      <c r="J194" t="b">
        <v>1</v>
      </c>
      <c r="L194" t="str">
        <f t="shared" si="2"/>
        <v/>
      </c>
    </row>
    <row r="195" spans="1:15" ht="167.25" hidden="1">
      <c r="A195" t="s">
        <v>1130</v>
      </c>
      <c r="B195" t="s">
        <v>1131</v>
      </c>
      <c r="C195" t="s">
        <v>1132</v>
      </c>
      <c r="D195" t="s">
        <v>1133</v>
      </c>
      <c r="E195" t="s">
        <v>24</v>
      </c>
      <c r="F195" t="s">
        <v>1134</v>
      </c>
      <c r="G195" s="4" t="s">
        <v>1135</v>
      </c>
      <c r="H195" s="6" t="s">
        <v>47</v>
      </c>
      <c r="J195" t="b">
        <v>0</v>
      </c>
      <c r="L195" t="str">
        <f t="shared" ref="L195:L258" si="3">IF(OR(H195="",J195=""),"",IF(TEXT(H195,"")&lt;&gt;TEXT(J195,""),"!!!",""))</f>
        <v/>
      </c>
    </row>
    <row r="196" spans="1:15" ht="167.25" hidden="1">
      <c r="A196" t="s">
        <v>1136</v>
      </c>
      <c r="B196" t="s">
        <v>1137</v>
      </c>
      <c r="C196" t="s">
        <v>1138</v>
      </c>
      <c r="D196" t="s">
        <v>1139</v>
      </c>
      <c r="E196" t="s">
        <v>95</v>
      </c>
      <c r="F196" t="s">
        <v>18</v>
      </c>
      <c r="G196" s="4" t="s">
        <v>1140</v>
      </c>
      <c r="H196" s="6" t="s">
        <v>66</v>
      </c>
      <c r="J196" t="b">
        <v>1</v>
      </c>
      <c r="L196" t="str">
        <f t="shared" si="3"/>
        <v/>
      </c>
    </row>
    <row r="197" spans="1:15" ht="137.25" hidden="1">
      <c r="A197" t="s">
        <v>1141</v>
      </c>
      <c r="B197" t="s">
        <v>1142</v>
      </c>
      <c r="C197" t="s">
        <v>1143</v>
      </c>
      <c r="D197" t="s">
        <v>1144</v>
      </c>
      <c r="E197" t="s">
        <v>17</v>
      </c>
      <c r="F197" t="s">
        <v>18</v>
      </c>
      <c r="G197" s="4" t="s">
        <v>1145</v>
      </c>
      <c r="H197" s="6" t="s">
        <v>47</v>
      </c>
      <c r="J197" t="b">
        <v>0</v>
      </c>
      <c r="L197" t="str">
        <f t="shared" si="3"/>
        <v/>
      </c>
    </row>
    <row r="198" spans="1:15" ht="229.5" hidden="1">
      <c r="A198" t="s">
        <v>1146</v>
      </c>
      <c r="B198" t="s">
        <v>1147</v>
      </c>
      <c r="C198" t="s">
        <v>1148</v>
      </c>
      <c r="D198" t="s">
        <v>1149</v>
      </c>
      <c r="E198" t="s">
        <v>95</v>
      </c>
      <c r="F198" t="s">
        <v>18</v>
      </c>
      <c r="G198" s="4" t="s">
        <v>1150</v>
      </c>
      <c r="H198" s="6" t="s">
        <v>47</v>
      </c>
      <c r="J198" t="b">
        <v>0</v>
      </c>
      <c r="L198" t="str">
        <f t="shared" si="3"/>
        <v/>
      </c>
    </row>
    <row r="199" spans="1:15" ht="76.5" hidden="1">
      <c r="A199" t="s">
        <v>1151</v>
      </c>
      <c r="B199" t="s">
        <v>1152</v>
      </c>
      <c r="C199" t="s">
        <v>1153</v>
      </c>
      <c r="D199" t="s">
        <v>1154</v>
      </c>
      <c r="E199" t="s">
        <v>17</v>
      </c>
      <c r="F199" t="s">
        <v>18</v>
      </c>
      <c r="G199" s="4" t="s">
        <v>1155</v>
      </c>
      <c r="H199" s="6" t="s">
        <v>47</v>
      </c>
      <c r="J199" t="b">
        <v>0</v>
      </c>
      <c r="L199" t="str">
        <f t="shared" si="3"/>
        <v/>
      </c>
    </row>
    <row r="200" spans="1:15" ht="60.75" hidden="1">
      <c r="A200" t="s">
        <v>1156</v>
      </c>
      <c r="B200" t="s">
        <v>1157</v>
      </c>
      <c r="C200" t="s">
        <v>1158</v>
      </c>
      <c r="D200" t="s">
        <v>1159</v>
      </c>
      <c r="E200" t="s">
        <v>17</v>
      </c>
      <c r="F200" t="s">
        <v>18</v>
      </c>
      <c r="G200" s="4" t="s">
        <v>1160</v>
      </c>
      <c r="H200" s="6" t="s">
        <v>66</v>
      </c>
      <c r="I200" t="s">
        <v>666</v>
      </c>
      <c r="J200" t="b">
        <v>1</v>
      </c>
      <c r="L200" t="str">
        <f t="shared" si="3"/>
        <v/>
      </c>
    </row>
    <row r="201" spans="1:15" ht="91.5" hidden="1">
      <c r="A201" t="s">
        <v>1161</v>
      </c>
      <c r="B201" t="s">
        <v>1162</v>
      </c>
      <c r="C201" t="s">
        <v>1163</v>
      </c>
      <c r="D201" t="s">
        <v>1164</v>
      </c>
      <c r="E201" t="s">
        <v>17</v>
      </c>
      <c r="F201" t="s">
        <v>18</v>
      </c>
      <c r="G201" s="4" t="s">
        <v>1165</v>
      </c>
      <c r="H201" s="6" t="s">
        <v>47</v>
      </c>
      <c r="J201" t="b">
        <v>0</v>
      </c>
      <c r="L201" t="str">
        <f t="shared" si="3"/>
        <v/>
      </c>
    </row>
    <row r="202" spans="1:15" ht="167.25">
      <c r="A202" t="s">
        <v>1166</v>
      </c>
      <c r="B202" t="s">
        <v>1167</v>
      </c>
      <c r="C202" t="s">
        <v>1168</v>
      </c>
      <c r="D202" t="s">
        <v>1169</v>
      </c>
      <c r="E202" t="s">
        <v>24</v>
      </c>
      <c r="F202" t="s">
        <v>1170</v>
      </c>
      <c r="G202" s="4" t="s">
        <v>1171</v>
      </c>
      <c r="H202" s="6" t="s">
        <v>66</v>
      </c>
      <c r="I202" t="s">
        <v>1172</v>
      </c>
      <c r="J202" t="b">
        <v>0</v>
      </c>
      <c r="K202" t="s">
        <v>1173</v>
      </c>
      <c r="L202" t="str">
        <f t="shared" si="3"/>
        <v>!!!</v>
      </c>
      <c r="O202" t="b">
        <f>J202</f>
        <v>0</v>
      </c>
    </row>
    <row r="203" spans="1:15" ht="244.5" hidden="1">
      <c r="A203" t="s">
        <v>1174</v>
      </c>
      <c r="B203" t="s">
        <v>1175</v>
      </c>
      <c r="C203" t="s">
        <v>1176</v>
      </c>
      <c r="D203" t="s">
        <v>1177</v>
      </c>
      <c r="E203" t="s">
        <v>24</v>
      </c>
      <c r="F203" t="s">
        <v>1178</v>
      </c>
      <c r="G203" s="4" t="s">
        <v>1179</v>
      </c>
      <c r="H203" s="6" t="s">
        <v>47</v>
      </c>
      <c r="J203" t="b">
        <v>0</v>
      </c>
      <c r="L203" t="str">
        <f t="shared" si="3"/>
        <v/>
      </c>
    </row>
    <row r="204" spans="1:15" ht="229.5">
      <c r="A204" t="s">
        <v>1180</v>
      </c>
      <c r="B204" t="s">
        <v>1181</v>
      </c>
      <c r="C204" t="s">
        <v>1182</v>
      </c>
      <c r="D204" t="s">
        <v>1183</v>
      </c>
      <c r="E204" t="s">
        <v>71</v>
      </c>
      <c r="F204" t="s">
        <v>1184</v>
      </c>
      <c r="G204" s="4" t="s">
        <v>1185</v>
      </c>
      <c r="H204" s="6" t="s">
        <v>66</v>
      </c>
      <c r="J204" t="b">
        <v>0</v>
      </c>
      <c r="K204" t="s">
        <v>1186</v>
      </c>
      <c r="L204" t="str">
        <f t="shared" si="3"/>
        <v>!!!</v>
      </c>
      <c r="O204" t="b">
        <f>J204</f>
        <v>0</v>
      </c>
    </row>
    <row r="205" spans="1:15" ht="244.5" hidden="1">
      <c r="A205" t="s">
        <v>1187</v>
      </c>
      <c r="B205" t="s">
        <v>1188</v>
      </c>
      <c r="C205" t="s">
        <v>1189</v>
      </c>
      <c r="D205" t="s">
        <v>1190</v>
      </c>
      <c r="E205" t="s">
        <v>38</v>
      </c>
      <c r="F205" t="s">
        <v>18</v>
      </c>
      <c r="G205" s="4" t="s">
        <v>1191</v>
      </c>
      <c r="H205" s="6" t="s">
        <v>66</v>
      </c>
      <c r="J205" t="b">
        <v>1</v>
      </c>
      <c r="L205" t="str">
        <f t="shared" si="3"/>
        <v/>
      </c>
    </row>
    <row r="206" spans="1:15" ht="213" hidden="1">
      <c r="A206" t="s">
        <v>1192</v>
      </c>
      <c r="B206" t="s">
        <v>1193</v>
      </c>
      <c r="C206" t="s">
        <v>1194</v>
      </c>
      <c r="D206" t="s">
        <v>1195</v>
      </c>
      <c r="E206" t="s">
        <v>31</v>
      </c>
      <c r="F206" t="s">
        <v>1196</v>
      </c>
      <c r="G206" s="4" t="s">
        <v>1197</v>
      </c>
      <c r="H206" s="6" t="s">
        <v>66</v>
      </c>
      <c r="J206" t="b">
        <v>1</v>
      </c>
      <c r="L206" t="str">
        <f t="shared" si="3"/>
        <v/>
      </c>
    </row>
    <row r="207" spans="1:15" ht="198" hidden="1">
      <c r="A207" t="s">
        <v>1198</v>
      </c>
      <c r="B207" t="s">
        <v>1199</v>
      </c>
      <c r="C207" t="s">
        <v>1200</v>
      </c>
      <c r="D207" t="s">
        <v>1201</v>
      </c>
      <c r="E207" t="s">
        <v>31</v>
      </c>
      <c r="F207" t="s">
        <v>1202</v>
      </c>
      <c r="G207" s="4" t="s">
        <v>1203</v>
      </c>
      <c r="H207" s="6" t="s">
        <v>47</v>
      </c>
      <c r="J207" t="b">
        <v>0</v>
      </c>
      <c r="L207" t="str">
        <f t="shared" si="3"/>
        <v/>
      </c>
    </row>
    <row r="208" spans="1:15" ht="183" hidden="1">
      <c r="A208" t="s">
        <v>1204</v>
      </c>
      <c r="B208" t="s">
        <v>1205</v>
      </c>
      <c r="C208" t="s">
        <v>1206</v>
      </c>
      <c r="D208" t="s">
        <v>1207</v>
      </c>
      <c r="E208" t="s">
        <v>31</v>
      </c>
      <c r="F208" t="s">
        <v>1208</v>
      </c>
      <c r="G208" s="4" t="s">
        <v>1209</v>
      </c>
      <c r="H208" s="6" t="s">
        <v>47</v>
      </c>
      <c r="J208" t="b">
        <v>0</v>
      </c>
      <c r="L208" t="str">
        <f t="shared" si="3"/>
        <v/>
      </c>
    </row>
    <row r="209" spans="1:15" ht="213" hidden="1">
      <c r="A209" t="s">
        <v>1210</v>
      </c>
      <c r="B209" t="s">
        <v>1211</v>
      </c>
      <c r="C209" t="s">
        <v>1212</v>
      </c>
      <c r="D209" t="s">
        <v>1213</v>
      </c>
      <c r="E209" t="s">
        <v>190</v>
      </c>
      <c r="F209" t="s">
        <v>18</v>
      </c>
      <c r="G209" s="4" t="s">
        <v>1214</v>
      </c>
      <c r="H209" s="6" t="s">
        <v>47</v>
      </c>
      <c r="J209" t="b">
        <v>0</v>
      </c>
      <c r="L209" t="str">
        <f t="shared" si="3"/>
        <v/>
      </c>
    </row>
    <row r="210" spans="1:15" ht="183" hidden="1">
      <c r="A210" t="s">
        <v>1215</v>
      </c>
      <c r="B210" t="s">
        <v>1216</v>
      </c>
      <c r="C210" t="s">
        <v>1217</v>
      </c>
      <c r="D210" t="s">
        <v>1218</v>
      </c>
      <c r="E210" t="s">
        <v>95</v>
      </c>
      <c r="F210" t="s">
        <v>18</v>
      </c>
      <c r="G210" s="4" t="s">
        <v>1219</v>
      </c>
      <c r="H210" s="6" t="s">
        <v>66</v>
      </c>
      <c r="J210" t="b">
        <v>1</v>
      </c>
      <c r="L210" t="str">
        <f t="shared" si="3"/>
        <v/>
      </c>
    </row>
    <row r="211" spans="1:15" ht="183" hidden="1">
      <c r="A211" t="s">
        <v>1220</v>
      </c>
      <c r="B211" t="s">
        <v>1221</v>
      </c>
      <c r="C211" t="s">
        <v>1222</v>
      </c>
      <c r="D211" t="s">
        <v>1223</v>
      </c>
      <c r="E211" t="s">
        <v>17</v>
      </c>
      <c r="F211" t="s">
        <v>18</v>
      </c>
      <c r="G211" s="4" t="s">
        <v>1224</v>
      </c>
      <c r="H211" s="6" t="s">
        <v>66</v>
      </c>
      <c r="J211" t="b">
        <v>1</v>
      </c>
      <c r="K211" t="s">
        <v>1225</v>
      </c>
      <c r="L211" t="str">
        <f t="shared" si="3"/>
        <v/>
      </c>
    </row>
    <row r="212" spans="1:15" ht="198">
      <c r="A212" t="s">
        <v>1226</v>
      </c>
      <c r="B212" t="s">
        <v>1227</v>
      </c>
      <c r="C212" t="s">
        <v>1228</v>
      </c>
      <c r="D212" t="s">
        <v>1229</v>
      </c>
      <c r="E212" t="s">
        <v>24</v>
      </c>
      <c r="F212" t="s">
        <v>1230</v>
      </c>
      <c r="G212" s="4" t="s">
        <v>1231</v>
      </c>
      <c r="H212" s="6" t="s">
        <v>66</v>
      </c>
      <c r="I212" t="s">
        <v>1117</v>
      </c>
      <c r="J212" t="b">
        <v>0</v>
      </c>
      <c r="K212" t="s">
        <v>1232</v>
      </c>
      <c r="L212" t="str">
        <f t="shared" si="3"/>
        <v>!!!</v>
      </c>
      <c r="O212" t="b">
        <f>J212</f>
        <v>0</v>
      </c>
    </row>
    <row r="213" spans="1:15" ht="198" hidden="1">
      <c r="A213" t="s">
        <v>1233</v>
      </c>
      <c r="B213" t="s">
        <v>1234</v>
      </c>
      <c r="C213" t="s">
        <v>1235</v>
      </c>
      <c r="D213" t="s">
        <v>1236</v>
      </c>
      <c r="E213" t="s">
        <v>31</v>
      </c>
      <c r="F213" t="s">
        <v>1237</v>
      </c>
      <c r="G213" s="4" t="s">
        <v>1238</v>
      </c>
      <c r="H213" s="6" t="s">
        <v>47</v>
      </c>
      <c r="J213" t="b">
        <v>0</v>
      </c>
      <c r="L213" t="str">
        <f t="shared" si="3"/>
        <v/>
      </c>
    </row>
    <row r="214" spans="1:15" ht="259.5" hidden="1">
      <c r="A214" t="s">
        <v>1239</v>
      </c>
      <c r="B214" t="s">
        <v>1240</v>
      </c>
      <c r="C214" t="s">
        <v>1241</v>
      </c>
      <c r="D214" t="s">
        <v>1242</v>
      </c>
      <c r="E214" t="s">
        <v>149</v>
      </c>
      <c r="F214" t="s">
        <v>1243</v>
      </c>
      <c r="G214" s="4" t="s">
        <v>1244</v>
      </c>
      <c r="H214" s="6" t="s">
        <v>47</v>
      </c>
      <c r="J214" t="b">
        <v>0</v>
      </c>
      <c r="L214" t="str">
        <f t="shared" si="3"/>
        <v/>
      </c>
    </row>
    <row r="215" spans="1:15" ht="198" hidden="1">
      <c r="A215" t="s">
        <v>1245</v>
      </c>
      <c r="B215" t="s">
        <v>1246</v>
      </c>
      <c r="C215" t="s">
        <v>1247</v>
      </c>
      <c r="D215" t="s">
        <v>1248</v>
      </c>
      <c r="E215" t="s">
        <v>31</v>
      </c>
      <c r="F215" t="s">
        <v>1249</v>
      </c>
      <c r="G215" s="4" t="s">
        <v>1250</v>
      </c>
      <c r="H215" s="6" t="s">
        <v>47</v>
      </c>
      <c r="J215" t="b">
        <v>0</v>
      </c>
      <c r="L215" t="str">
        <f t="shared" si="3"/>
        <v/>
      </c>
    </row>
    <row r="216" spans="1:15" ht="198" hidden="1">
      <c r="A216" t="s">
        <v>1251</v>
      </c>
      <c r="B216" t="s">
        <v>1252</v>
      </c>
      <c r="C216" t="s">
        <v>1253</v>
      </c>
      <c r="D216" t="s">
        <v>1254</v>
      </c>
      <c r="E216" t="s">
        <v>108</v>
      </c>
      <c r="F216" t="s">
        <v>1255</v>
      </c>
      <c r="G216" s="4" t="s">
        <v>1256</v>
      </c>
      <c r="H216" s="6" t="s">
        <v>47</v>
      </c>
      <c r="J216" t="b">
        <v>0</v>
      </c>
      <c r="L216" t="str">
        <f t="shared" si="3"/>
        <v/>
      </c>
    </row>
    <row r="217" spans="1:15" ht="121.5" hidden="1">
      <c r="A217" t="s">
        <v>1257</v>
      </c>
      <c r="B217" t="s">
        <v>1258</v>
      </c>
      <c r="C217" t="s">
        <v>1259</v>
      </c>
      <c r="D217" t="s">
        <v>1260</v>
      </c>
      <c r="E217" t="s">
        <v>17</v>
      </c>
      <c r="F217" t="s">
        <v>18</v>
      </c>
      <c r="G217" s="4" t="s">
        <v>1261</v>
      </c>
      <c r="H217" s="6" t="s">
        <v>47</v>
      </c>
      <c r="J217" t="b">
        <v>0</v>
      </c>
      <c r="L217" t="str">
        <f t="shared" si="3"/>
        <v/>
      </c>
    </row>
    <row r="218" spans="1:15" ht="137.25" hidden="1">
      <c r="A218" t="s">
        <v>1262</v>
      </c>
      <c r="B218" t="s">
        <v>1263</v>
      </c>
      <c r="C218" t="s">
        <v>1264</v>
      </c>
      <c r="D218" t="s">
        <v>1265</v>
      </c>
      <c r="E218" t="s">
        <v>71</v>
      </c>
      <c r="F218" t="s">
        <v>18</v>
      </c>
      <c r="G218" s="4" t="s">
        <v>1266</v>
      </c>
      <c r="H218" s="6" t="s">
        <v>47</v>
      </c>
      <c r="J218" t="b">
        <v>0</v>
      </c>
      <c r="L218" t="str">
        <f t="shared" si="3"/>
        <v/>
      </c>
    </row>
    <row r="219" spans="1:15" ht="183" hidden="1">
      <c r="A219" t="s">
        <v>1267</v>
      </c>
      <c r="B219" t="s">
        <v>1268</v>
      </c>
      <c r="C219" t="s">
        <v>1269</v>
      </c>
      <c r="D219" t="s">
        <v>1270</v>
      </c>
      <c r="E219" t="s">
        <v>31</v>
      </c>
      <c r="F219" t="s">
        <v>1271</v>
      </c>
      <c r="G219" s="4" t="s">
        <v>1272</v>
      </c>
      <c r="H219" s="6" t="s">
        <v>47</v>
      </c>
      <c r="J219" t="b">
        <v>0</v>
      </c>
      <c r="L219" t="str">
        <f t="shared" si="3"/>
        <v/>
      </c>
    </row>
    <row r="220" spans="1:15" ht="213" hidden="1">
      <c r="A220" t="s">
        <v>1273</v>
      </c>
      <c r="B220" t="s">
        <v>1274</v>
      </c>
      <c r="C220" t="s">
        <v>1275</v>
      </c>
      <c r="D220" t="s">
        <v>1276</v>
      </c>
      <c r="E220" t="s">
        <v>190</v>
      </c>
      <c r="F220" t="s">
        <v>18</v>
      </c>
      <c r="G220" s="4" t="s">
        <v>1277</v>
      </c>
      <c r="H220" s="6" t="s">
        <v>47</v>
      </c>
      <c r="J220" t="b">
        <v>0</v>
      </c>
      <c r="L220" t="str">
        <f t="shared" si="3"/>
        <v/>
      </c>
    </row>
    <row r="221" spans="1:15" ht="152.25" hidden="1">
      <c r="A221" t="s">
        <v>1278</v>
      </c>
      <c r="B221" t="s">
        <v>1279</v>
      </c>
      <c r="C221" t="s">
        <v>1280</v>
      </c>
      <c r="D221" t="s">
        <v>1281</v>
      </c>
      <c r="E221" t="s">
        <v>108</v>
      </c>
      <c r="F221" t="s">
        <v>1282</v>
      </c>
      <c r="G221" s="4" t="s">
        <v>1283</v>
      </c>
      <c r="H221" s="6" t="s">
        <v>47</v>
      </c>
      <c r="J221" t="b">
        <v>0</v>
      </c>
      <c r="L221" t="str">
        <f t="shared" si="3"/>
        <v/>
      </c>
    </row>
    <row r="222" spans="1:15" ht="152.25" hidden="1">
      <c r="A222" t="s">
        <v>1284</v>
      </c>
      <c r="B222" t="s">
        <v>1285</v>
      </c>
      <c r="C222" t="s">
        <v>1286</v>
      </c>
      <c r="D222" t="s">
        <v>1287</v>
      </c>
      <c r="E222" t="s">
        <v>108</v>
      </c>
      <c r="F222" t="s">
        <v>1288</v>
      </c>
      <c r="G222" s="4" t="s">
        <v>1289</v>
      </c>
      <c r="H222" s="6" t="s">
        <v>47</v>
      </c>
      <c r="J222" t="b">
        <v>0</v>
      </c>
      <c r="L222" t="str">
        <f t="shared" si="3"/>
        <v/>
      </c>
    </row>
    <row r="223" spans="1:15" ht="167.25" hidden="1">
      <c r="A223" t="s">
        <v>1290</v>
      </c>
      <c r="B223" t="s">
        <v>1291</v>
      </c>
      <c r="C223" t="s">
        <v>1292</v>
      </c>
      <c r="D223" t="s">
        <v>1293</v>
      </c>
      <c r="E223" t="s">
        <v>24</v>
      </c>
      <c r="F223" t="s">
        <v>1294</v>
      </c>
      <c r="G223" s="4" t="s">
        <v>1295</v>
      </c>
      <c r="H223" s="6" t="s">
        <v>47</v>
      </c>
      <c r="J223" t="b">
        <v>0</v>
      </c>
      <c r="L223" t="str">
        <f t="shared" si="3"/>
        <v/>
      </c>
    </row>
    <row r="224" spans="1:15" ht="198" hidden="1">
      <c r="A224" t="s">
        <v>1296</v>
      </c>
      <c r="B224" t="s">
        <v>1297</v>
      </c>
      <c r="C224" t="s">
        <v>1298</v>
      </c>
      <c r="D224" t="s">
        <v>1299</v>
      </c>
      <c r="E224" t="s">
        <v>190</v>
      </c>
      <c r="F224" t="s">
        <v>18</v>
      </c>
      <c r="G224" s="4" t="s">
        <v>1300</v>
      </c>
      <c r="H224" s="6" t="s">
        <v>66</v>
      </c>
      <c r="J224" t="b">
        <v>1</v>
      </c>
      <c r="L224" t="str">
        <f t="shared" si="3"/>
        <v/>
      </c>
    </row>
    <row r="225" spans="1:15" ht="167.25" hidden="1">
      <c r="A225" t="s">
        <v>1301</v>
      </c>
      <c r="B225" t="s">
        <v>1302</v>
      </c>
      <c r="C225" t="s">
        <v>1303</v>
      </c>
      <c r="D225" t="s">
        <v>1304</v>
      </c>
      <c r="E225" t="s">
        <v>24</v>
      </c>
      <c r="F225" t="s">
        <v>1305</v>
      </c>
      <c r="G225" s="4" t="s">
        <v>1306</v>
      </c>
      <c r="H225" s="6" t="s">
        <v>47</v>
      </c>
      <c r="J225" t="b">
        <v>0</v>
      </c>
      <c r="L225" t="str">
        <f t="shared" si="3"/>
        <v/>
      </c>
    </row>
    <row r="226" spans="1:15" ht="198" hidden="1">
      <c r="A226" t="s">
        <v>1307</v>
      </c>
      <c r="B226" t="s">
        <v>1308</v>
      </c>
      <c r="C226" t="s">
        <v>1309</v>
      </c>
      <c r="D226" t="s">
        <v>1310</v>
      </c>
      <c r="E226" t="s">
        <v>190</v>
      </c>
      <c r="F226" t="s">
        <v>18</v>
      </c>
      <c r="G226" s="4" t="s">
        <v>1311</v>
      </c>
      <c r="H226" s="6" t="s">
        <v>66</v>
      </c>
      <c r="J226" t="b">
        <v>1</v>
      </c>
      <c r="L226" t="str">
        <f t="shared" si="3"/>
        <v/>
      </c>
    </row>
    <row r="227" spans="1:15" ht="183">
      <c r="A227" t="s">
        <v>1312</v>
      </c>
      <c r="B227" t="s">
        <v>1313</v>
      </c>
      <c r="C227" t="s">
        <v>1314</v>
      </c>
      <c r="D227" t="s">
        <v>1315</v>
      </c>
      <c r="E227" t="s">
        <v>31</v>
      </c>
      <c r="F227" t="s">
        <v>1316</v>
      </c>
      <c r="G227" s="4" t="s">
        <v>1317</v>
      </c>
      <c r="H227" s="6" t="s">
        <v>66</v>
      </c>
      <c r="J227" t="b">
        <v>0</v>
      </c>
      <c r="K227" t="s">
        <v>1318</v>
      </c>
      <c r="L227" t="str">
        <f t="shared" si="3"/>
        <v>!!!</v>
      </c>
      <c r="O227" t="b">
        <f>J227</f>
        <v>0</v>
      </c>
    </row>
    <row r="228" spans="1:15" ht="167.25" hidden="1">
      <c r="A228" t="s">
        <v>1319</v>
      </c>
      <c r="B228" t="s">
        <v>1320</v>
      </c>
      <c r="C228" t="s">
        <v>1321</v>
      </c>
      <c r="D228" t="s">
        <v>1322</v>
      </c>
      <c r="E228" t="s">
        <v>71</v>
      </c>
      <c r="F228" t="s">
        <v>18</v>
      </c>
      <c r="G228" s="4" t="s">
        <v>1323</v>
      </c>
      <c r="H228" s="6" t="s">
        <v>47</v>
      </c>
      <c r="J228" t="b">
        <v>0</v>
      </c>
      <c r="L228" t="str">
        <f t="shared" si="3"/>
        <v/>
      </c>
    </row>
    <row r="229" spans="1:15" ht="121.5" hidden="1">
      <c r="A229" t="s">
        <v>1324</v>
      </c>
      <c r="B229" t="s">
        <v>1325</v>
      </c>
      <c r="C229" t="s">
        <v>1326</v>
      </c>
      <c r="D229" t="s">
        <v>1327</v>
      </c>
      <c r="E229" t="s">
        <v>31</v>
      </c>
      <c r="F229" t="s">
        <v>18</v>
      </c>
      <c r="G229" s="4" t="s">
        <v>1328</v>
      </c>
      <c r="H229" s="6" t="s">
        <v>47</v>
      </c>
      <c r="J229" t="b">
        <v>0</v>
      </c>
      <c r="L229" t="str">
        <f t="shared" si="3"/>
        <v/>
      </c>
    </row>
    <row r="230" spans="1:15" ht="213" hidden="1">
      <c r="A230" t="s">
        <v>1329</v>
      </c>
      <c r="B230" t="s">
        <v>1330</v>
      </c>
      <c r="C230" t="s">
        <v>1331</v>
      </c>
      <c r="D230" t="s">
        <v>1332</v>
      </c>
      <c r="E230" t="s">
        <v>71</v>
      </c>
      <c r="F230" t="s">
        <v>1333</v>
      </c>
      <c r="G230" s="4" t="s">
        <v>1334</v>
      </c>
      <c r="H230" s="6" t="s">
        <v>47</v>
      </c>
      <c r="J230" t="b">
        <v>0</v>
      </c>
      <c r="L230" t="str">
        <f t="shared" si="3"/>
        <v/>
      </c>
    </row>
    <row r="231" spans="1:15" ht="183" hidden="1">
      <c r="A231" t="s">
        <v>1335</v>
      </c>
      <c r="B231" t="s">
        <v>1336</v>
      </c>
      <c r="C231" t="s">
        <v>1337</v>
      </c>
      <c r="D231" t="s">
        <v>1338</v>
      </c>
      <c r="E231" t="s">
        <v>149</v>
      </c>
      <c r="F231" t="s">
        <v>1339</v>
      </c>
      <c r="G231" s="4" t="s">
        <v>1340</v>
      </c>
      <c r="H231" s="6" t="s">
        <v>47</v>
      </c>
      <c r="J231" t="b">
        <v>0</v>
      </c>
      <c r="L231" t="str">
        <f t="shared" si="3"/>
        <v/>
      </c>
    </row>
    <row r="232" spans="1:15" ht="198" hidden="1">
      <c r="A232" t="s">
        <v>1341</v>
      </c>
      <c r="B232" t="s">
        <v>1342</v>
      </c>
      <c r="C232" t="s">
        <v>1343</v>
      </c>
      <c r="D232" t="s">
        <v>1344</v>
      </c>
      <c r="E232" t="s">
        <v>108</v>
      </c>
      <c r="F232" t="s">
        <v>18</v>
      </c>
      <c r="G232" s="4" t="s">
        <v>1345</v>
      </c>
      <c r="H232" s="6" t="s">
        <v>47</v>
      </c>
      <c r="J232" t="b">
        <v>0</v>
      </c>
      <c r="L232" t="str">
        <f t="shared" si="3"/>
        <v/>
      </c>
    </row>
    <row r="233" spans="1:15" ht="121.5">
      <c r="A233" t="s">
        <v>1346</v>
      </c>
      <c r="B233" t="s">
        <v>1347</v>
      </c>
      <c r="C233" t="s">
        <v>1348</v>
      </c>
      <c r="D233" t="s">
        <v>1349</v>
      </c>
      <c r="E233" t="s">
        <v>17</v>
      </c>
      <c r="F233" t="s">
        <v>18</v>
      </c>
      <c r="G233" s="4" t="s">
        <v>1350</v>
      </c>
      <c r="H233" s="6" t="s">
        <v>66</v>
      </c>
      <c r="I233" t="s">
        <v>250</v>
      </c>
      <c r="J233" t="b">
        <v>0</v>
      </c>
      <c r="K233" t="s">
        <v>1351</v>
      </c>
      <c r="L233" t="str">
        <f t="shared" si="3"/>
        <v>!!!</v>
      </c>
      <c r="O233" t="b">
        <f>J233</f>
        <v>0</v>
      </c>
    </row>
    <row r="234" spans="1:15" ht="213" hidden="1">
      <c r="A234" t="s">
        <v>1352</v>
      </c>
      <c r="B234" t="s">
        <v>1353</v>
      </c>
      <c r="C234" t="s">
        <v>1354</v>
      </c>
      <c r="D234" t="s">
        <v>1355</v>
      </c>
      <c r="E234" t="s">
        <v>38</v>
      </c>
      <c r="F234" t="s">
        <v>18</v>
      </c>
      <c r="G234" s="4" t="s">
        <v>1356</v>
      </c>
      <c r="H234" s="6" t="s">
        <v>66</v>
      </c>
      <c r="J234" t="b">
        <v>1</v>
      </c>
      <c r="L234" t="str">
        <f t="shared" si="3"/>
        <v/>
      </c>
    </row>
    <row r="235" spans="1:15" ht="198" hidden="1">
      <c r="A235" t="s">
        <v>1357</v>
      </c>
      <c r="B235" t="s">
        <v>1358</v>
      </c>
      <c r="C235" t="s">
        <v>1359</v>
      </c>
      <c r="D235" t="s">
        <v>1360</v>
      </c>
      <c r="E235" t="s">
        <v>31</v>
      </c>
      <c r="F235" t="s">
        <v>1361</v>
      </c>
      <c r="G235" s="4" t="s">
        <v>1362</v>
      </c>
      <c r="H235" s="6" t="s">
        <v>47</v>
      </c>
      <c r="J235" t="b">
        <v>0</v>
      </c>
      <c r="L235" t="str">
        <f t="shared" si="3"/>
        <v/>
      </c>
    </row>
    <row r="236" spans="1:15" ht="183" hidden="1">
      <c r="A236" t="s">
        <v>1363</v>
      </c>
      <c r="B236" t="s">
        <v>1364</v>
      </c>
      <c r="C236" t="s">
        <v>1365</v>
      </c>
      <c r="D236" t="s">
        <v>1366</v>
      </c>
      <c r="E236" t="s">
        <v>31</v>
      </c>
      <c r="F236" t="s">
        <v>1367</v>
      </c>
      <c r="G236" s="4" t="s">
        <v>1368</v>
      </c>
      <c r="H236" s="6" t="s">
        <v>66</v>
      </c>
      <c r="J236" t="b">
        <v>1</v>
      </c>
      <c r="L236" t="str">
        <f t="shared" si="3"/>
        <v/>
      </c>
    </row>
    <row r="237" spans="1:15" ht="60.75" hidden="1">
      <c r="A237" t="s">
        <v>1369</v>
      </c>
      <c r="B237" t="s">
        <v>1370</v>
      </c>
      <c r="C237" t="s">
        <v>1371</v>
      </c>
      <c r="D237" t="s">
        <v>1372</v>
      </c>
      <c r="E237" t="s">
        <v>17</v>
      </c>
      <c r="F237" t="s">
        <v>18</v>
      </c>
      <c r="G237" s="4" t="s">
        <v>1373</v>
      </c>
      <c r="H237" s="6" t="s">
        <v>47</v>
      </c>
      <c r="I237" t="s">
        <v>1374</v>
      </c>
      <c r="J237" t="b">
        <v>0</v>
      </c>
      <c r="L237" t="str">
        <f t="shared" si="3"/>
        <v/>
      </c>
    </row>
    <row r="238" spans="1:15" ht="229.5" hidden="1">
      <c r="A238" t="s">
        <v>1375</v>
      </c>
      <c r="B238" t="s">
        <v>1376</v>
      </c>
      <c r="C238" t="s">
        <v>1377</v>
      </c>
      <c r="D238" t="s">
        <v>1378</v>
      </c>
      <c r="E238" t="s">
        <v>38</v>
      </c>
      <c r="F238" t="s">
        <v>18</v>
      </c>
      <c r="G238" s="4" t="s">
        <v>1379</v>
      </c>
      <c r="H238" s="6" t="s">
        <v>66</v>
      </c>
      <c r="J238" t="b">
        <v>1</v>
      </c>
      <c r="L238" t="str">
        <f t="shared" si="3"/>
        <v/>
      </c>
    </row>
    <row r="239" spans="1:15" ht="244.5" hidden="1">
      <c r="A239" t="s">
        <v>1380</v>
      </c>
      <c r="B239" t="s">
        <v>1381</v>
      </c>
      <c r="C239" t="s">
        <v>1382</v>
      </c>
      <c r="D239" t="s">
        <v>1383</v>
      </c>
      <c r="E239" t="s">
        <v>24</v>
      </c>
      <c r="F239" t="s">
        <v>1384</v>
      </c>
      <c r="G239" s="4" t="s">
        <v>1385</v>
      </c>
      <c r="H239" s="6" t="s">
        <v>47</v>
      </c>
      <c r="J239" t="b">
        <v>0</v>
      </c>
      <c r="L239" t="str">
        <f t="shared" si="3"/>
        <v/>
      </c>
    </row>
    <row r="240" spans="1:15" ht="137.25" hidden="1">
      <c r="A240" t="s">
        <v>1386</v>
      </c>
      <c r="B240" t="s">
        <v>1387</v>
      </c>
      <c r="C240" t="s">
        <v>1388</v>
      </c>
      <c r="D240" t="s">
        <v>1389</v>
      </c>
      <c r="E240" t="s">
        <v>17</v>
      </c>
      <c r="F240" t="s">
        <v>18</v>
      </c>
      <c r="G240" s="4" t="s">
        <v>1390</v>
      </c>
      <c r="H240" s="6" t="s">
        <v>66</v>
      </c>
      <c r="J240" t="b">
        <v>1</v>
      </c>
      <c r="L240" t="str">
        <f t="shared" si="3"/>
        <v/>
      </c>
    </row>
    <row r="241" spans="1:12" ht="167.25" hidden="1">
      <c r="A241" t="s">
        <v>1391</v>
      </c>
      <c r="B241" t="s">
        <v>1392</v>
      </c>
      <c r="C241" t="s">
        <v>1393</v>
      </c>
      <c r="D241" t="s">
        <v>1394</v>
      </c>
      <c r="E241" t="s">
        <v>31</v>
      </c>
      <c r="F241" t="s">
        <v>1395</v>
      </c>
      <c r="G241" s="4" t="s">
        <v>1396</v>
      </c>
      <c r="H241" s="6" t="s">
        <v>47</v>
      </c>
      <c r="J241" t="b">
        <v>0</v>
      </c>
      <c r="L241" t="str">
        <f t="shared" si="3"/>
        <v/>
      </c>
    </row>
    <row r="242" spans="1:12" ht="167.25" hidden="1">
      <c r="A242" t="s">
        <v>1397</v>
      </c>
      <c r="B242" t="s">
        <v>1398</v>
      </c>
      <c r="C242" t="s">
        <v>1399</v>
      </c>
      <c r="D242" t="s">
        <v>1400</v>
      </c>
      <c r="E242" t="s">
        <v>71</v>
      </c>
      <c r="F242" t="s">
        <v>18</v>
      </c>
      <c r="G242" s="4" t="s">
        <v>1401</v>
      </c>
      <c r="H242" s="6" t="s">
        <v>47</v>
      </c>
      <c r="J242" t="b">
        <v>0</v>
      </c>
      <c r="L242" t="str">
        <f t="shared" si="3"/>
        <v/>
      </c>
    </row>
    <row r="243" spans="1:12" ht="244.5" hidden="1">
      <c r="A243" t="s">
        <v>1402</v>
      </c>
      <c r="B243" t="s">
        <v>1403</v>
      </c>
      <c r="C243" t="s">
        <v>1404</v>
      </c>
      <c r="D243" t="s">
        <v>1405</v>
      </c>
      <c r="E243" t="s">
        <v>95</v>
      </c>
      <c r="F243" t="s">
        <v>18</v>
      </c>
      <c r="G243" s="4" t="s">
        <v>1406</v>
      </c>
      <c r="H243" s="6" t="s">
        <v>47</v>
      </c>
      <c r="J243" t="b">
        <v>0</v>
      </c>
      <c r="L243" t="str">
        <f t="shared" si="3"/>
        <v/>
      </c>
    </row>
    <row r="244" spans="1:12" ht="229.5" hidden="1">
      <c r="A244" t="s">
        <v>1407</v>
      </c>
      <c r="B244" t="s">
        <v>1408</v>
      </c>
      <c r="C244" t="s">
        <v>1409</v>
      </c>
      <c r="D244" t="s">
        <v>1410</v>
      </c>
      <c r="E244" t="s">
        <v>71</v>
      </c>
      <c r="F244" t="s">
        <v>18</v>
      </c>
      <c r="G244" s="4" t="s">
        <v>1411</v>
      </c>
      <c r="H244" s="6" t="s">
        <v>47</v>
      </c>
      <c r="J244" t="b">
        <v>0</v>
      </c>
      <c r="L244" t="str">
        <f t="shared" si="3"/>
        <v/>
      </c>
    </row>
    <row r="245" spans="1:12" ht="305.25" hidden="1">
      <c r="A245" t="s">
        <v>1412</v>
      </c>
      <c r="B245" t="s">
        <v>1413</v>
      </c>
      <c r="C245" t="s">
        <v>1414</v>
      </c>
      <c r="D245" t="s">
        <v>1415</v>
      </c>
      <c r="E245" t="s">
        <v>71</v>
      </c>
      <c r="F245" t="s">
        <v>18</v>
      </c>
      <c r="G245" s="4" t="s">
        <v>1416</v>
      </c>
      <c r="H245" s="6" t="s">
        <v>47</v>
      </c>
      <c r="J245" t="b">
        <v>0</v>
      </c>
      <c r="L245" t="str">
        <f t="shared" si="3"/>
        <v/>
      </c>
    </row>
    <row r="246" spans="1:12" ht="198" hidden="1">
      <c r="A246" t="s">
        <v>1417</v>
      </c>
      <c r="B246" t="s">
        <v>1418</v>
      </c>
      <c r="C246" t="s">
        <v>1419</v>
      </c>
      <c r="D246" t="s">
        <v>1420</v>
      </c>
      <c r="E246" t="s">
        <v>95</v>
      </c>
      <c r="F246" t="s">
        <v>18</v>
      </c>
      <c r="G246" s="4" t="s">
        <v>1421</v>
      </c>
      <c r="H246" s="6" t="s">
        <v>47</v>
      </c>
      <c r="I246" t="s">
        <v>1117</v>
      </c>
      <c r="J246" t="b">
        <v>0</v>
      </c>
      <c r="L246" t="str">
        <f t="shared" si="3"/>
        <v/>
      </c>
    </row>
    <row r="247" spans="1:12" ht="183" hidden="1">
      <c r="A247" t="s">
        <v>1422</v>
      </c>
      <c r="B247" t="s">
        <v>1423</v>
      </c>
      <c r="C247" t="s">
        <v>1424</v>
      </c>
      <c r="D247" t="s">
        <v>1425</v>
      </c>
      <c r="E247" t="s">
        <v>24</v>
      </c>
      <c r="F247" t="s">
        <v>1426</v>
      </c>
      <c r="G247" s="4" t="s">
        <v>1427</v>
      </c>
      <c r="H247" s="6" t="s">
        <v>47</v>
      </c>
      <c r="J247" t="b">
        <v>0</v>
      </c>
      <c r="L247" t="str">
        <f t="shared" si="3"/>
        <v/>
      </c>
    </row>
    <row r="248" spans="1:12" ht="152.25" hidden="1">
      <c r="A248" t="s">
        <v>1428</v>
      </c>
      <c r="B248" t="s">
        <v>1429</v>
      </c>
      <c r="C248" t="s">
        <v>1430</v>
      </c>
      <c r="D248" t="s">
        <v>1431</v>
      </c>
      <c r="E248" t="s">
        <v>108</v>
      </c>
      <c r="F248" t="s">
        <v>1432</v>
      </c>
      <c r="G248" s="4" t="s">
        <v>1433</v>
      </c>
      <c r="H248" s="6" t="s">
        <v>66</v>
      </c>
      <c r="J248" t="b">
        <v>1</v>
      </c>
      <c r="L248" t="str">
        <f t="shared" si="3"/>
        <v/>
      </c>
    </row>
    <row r="249" spans="1:12" ht="213" hidden="1">
      <c r="A249" t="s">
        <v>1434</v>
      </c>
      <c r="B249" t="s">
        <v>1435</v>
      </c>
      <c r="C249" t="s">
        <v>1436</v>
      </c>
      <c r="D249" t="s">
        <v>1437</v>
      </c>
      <c r="E249" t="s">
        <v>71</v>
      </c>
      <c r="F249" t="s">
        <v>1438</v>
      </c>
      <c r="G249" s="4" t="s">
        <v>1439</v>
      </c>
      <c r="H249" s="6" t="s">
        <v>47</v>
      </c>
      <c r="J249" t="b">
        <v>0</v>
      </c>
      <c r="L249" t="str">
        <f t="shared" si="3"/>
        <v/>
      </c>
    </row>
    <row r="250" spans="1:12" ht="76.5" hidden="1">
      <c r="A250" t="s">
        <v>1440</v>
      </c>
      <c r="B250" t="s">
        <v>1441</v>
      </c>
      <c r="C250" t="s">
        <v>1442</v>
      </c>
      <c r="D250" t="s">
        <v>1443</v>
      </c>
      <c r="E250" t="s">
        <v>17</v>
      </c>
      <c r="F250" t="s">
        <v>18</v>
      </c>
      <c r="G250" s="4" t="s">
        <v>1444</v>
      </c>
      <c r="H250" s="6" t="s">
        <v>47</v>
      </c>
      <c r="J250" t="b">
        <v>0</v>
      </c>
      <c r="L250" t="str">
        <f t="shared" si="3"/>
        <v/>
      </c>
    </row>
    <row r="251" spans="1:12" ht="229.5" hidden="1">
      <c r="A251" t="s">
        <v>1445</v>
      </c>
      <c r="B251" t="s">
        <v>1446</v>
      </c>
      <c r="C251" t="s">
        <v>1447</v>
      </c>
      <c r="D251" t="s">
        <v>1448</v>
      </c>
      <c r="E251" t="s">
        <v>95</v>
      </c>
      <c r="F251" t="s">
        <v>18</v>
      </c>
      <c r="G251" s="4" t="s">
        <v>1449</v>
      </c>
      <c r="H251" s="6" t="s">
        <v>66</v>
      </c>
      <c r="J251" t="b">
        <v>1</v>
      </c>
      <c r="L251" t="str">
        <f t="shared" si="3"/>
        <v/>
      </c>
    </row>
    <row r="252" spans="1:12" ht="198" hidden="1">
      <c r="A252" t="s">
        <v>1450</v>
      </c>
      <c r="B252" t="s">
        <v>1451</v>
      </c>
      <c r="C252" t="s">
        <v>1452</v>
      </c>
      <c r="D252" t="s">
        <v>1453</v>
      </c>
      <c r="E252" t="s">
        <v>95</v>
      </c>
      <c r="F252" t="s">
        <v>18</v>
      </c>
      <c r="G252" s="4" t="s">
        <v>1454</v>
      </c>
      <c r="H252" s="6" t="s">
        <v>66</v>
      </c>
      <c r="J252" t="b">
        <v>1</v>
      </c>
      <c r="L252" t="str">
        <f t="shared" si="3"/>
        <v/>
      </c>
    </row>
    <row r="253" spans="1:12" ht="213" hidden="1">
      <c r="A253" t="s">
        <v>1455</v>
      </c>
      <c r="B253" t="s">
        <v>1456</v>
      </c>
      <c r="C253" t="s">
        <v>1457</v>
      </c>
      <c r="D253" t="s">
        <v>1458</v>
      </c>
      <c r="E253" t="s">
        <v>95</v>
      </c>
      <c r="F253" t="s">
        <v>18</v>
      </c>
      <c r="G253" s="4" t="s">
        <v>1459</v>
      </c>
      <c r="H253" s="6" t="s">
        <v>66</v>
      </c>
      <c r="J253" t="b">
        <v>1</v>
      </c>
      <c r="L253" t="str">
        <f t="shared" si="3"/>
        <v/>
      </c>
    </row>
    <row r="254" spans="1:12" ht="198" hidden="1">
      <c r="A254" t="s">
        <v>1460</v>
      </c>
      <c r="B254" t="s">
        <v>1461</v>
      </c>
      <c r="C254" t="s">
        <v>1462</v>
      </c>
      <c r="D254" t="s">
        <v>1463</v>
      </c>
      <c r="E254" t="s">
        <v>24</v>
      </c>
      <c r="F254" t="s">
        <v>1464</v>
      </c>
      <c r="G254" s="4" t="s">
        <v>1465</v>
      </c>
      <c r="H254" s="6" t="s">
        <v>47</v>
      </c>
      <c r="J254" t="b">
        <v>0</v>
      </c>
      <c r="L254" t="str">
        <f t="shared" si="3"/>
        <v/>
      </c>
    </row>
    <row r="255" spans="1:12" ht="121.5" hidden="1">
      <c r="A255" t="s">
        <v>1466</v>
      </c>
      <c r="B255" t="s">
        <v>1467</v>
      </c>
      <c r="C255" t="s">
        <v>1468</v>
      </c>
      <c r="D255" t="s">
        <v>1469</v>
      </c>
      <c r="E255" t="s">
        <v>17</v>
      </c>
      <c r="F255" t="s">
        <v>18</v>
      </c>
      <c r="G255" s="4" t="s">
        <v>1470</v>
      </c>
      <c r="H255" s="6" t="s">
        <v>47</v>
      </c>
      <c r="J255" t="b">
        <v>0</v>
      </c>
      <c r="L255" t="str">
        <f t="shared" si="3"/>
        <v/>
      </c>
    </row>
    <row r="256" spans="1:12" ht="183" hidden="1">
      <c r="A256" t="s">
        <v>1471</v>
      </c>
      <c r="B256" t="s">
        <v>1472</v>
      </c>
      <c r="C256" t="s">
        <v>1473</v>
      </c>
      <c r="D256" t="s">
        <v>1474</v>
      </c>
      <c r="E256" t="s">
        <v>24</v>
      </c>
      <c r="F256" t="s">
        <v>1475</v>
      </c>
      <c r="G256" s="4" t="s">
        <v>1476</v>
      </c>
      <c r="H256" s="6" t="s">
        <v>47</v>
      </c>
      <c r="J256" t="b">
        <v>0</v>
      </c>
      <c r="L256" t="str">
        <f t="shared" si="3"/>
        <v/>
      </c>
    </row>
    <row r="257" spans="1:15" ht="229.5" hidden="1">
      <c r="A257" t="s">
        <v>1477</v>
      </c>
      <c r="B257" t="s">
        <v>1478</v>
      </c>
      <c r="C257" t="s">
        <v>1479</v>
      </c>
      <c r="D257" t="s">
        <v>1480</v>
      </c>
      <c r="E257" t="s">
        <v>108</v>
      </c>
      <c r="F257" t="s">
        <v>18</v>
      </c>
      <c r="G257" s="4" t="s">
        <v>1481</v>
      </c>
      <c r="H257" s="6" t="s">
        <v>47</v>
      </c>
      <c r="J257" t="b">
        <v>0</v>
      </c>
      <c r="L257" t="str">
        <f t="shared" si="3"/>
        <v/>
      </c>
    </row>
    <row r="258" spans="1:15" ht="198" hidden="1">
      <c r="A258" t="s">
        <v>1482</v>
      </c>
      <c r="B258" t="s">
        <v>1483</v>
      </c>
      <c r="C258" t="s">
        <v>1484</v>
      </c>
      <c r="D258" t="s">
        <v>1485</v>
      </c>
      <c r="E258" t="s">
        <v>31</v>
      </c>
      <c r="F258" t="s">
        <v>1486</v>
      </c>
      <c r="G258" s="4" t="s">
        <v>1487</v>
      </c>
      <c r="H258" s="6" t="s">
        <v>66</v>
      </c>
      <c r="J258" t="b">
        <v>1</v>
      </c>
      <c r="L258" t="str">
        <f t="shared" si="3"/>
        <v/>
      </c>
    </row>
    <row r="259" spans="1:15" ht="198" hidden="1">
      <c r="A259" t="s">
        <v>1488</v>
      </c>
      <c r="B259" t="s">
        <v>1489</v>
      </c>
      <c r="C259" t="s">
        <v>1490</v>
      </c>
      <c r="D259" t="s">
        <v>1491</v>
      </c>
      <c r="E259" t="s">
        <v>190</v>
      </c>
      <c r="F259" t="s">
        <v>18</v>
      </c>
      <c r="G259" s="4" t="s">
        <v>1492</v>
      </c>
      <c r="H259" s="6" t="s">
        <v>66</v>
      </c>
      <c r="J259" t="b">
        <v>1</v>
      </c>
      <c r="L259" t="str">
        <f t="shared" ref="L259:L322" si="4">IF(OR(H259="",J259=""),"",IF(TEXT(H259,"")&lt;&gt;TEXT(J259,""),"!!!",""))</f>
        <v/>
      </c>
    </row>
    <row r="260" spans="1:15" ht="305.25" hidden="1">
      <c r="A260" t="s">
        <v>1493</v>
      </c>
      <c r="B260" t="s">
        <v>1494</v>
      </c>
      <c r="C260" t="s">
        <v>1495</v>
      </c>
      <c r="D260" t="s">
        <v>1496</v>
      </c>
      <c r="E260" t="s">
        <v>1104</v>
      </c>
      <c r="F260" t="s">
        <v>18</v>
      </c>
      <c r="G260" s="4" t="s">
        <v>1497</v>
      </c>
      <c r="H260" s="6" t="s">
        <v>66</v>
      </c>
      <c r="J260" t="b">
        <v>1</v>
      </c>
      <c r="L260" t="str">
        <f t="shared" si="4"/>
        <v/>
      </c>
    </row>
    <row r="261" spans="1:15" ht="198" hidden="1">
      <c r="A261" t="s">
        <v>1498</v>
      </c>
      <c r="B261" t="s">
        <v>1499</v>
      </c>
      <c r="C261" t="s">
        <v>1500</v>
      </c>
      <c r="D261" t="s">
        <v>1501</v>
      </c>
      <c r="E261" t="s">
        <v>149</v>
      </c>
      <c r="F261" t="s">
        <v>1502</v>
      </c>
      <c r="G261" s="4" t="s">
        <v>1503</v>
      </c>
      <c r="H261" s="6" t="s">
        <v>47</v>
      </c>
      <c r="J261" t="b">
        <v>0</v>
      </c>
      <c r="L261" t="str">
        <f t="shared" si="4"/>
        <v/>
      </c>
    </row>
    <row r="262" spans="1:15" ht="229.5" hidden="1">
      <c r="A262" t="s">
        <v>1504</v>
      </c>
      <c r="B262" t="s">
        <v>1505</v>
      </c>
      <c r="C262" t="s">
        <v>1506</v>
      </c>
      <c r="D262" t="s">
        <v>1507</v>
      </c>
      <c r="E262" t="s">
        <v>38</v>
      </c>
      <c r="F262" t="s">
        <v>18</v>
      </c>
      <c r="G262" s="4" t="s">
        <v>1508</v>
      </c>
      <c r="H262" s="6" t="s">
        <v>47</v>
      </c>
      <c r="J262" t="s">
        <v>47</v>
      </c>
      <c r="L262" t="str">
        <f t="shared" si="4"/>
        <v/>
      </c>
    </row>
    <row r="263" spans="1:15" ht="106.5" hidden="1">
      <c r="A263" t="s">
        <v>1509</v>
      </c>
      <c r="B263" t="s">
        <v>1510</v>
      </c>
      <c r="C263" t="s">
        <v>1511</v>
      </c>
      <c r="D263" t="s">
        <v>1512</v>
      </c>
      <c r="E263" t="s">
        <v>17</v>
      </c>
      <c r="F263" t="s">
        <v>18</v>
      </c>
      <c r="G263" s="4" t="s">
        <v>1513</v>
      </c>
      <c r="H263" s="6" t="s">
        <v>47</v>
      </c>
      <c r="I263" t="s">
        <v>1514</v>
      </c>
      <c r="J263" t="s">
        <v>47</v>
      </c>
      <c r="L263" t="str">
        <f t="shared" si="4"/>
        <v/>
      </c>
    </row>
    <row r="264" spans="1:15" ht="183">
      <c r="A264" t="s">
        <v>1515</v>
      </c>
      <c r="B264" t="s">
        <v>1516</v>
      </c>
      <c r="C264" t="s">
        <v>1517</v>
      </c>
      <c r="D264" t="s">
        <v>1518</v>
      </c>
      <c r="E264" t="s">
        <v>24</v>
      </c>
      <c r="F264" t="s">
        <v>1519</v>
      </c>
      <c r="G264" s="4" t="s">
        <v>1520</v>
      </c>
      <c r="H264" s="6" t="s">
        <v>66</v>
      </c>
      <c r="J264" t="s">
        <v>47</v>
      </c>
      <c r="K264" t="s">
        <v>1521</v>
      </c>
      <c r="L264" t="str">
        <f t="shared" si="4"/>
        <v>!!!</v>
      </c>
      <c r="O264" t="str">
        <f>J264</f>
        <v>FALSE</v>
      </c>
    </row>
    <row r="265" spans="1:15" ht="183" hidden="1">
      <c r="A265" t="s">
        <v>1522</v>
      </c>
      <c r="B265" t="s">
        <v>1523</v>
      </c>
      <c r="C265" t="s">
        <v>1524</v>
      </c>
      <c r="D265" t="s">
        <v>1525</v>
      </c>
      <c r="E265" t="s">
        <v>24</v>
      </c>
      <c r="F265" t="s">
        <v>1526</v>
      </c>
      <c r="G265" s="4" t="s">
        <v>1527</v>
      </c>
      <c r="H265" s="6" t="s">
        <v>47</v>
      </c>
      <c r="J265" t="s">
        <v>47</v>
      </c>
      <c r="L265" t="str">
        <f t="shared" si="4"/>
        <v/>
      </c>
    </row>
    <row r="266" spans="1:15" ht="198" hidden="1">
      <c r="A266" t="s">
        <v>1528</v>
      </c>
      <c r="B266" t="s">
        <v>1529</v>
      </c>
      <c r="C266" t="s">
        <v>1530</v>
      </c>
      <c r="D266" t="s">
        <v>1531</v>
      </c>
      <c r="E266" t="s">
        <v>31</v>
      </c>
      <c r="F266" t="s">
        <v>1532</v>
      </c>
      <c r="G266" s="4" t="s">
        <v>1533</v>
      </c>
      <c r="H266" s="6" t="s">
        <v>47</v>
      </c>
      <c r="J266" t="s">
        <v>47</v>
      </c>
      <c r="L266" t="str">
        <f t="shared" si="4"/>
        <v/>
      </c>
    </row>
    <row r="267" spans="1:15" ht="76.5" hidden="1">
      <c r="A267" t="s">
        <v>1534</v>
      </c>
      <c r="B267" t="s">
        <v>1535</v>
      </c>
      <c r="C267" t="s">
        <v>1536</v>
      </c>
      <c r="D267" t="s">
        <v>1537</v>
      </c>
      <c r="E267" t="s">
        <v>31</v>
      </c>
      <c r="F267" t="s">
        <v>18</v>
      </c>
      <c r="G267" s="4" t="s">
        <v>1538</v>
      </c>
      <c r="H267" s="6" t="s">
        <v>47</v>
      </c>
      <c r="J267" t="s">
        <v>47</v>
      </c>
      <c r="L267" t="str">
        <f t="shared" si="4"/>
        <v/>
      </c>
    </row>
    <row r="268" spans="1:15" ht="213" hidden="1">
      <c r="A268" t="s">
        <v>1539</v>
      </c>
      <c r="B268" t="s">
        <v>1540</v>
      </c>
      <c r="C268" t="s">
        <v>1541</v>
      </c>
      <c r="D268" t="s">
        <v>1542</v>
      </c>
      <c r="E268" t="s">
        <v>95</v>
      </c>
      <c r="F268" t="s">
        <v>18</v>
      </c>
      <c r="G268" s="4" t="s">
        <v>1543</v>
      </c>
      <c r="H268" s="6" t="s">
        <v>66</v>
      </c>
      <c r="J268" t="s">
        <v>66</v>
      </c>
      <c r="L268" t="str">
        <f t="shared" si="4"/>
        <v/>
      </c>
    </row>
    <row r="269" spans="1:15" ht="213" hidden="1">
      <c r="A269" t="s">
        <v>1544</v>
      </c>
      <c r="B269" t="s">
        <v>1545</v>
      </c>
      <c r="C269" t="s">
        <v>1546</v>
      </c>
      <c r="D269" t="s">
        <v>1547</v>
      </c>
      <c r="E269" t="s">
        <v>38</v>
      </c>
      <c r="F269" t="s">
        <v>18</v>
      </c>
      <c r="G269" s="4" t="s">
        <v>1548</v>
      </c>
      <c r="H269" s="6" t="s">
        <v>66</v>
      </c>
      <c r="J269" t="s">
        <v>66</v>
      </c>
      <c r="L269" t="str">
        <f t="shared" si="4"/>
        <v/>
      </c>
    </row>
    <row r="270" spans="1:15" ht="106.5" hidden="1">
      <c r="A270" t="s">
        <v>1549</v>
      </c>
      <c r="B270" t="s">
        <v>1550</v>
      </c>
      <c r="C270" t="s">
        <v>1551</v>
      </c>
      <c r="D270" t="s">
        <v>1552</v>
      </c>
      <c r="E270" t="s">
        <v>24</v>
      </c>
      <c r="F270" t="s">
        <v>1553</v>
      </c>
      <c r="G270" s="4" t="s">
        <v>1554</v>
      </c>
      <c r="H270" s="6" t="s">
        <v>47</v>
      </c>
      <c r="J270" t="s">
        <v>47</v>
      </c>
      <c r="L270" t="str">
        <f t="shared" si="4"/>
        <v/>
      </c>
    </row>
    <row r="271" spans="1:15" ht="91.5" hidden="1">
      <c r="A271" t="s">
        <v>1555</v>
      </c>
      <c r="B271" t="s">
        <v>1556</v>
      </c>
      <c r="C271" t="s">
        <v>1557</v>
      </c>
      <c r="D271" t="s">
        <v>1558</v>
      </c>
      <c r="E271" t="s">
        <v>38</v>
      </c>
      <c r="F271" t="s">
        <v>1559</v>
      </c>
      <c r="G271" s="4" t="s">
        <v>1560</v>
      </c>
      <c r="H271" s="6" t="s">
        <v>47</v>
      </c>
      <c r="J271" t="s">
        <v>47</v>
      </c>
      <c r="L271" t="str">
        <f t="shared" si="4"/>
        <v/>
      </c>
    </row>
    <row r="272" spans="1:15" ht="213" hidden="1">
      <c r="A272" t="s">
        <v>1561</v>
      </c>
      <c r="B272" t="s">
        <v>1562</v>
      </c>
      <c r="C272" t="s">
        <v>1563</v>
      </c>
      <c r="D272" t="s">
        <v>1564</v>
      </c>
      <c r="E272" t="s">
        <v>149</v>
      </c>
      <c r="F272" t="s">
        <v>1565</v>
      </c>
      <c r="G272" s="4" t="s">
        <v>1566</v>
      </c>
      <c r="H272" s="6" t="s">
        <v>47</v>
      </c>
      <c r="J272" t="s">
        <v>47</v>
      </c>
      <c r="L272" t="str">
        <f t="shared" si="4"/>
        <v/>
      </c>
    </row>
    <row r="273" spans="1:15" ht="213">
      <c r="A273" t="s">
        <v>1567</v>
      </c>
      <c r="B273" t="s">
        <v>1568</v>
      </c>
      <c r="C273" t="s">
        <v>1569</v>
      </c>
      <c r="D273" t="s">
        <v>1570</v>
      </c>
      <c r="E273" t="s">
        <v>31</v>
      </c>
      <c r="F273" t="s">
        <v>1571</v>
      </c>
      <c r="G273" s="11" t="s">
        <v>1572</v>
      </c>
      <c r="H273" s="6" t="s">
        <v>66</v>
      </c>
      <c r="J273" t="s">
        <v>47</v>
      </c>
      <c r="K273" t="s">
        <v>1573</v>
      </c>
      <c r="L273" t="str">
        <f t="shared" si="4"/>
        <v>!!!</v>
      </c>
      <c r="O273" t="s">
        <v>66</v>
      </c>
    </row>
    <row r="274" spans="1:15" ht="167.25" hidden="1">
      <c r="A274" t="s">
        <v>1574</v>
      </c>
      <c r="B274" t="s">
        <v>1575</v>
      </c>
      <c r="C274" t="s">
        <v>1576</v>
      </c>
      <c r="D274" t="s">
        <v>1577</v>
      </c>
      <c r="E274" t="s">
        <v>17</v>
      </c>
      <c r="F274" t="s">
        <v>18</v>
      </c>
      <c r="G274" s="4" t="s">
        <v>1578</v>
      </c>
      <c r="H274" s="6" t="s">
        <v>47</v>
      </c>
      <c r="J274" t="s">
        <v>47</v>
      </c>
      <c r="L274" t="str">
        <f t="shared" si="4"/>
        <v/>
      </c>
    </row>
    <row r="275" spans="1:15" ht="137.25" hidden="1">
      <c r="A275" t="s">
        <v>1579</v>
      </c>
      <c r="B275" t="s">
        <v>1580</v>
      </c>
      <c r="C275" t="s">
        <v>1581</v>
      </c>
      <c r="D275" t="s">
        <v>1582</v>
      </c>
      <c r="E275" t="s">
        <v>17</v>
      </c>
      <c r="F275" t="s">
        <v>18</v>
      </c>
      <c r="G275" s="4" t="s">
        <v>1583</v>
      </c>
      <c r="H275" s="6" t="s">
        <v>47</v>
      </c>
      <c r="J275" t="s">
        <v>47</v>
      </c>
      <c r="L275" t="str">
        <f t="shared" si="4"/>
        <v/>
      </c>
    </row>
    <row r="276" spans="1:15" ht="183" hidden="1">
      <c r="A276" t="s">
        <v>1584</v>
      </c>
      <c r="B276" t="s">
        <v>1585</v>
      </c>
      <c r="C276" t="s">
        <v>1586</v>
      </c>
      <c r="D276" t="s">
        <v>1587</v>
      </c>
      <c r="E276" t="s">
        <v>31</v>
      </c>
      <c r="F276" t="s">
        <v>1588</v>
      </c>
      <c r="G276" s="4" t="s">
        <v>1589</v>
      </c>
      <c r="H276" s="6" t="s">
        <v>47</v>
      </c>
      <c r="J276" t="s">
        <v>47</v>
      </c>
      <c r="L276" t="str">
        <f t="shared" si="4"/>
        <v/>
      </c>
    </row>
    <row r="277" spans="1:15" ht="121.5" hidden="1">
      <c r="A277" t="s">
        <v>1590</v>
      </c>
      <c r="B277" t="s">
        <v>1591</v>
      </c>
      <c r="C277" t="s">
        <v>1592</v>
      </c>
      <c r="D277" t="s">
        <v>1593</v>
      </c>
      <c r="E277" t="s">
        <v>95</v>
      </c>
      <c r="F277" t="s">
        <v>18</v>
      </c>
      <c r="G277" s="4" t="s">
        <v>1594</v>
      </c>
      <c r="H277" s="6" t="s">
        <v>47</v>
      </c>
      <c r="J277" t="s">
        <v>47</v>
      </c>
      <c r="L277" t="str">
        <f t="shared" si="4"/>
        <v/>
      </c>
    </row>
    <row r="278" spans="1:15" ht="167.25" hidden="1">
      <c r="A278" t="s">
        <v>1595</v>
      </c>
      <c r="B278" t="s">
        <v>1596</v>
      </c>
      <c r="C278" t="s">
        <v>1597</v>
      </c>
      <c r="D278" t="s">
        <v>1598</v>
      </c>
      <c r="E278" t="s">
        <v>190</v>
      </c>
      <c r="F278" t="s">
        <v>18</v>
      </c>
      <c r="G278" s="4" t="s">
        <v>1599</v>
      </c>
      <c r="H278" s="6" t="s">
        <v>47</v>
      </c>
      <c r="J278" t="s">
        <v>47</v>
      </c>
      <c r="L278" t="str">
        <f t="shared" si="4"/>
        <v/>
      </c>
    </row>
    <row r="279" spans="1:15" ht="183" hidden="1">
      <c r="A279" t="s">
        <v>1600</v>
      </c>
      <c r="B279" t="s">
        <v>1601</v>
      </c>
      <c r="C279" t="s">
        <v>1602</v>
      </c>
      <c r="D279" t="s">
        <v>1603</v>
      </c>
      <c r="E279" t="s">
        <v>31</v>
      </c>
      <c r="F279" t="s">
        <v>1604</v>
      </c>
      <c r="G279" s="4" t="s">
        <v>1605</v>
      </c>
      <c r="H279" s="6" t="s">
        <v>66</v>
      </c>
      <c r="J279" t="s">
        <v>66</v>
      </c>
      <c r="L279" t="str">
        <f t="shared" si="4"/>
        <v/>
      </c>
    </row>
    <row r="280" spans="1:15" ht="167.25" hidden="1">
      <c r="A280" t="s">
        <v>1606</v>
      </c>
      <c r="B280" t="s">
        <v>1607</v>
      </c>
      <c r="C280" t="s">
        <v>1608</v>
      </c>
      <c r="D280" t="s">
        <v>1609</v>
      </c>
      <c r="E280" t="s">
        <v>38</v>
      </c>
      <c r="F280" t="s">
        <v>1610</v>
      </c>
      <c r="G280" s="4" t="s">
        <v>1611</v>
      </c>
      <c r="H280" s="6" t="s">
        <v>66</v>
      </c>
      <c r="J280" t="s">
        <v>66</v>
      </c>
      <c r="L280" t="str">
        <f t="shared" si="4"/>
        <v/>
      </c>
    </row>
    <row r="281" spans="1:15" ht="229.5" hidden="1">
      <c r="A281" t="s">
        <v>1612</v>
      </c>
      <c r="B281" t="s">
        <v>1613</v>
      </c>
      <c r="C281" t="s">
        <v>1614</v>
      </c>
      <c r="D281" t="s">
        <v>1615</v>
      </c>
      <c r="E281" t="s">
        <v>38</v>
      </c>
      <c r="F281" t="s">
        <v>18</v>
      </c>
      <c r="G281" s="4" t="s">
        <v>1616</v>
      </c>
      <c r="H281" s="6" t="s">
        <v>66</v>
      </c>
      <c r="J281" t="s">
        <v>66</v>
      </c>
      <c r="L281" t="str">
        <f t="shared" si="4"/>
        <v/>
      </c>
    </row>
    <row r="282" spans="1:15" ht="244.5" hidden="1">
      <c r="A282" t="s">
        <v>1617</v>
      </c>
      <c r="B282" t="s">
        <v>1618</v>
      </c>
      <c r="C282" t="s">
        <v>1619</v>
      </c>
      <c r="D282" t="s">
        <v>1620</v>
      </c>
      <c r="E282" t="s">
        <v>71</v>
      </c>
      <c r="F282" t="s">
        <v>18</v>
      </c>
      <c r="G282" s="4" t="s">
        <v>1621</v>
      </c>
      <c r="H282" s="6" t="s">
        <v>47</v>
      </c>
      <c r="J282" t="s">
        <v>47</v>
      </c>
      <c r="L282" t="str">
        <f t="shared" si="4"/>
        <v/>
      </c>
    </row>
    <row r="283" spans="1:15" ht="213" hidden="1">
      <c r="A283" t="s">
        <v>1622</v>
      </c>
      <c r="B283" t="s">
        <v>1623</v>
      </c>
      <c r="C283" t="s">
        <v>1624</v>
      </c>
      <c r="D283" t="s">
        <v>1625</v>
      </c>
      <c r="E283" t="s">
        <v>24</v>
      </c>
      <c r="F283" t="s">
        <v>1626</v>
      </c>
      <c r="G283" s="4" t="s">
        <v>1627</v>
      </c>
      <c r="H283" s="6" t="s">
        <v>47</v>
      </c>
      <c r="J283" t="s">
        <v>47</v>
      </c>
      <c r="L283" t="str">
        <f t="shared" si="4"/>
        <v/>
      </c>
    </row>
    <row r="284" spans="1:15" ht="167.25" hidden="1">
      <c r="A284" t="s">
        <v>1628</v>
      </c>
      <c r="B284" t="s">
        <v>1629</v>
      </c>
      <c r="C284" t="s">
        <v>1630</v>
      </c>
      <c r="D284" t="s">
        <v>1631</v>
      </c>
      <c r="E284" t="s">
        <v>31</v>
      </c>
      <c r="F284" t="s">
        <v>1632</v>
      </c>
      <c r="G284" s="4" t="s">
        <v>1633</v>
      </c>
      <c r="H284" s="6" t="s">
        <v>66</v>
      </c>
      <c r="I284" t="s">
        <v>250</v>
      </c>
      <c r="J284" t="s">
        <v>66</v>
      </c>
      <c r="L284" t="str">
        <f t="shared" si="4"/>
        <v/>
      </c>
    </row>
    <row r="285" spans="1:15" ht="213" hidden="1">
      <c r="A285" t="s">
        <v>1634</v>
      </c>
      <c r="B285" t="s">
        <v>1635</v>
      </c>
      <c r="C285" t="s">
        <v>1636</v>
      </c>
      <c r="D285" t="s">
        <v>1637</v>
      </c>
      <c r="E285" t="s">
        <v>71</v>
      </c>
      <c r="F285" t="s">
        <v>1638</v>
      </c>
      <c r="G285" s="4" t="s">
        <v>1639</v>
      </c>
      <c r="H285" s="6" t="s">
        <v>47</v>
      </c>
      <c r="J285" t="s">
        <v>47</v>
      </c>
      <c r="L285" t="str">
        <f t="shared" si="4"/>
        <v/>
      </c>
    </row>
    <row r="286" spans="1:15" ht="183">
      <c r="A286" t="s">
        <v>1640</v>
      </c>
      <c r="B286" t="s">
        <v>1641</v>
      </c>
      <c r="C286" t="s">
        <v>1642</v>
      </c>
      <c r="D286" t="s">
        <v>1643</v>
      </c>
      <c r="E286" t="s">
        <v>149</v>
      </c>
      <c r="F286" t="s">
        <v>1644</v>
      </c>
      <c r="G286" s="4" t="s">
        <v>1645</v>
      </c>
      <c r="H286" s="6" t="s">
        <v>66</v>
      </c>
      <c r="J286" t="s">
        <v>47</v>
      </c>
      <c r="K286" t="s">
        <v>1573</v>
      </c>
      <c r="L286" t="str">
        <f t="shared" si="4"/>
        <v>!!!</v>
      </c>
      <c r="O286" t="s">
        <v>66</v>
      </c>
    </row>
    <row r="287" spans="1:15" ht="229.5" hidden="1">
      <c r="A287" t="s">
        <v>1646</v>
      </c>
      <c r="B287" t="s">
        <v>1647</v>
      </c>
      <c r="C287" t="s">
        <v>1648</v>
      </c>
      <c r="D287" t="s">
        <v>1649</v>
      </c>
      <c r="E287" t="s">
        <v>95</v>
      </c>
      <c r="F287" t="s">
        <v>18</v>
      </c>
      <c r="G287" s="4" t="s">
        <v>1650</v>
      </c>
      <c r="H287" s="6" t="s">
        <v>47</v>
      </c>
      <c r="I287" t="s">
        <v>250</v>
      </c>
      <c r="J287" t="s">
        <v>47</v>
      </c>
      <c r="L287" t="str">
        <f t="shared" si="4"/>
        <v/>
      </c>
    </row>
    <row r="288" spans="1:15" ht="198" hidden="1">
      <c r="A288" t="s">
        <v>1651</v>
      </c>
      <c r="B288" t="s">
        <v>1652</v>
      </c>
      <c r="C288" t="s">
        <v>1653</v>
      </c>
      <c r="D288" t="s">
        <v>1654</v>
      </c>
      <c r="E288" t="s">
        <v>149</v>
      </c>
      <c r="F288" t="s">
        <v>1655</v>
      </c>
      <c r="G288" s="4" t="s">
        <v>1656</v>
      </c>
      <c r="H288" s="6" t="s">
        <v>47</v>
      </c>
      <c r="J288" t="s">
        <v>47</v>
      </c>
      <c r="L288" t="str">
        <f t="shared" si="4"/>
        <v/>
      </c>
    </row>
    <row r="289" spans="1:15" ht="213" hidden="1">
      <c r="A289" t="s">
        <v>1657</v>
      </c>
      <c r="B289" t="s">
        <v>1658</v>
      </c>
      <c r="C289" t="s">
        <v>1659</v>
      </c>
      <c r="D289" t="s">
        <v>1660</v>
      </c>
      <c r="E289" t="s">
        <v>149</v>
      </c>
      <c r="F289" t="s">
        <v>1661</v>
      </c>
      <c r="G289" s="4" t="s">
        <v>1662</v>
      </c>
      <c r="H289" s="6" t="s">
        <v>47</v>
      </c>
      <c r="J289" t="s">
        <v>47</v>
      </c>
      <c r="L289" t="str">
        <f t="shared" si="4"/>
        <v/>
      </c>
    </row>
    <row r="290" spans="1:15" ht="152.25" hidden="1">
      <c r="A290" t="s">
        <v>1663</v>
      </c>
      <c r="B290" t="s">
        <v>1664</v>
      </c>
      <c r="C290" t="s">
        <v>1665</v>
      </c>
      <c r="D290" t="s">
        <v>1666</v>
      </c>
      <c r="E290" t="s">
        <v>17</v>
      </c>
      <c r="F290" t="s">
        <v>18</v>
      </c>
      <c r="G290" s="4" t="s">
        <v>1667</v>
      </c>
      <c r="H290" s="6" t="s">
        <v>47</v>
      </c>
      <c r="J290" t="s">
        <v>47</v>
      </c>
      <c r="L290" t="str">
        <f t="shared" si="4"/>
        <v/>
      </c>
    </row>
    <row r="291" spans="1:15" ht="213" hidden="1">
      <c r="A291" t="s">
        <v>1668</v>
      </c>
      <c r="B291" t="s">
        <v>1669</v>
      </c>
      <c r="C291" t="s">
        <v>1670</v>
      </c>
      <c r="D291" t="s">
        <v>1671</v>
      </c>
      <c r="E291" t="s">
        <v>108</v>
      </c>
      <c r="F291" t="s">
        <v>18</v>
      </c>
      <c r="G291" s="4" t="s">
        <v>1672</v>
      </c>
      <c r="H291" s="6" t="s">
        <v>47</v>
      </c>
      <c r="J291" t="s">
        <v>47</v>
      </c>
      <c r="L291" t="str">
        <f t="shared" si="4"/>
        <v/>
      </c>
    </row>
    <row r="292" spans="1:15" ht="213" hidden="1">
      <c r="A292" t="s">
        <v>1673</v>
      </c>
      <c r="B292" t="s">
        <v>1674</v>
      </c>
      <c r="C292" t="s">
        <v>1675</v>
      </c>
      <c r="D292" t="s">
        <v>1676</v>
      </c>
      <c r="E292" t="s">
        <v>108</v>
      </c>
      <c r="F292" t="s">
        <v>18</v>
      </c>
      <c r="G292" s="4" t="s">
        <v>1677</v>
      </c>
      <c r="H292" s="6" t="s">
        <v>47</v>
      </c>
      <c r="J292" t="s">
        <v>47</v>
      </c>
      <c r="L292" t="str">
        <f t="shared" si="4"/>
        <v/>
      </c>
    </row>
    <row r="293" spans="1:15" ht="152.25" hidden="1">
      <c r="A293" t="s">
        <v>1678</v>
      </c>
      <c r="B293" t="s">
        <v>1679</v>
      </c>
      <c r="C293" t="s">
        <v>1680</v>
      </c>
      <c r="D293" t="s">
        <v>1681</v>
      </c>
      <c r="E293" t="s">
        <v>24</v>
      </c>
      <c r="F293" t="s">
        <v>1682</v>
      </c>
      <c r="G293" s="4" t="s">
        <v>1683</v>
      </c>
      <c r="H293" s="6" t="s">
        <v>47</v>
      </c>
      <c r="J293" t="s">
        <v>47</v>
      </c>
      <c r="L293" t="str">
        <f t="shared" si="4"/>
        <v/>
      </c>
    </row>
    <row r="294" spans="1:15" ht="213" hidden="1">
      <c r="A294" t="s">
        <v>1684</v>
      </c>
      <c r="B294" t="s">
        <v>1685</v>
      </c>
      <c r="C294" t="s">
        <v>1686</v>
      </c>
      <c r="D294" t="s">
        <v>1687</v>
      </c>
      <c r="E294" t="s">
        <v>31</v>
      </c>
      <c r="F294" t="s">
        <v>1688</v>
      </c>
      <c r="G294" s="4" t="s">
        <v>1689</v>
      </c>
      <c r="H294" s="6" t="s">
        <v>66</v>
      </c>
      <c r="J294" t="s">
        <v>66</v>
      </c>
      <c r="L294" t="str">
        <f t="shared" si="4"/>
        <v/>
      </c>
    </row>
    <row r="295" spans="1:15" ht="60.75" hidden="1">
      <c r="A295" t="s">
        <v>1690</v>
      </c>
      <c r="B295" t="s">
        <v>1691</v>
      </c>
      <c r="C295" t="s">
        <v>1692</v>
      </c>
      <c r="D295" t="s">
        <v>1693</v>
      </c>
      <c r="E295" t="s">
        <v>17</v>
      </c>
      <c r="F295" t="s">
        <v>18</v>
      </c>
      <c r="G295" s="4" t="s">
        <v>1694</v>
      </c>
      <c r="H295" s="6" t="s">
        <v>47</v>
      </c>
      <c r="I295" t="s">
        <v>1695</v>
      </c>
      <c r="J295" t="s">
        <v>47</v>
      </c>
      <c r="L295" t="str">
        <f t="shared" si="4"/>
        <v/>
      </c>
    </row>
    <row r="296" spans="1:15" ht="213" hidden="1">
      <c r="A296" t="s">
        <v>1696</v>
      </c>
      <c r="B296" t="s">
        <v>1697</v>
      </c>
      <c r="C296" t="s">
        <v>1698</v>
      </c>
      <c r="D296" t="s">
        <v>1699</v>
      </c>
      <c r="E296" t="s">
        <v>38</v>
      </c>
      <c r="F296" t="s">
        <v>18</v>
      </c>
      <c r="G296" s="4" t="s">
        <v>1700</v>
      </c>
      <c r="H296" s="6" t="s">
        <v>66</v>
      </c>
      <c r="J296" t="s">
        <v>66</v>
      </c>
      <c r="L296" t="str">
        <f t="shared" si="4"/>
        <v/>
      </c>
    </row>
    <row r="297" spans="1:15" ht="137.25" hidden="1">
      <c r="A297" t="s">
        <v>1701</v>
      </c>
      <c r="B297" t="s">
        <v>1702</v>
      </c>
      <c r="C297" t="s">
        <v>1703</v>
      </c>
      <c r="D297" t="s">
        <v>1704</v>
      </c>
      <c r="E297" t="s">
        <v>149</v>
      </c>
      <c r="F297" t="s">
        <v>1705</v>
      </c>
      <c r="G297" s="4" t="s">
        <v>1706</v>
      </c>
      <c r="H297" s="6" t="s">
        <v>47</v>
      </c>
      <c r="J297" t="s">
        <v>47</v>
      </c>
      <c r="L297" t="str">
        <f t="shared" si="4"/>
        <v/>
      </c>
    </row>
    <row r="298" spans="1:15" ht="213" hidden="1">
      <c r="A298" t="s">
        <v>1707</v>
      </c>
      <c r="B298" t="s">
        <v>1708</v>
      </c>
      <c r="C298" t="s">
        <v>1709</v>
      </c>
      <c r="D298" t="s">
        <v>1710</v>
      </c>
      <c r="E298" t="s">
        <v>95</v>
      </c>
      <c r="F298" t="s">
        <v>18</v>
      </c>
      <c r="G298" s="4" t="s">
        <v>1711</v>
      </c>
      <c r="H298" s="6" t="s">
        <v>47</v>
      </c>
      <c r="J298" t="s">
        <v>47</v>
      </c>
      <c r="L298" t="str">
        <f t="shared" si="4"/>
        <v/>
      </c>
    </row>
    <row r="299" spans="1:15" ht="183" hidden="1">
      <c r="A299" t="s">
        <v>1712</v>
      </c>
      <c r="B299" t="s">
        <v>1713</v>
      </c>
      <c r="C299" t="s">
        <v>1714</v>
      </c>
      <c r="D299" t="s">
        <v>1715</v>
      </c>
      <c r="E299" t="s">
        <v>31</v>
      </c>
      <c r="F299" t="s">
        <v>1716</v>
      </c>
      <c r="G299" s="4" t="s">
        <v>1717</v>
      </c>
      <c r="H299" s="6" t="s">
        <v>47</v>
      </c>
      <c r="J299" t="s">
        <v>47</v>
      </c>
      <c r="L299" t="str">
        <f t="shared" si="4"/>
        <v/>
      </c>
    </row>
    <row r="300" spans="1:15" ht="152.25" hidden="1">
      <c r="A300" t="s">
        <v>1718</v>
      </c>
      <c r="B300" t="s">
        <v>1719</v>
      </c>
      <c r="C300" t="s">
        <v>1720</v>
      </c>
      <c r="D300" t="s">
        <v>1721</v>
      </c>
      <c r="E300" t="s">
        <v>24</v>
      </c>
      <c r="F300" t="s">
        <v>1722</v>
      </c>
      <c r="G300" s="4" t="s">
        <v>1723</v>
      </c>
      <c r="H300" s="6" t="s">
        <v>66</v>
      </c>
      <c r="J300" t="s">
        <v>66</v>
      </c>
      <c r="L300" t="str">
        <f t="shared" si="4"/>
        <v/>
      </c>
    </row>
    <row r="301" spans="1:15" ht="137.25" hidden="1">
      <c r="A301" t="s">
        <v>1724</v>
      </c>
      <c r="B301" t="s">
        <v>1725</v>
      </c>
      <c r="C301" t="s">
        <v>1726</v>
      </c>
      <c r="D301" t="s">
        <v>1727</v>
      </c>
      <c r="E301" t="s">
        <v>95</v>
      </c>
      <c r="F301" t="s">
        <v>18</v>
      </c>
      <c r="G301" s="4" t="s">
        <v>1728</v>
      </c>
      <c r="H301" s="6" t="s">
        <v>66</v>
      </c>
      <c r="J301" t="s">
        <v>66</v>
      </c>
      <c r="L301" t="str">
        <f t="shared" si="4"/>
        <v/>
      </c>
    </row>
    <row r="302" spans="1:15" ht="167.25">
      <c r="A302" t="s">
        <v>1729</v>
      </c>
      <c r="B302" t="s">
        <v>1730</v>
      </c>
      <c r="C302" t="s">
        <v>1731</v>
      </c>
      <c r="D302" t="s">
        <v>1732</v>
      </c>
      <c r="E302" t="s">
        <v>17</v>
      </c>
      <c r="F302" t="s">
        <v>18</v>
      </c>
      <c r="G302" s="4" t="s">
        <v>1733</v>
      </c>
      <c r="H302" s="6" t="s">
        <v>66</v>
      </c>
      <c r="I302" t="s">
        <v>250</v>
      </c>
      <c r="J302" t="s">
        <v>47</v>
      </c>
      <c r="K302" t="s">
        <v>1734</v>
      </c>
      <c r="L302" t="str">
        <f t="shared" si="4"/>
        <v>!!!</v>
      </c>
      <c r="O302" t="str">
        <f>J302</f>
        <v>FALSE</v>
      </c>
    </row>
    <row r="303" spans="1:15" ht="152.25" hidden="1">
      <c r="A303" t="s">
        <v>1735</v>
      </c>
      <c r="B303" t="s">
        <v>1736</v>
      </c>
      <c r="C303" t="s">
        <v>1737</v>
      </c>
      <c r="D303" t="s">
        <v>1738</v>
      </c>
      <c r="E303" t="s">
        <v>17</v>
      </c>
      <c r="F303" t="s">
        <v>18</v>
      </c>
      <c r="G303" s="4" t="s">
        <v>1739</v>
      </c>
      <c r="H303" s="6" t="s">
        <v>66</v>
      </c>
      <c r="J303" t="s">
        <v>66</v>
      </c>
      <c r="L303" t="str">
        <f t="shared" si="4"/>
        <v/>
      </c>
    </row>
    <row r="304" spans="1:15" ht="259.5" hidden="1">
      <c r="A304" t="s">
        <v>1740</v>
      </c>
      <c r="B304" t="s">
        <v>1741</v>
      </c>
      <c r="C304" t="s">
        <v>1742</v>
      </c>
      <c r="D304" t="s">
        <v>1743</v>
      </c>
      <c r="E304" t="s">
        <v>95</v>
      </c>
      <c r="F304" t="s">
        <v>18</v>
      </c>
      <c r="G304" s="4" t="s">
        <v>1744</v>
      </c>
      <c r="H304" s="6" t="s">
        <v>47</v>
      </c>
      <c r="J304" t="s">
        <v>47</v>
      </c>
      <c r="L304" t="str">
        <f t="shared" si="4"/>
        <v/>
      </c>
    </row>
    <row r="305" spans="1:15" ht="152.25" hidden="1">
      <c r="A305" t="s">
        <v>1745</v>
      </c>
      <c r="B305" t="s">
        <v>1746</v>
      </c>
      <c r="C305" t="s">
        <v>1747</v>
      </c>
      <c r="D305" t="s">
        <v>1748</v>
      </c>
      <c r="E305" t="s">
        <v>24</v>
      </c>
      <c r="F305" t="s">
        <v>1749</v>
      </c>
      <c r="G305" s="4" t="s">
        <v>1750</v>
      </c>
      <c r="H305" s="6" t="s">
        <v>47</v>
      </c>
      <c r="J305" t="s">
        <v>47</v>
      </c>
      <c r="L305" t="str">
        <f t="shared" si="4"/>
        <v/>
      </c>
    </row>
    <row r="306" spans="1:15" ht="231.75" hidden="1">
      <c r="A306" t="s">
        <v>1751</v>
      </c>
      <c r="B306" t="s">
        <v>1752</v>
      </c>
      <c r="C306" t="s">
        <v>1753</v>
      </c>
      <c r="D306" t="s">
        <v>1754</v>
      </c>
      <c r="E306" t="s">
        <v>95</v>
      </c>
      <c r="F306" t="s">
        <v>18</v>
      </c>
      <c r="G306" s="4" t="s">
        <v>1755</v>
      </c>
      <c r="H306" s="6" t="s">
        <v>47</v>
      </c>
      <c r="J306" t="s">
        <v>47</v>
      </c>
      <c r="L306" t="str">
        <f t="shared" si="4"/>
        <v/>
      </c>
    </row>
    <row r="307" spans="1:15" ht="275.25" hidden="1">
      <c r="A307" t="s">
        <v>1756</v>
      </c>
      <c r="B307" t="s">
        <v>1757</v>
      </c>
      <c r="C307" t="s">
        <v>1758</v>
      </c>
      <c r="D307" t="s">
        <v>1759</v>
      </c>
      <c r="E307" t="s">
        <v>95</v>
      </c>
      <c r="F307" t="s">
        <v>18</v>
      </c>
      <c r="G307" s="4" t="s">
        <v>1760</v>
      </c>
      <c r="H307" s="6" t="s">
        <v>47</v>
      </c>
      <c r="J307" t="s">
        <v>47</v>
      </c>
      <c r="L307" t="str">
        <f t="shared" si="4"/>
        <v/>
      </c>
    </row>
    <row r="308" spans="1:15" ht="213" hidden="1">
      <c r="A308" t="s">
        <v>1761</v>
      </c>
      <c r="B308" t="s">
        <v>1762</v>
      </c>
      <c r="C308" t="s">
        <v>1763</v>
      </c>
      <c r="D308" t="s">
        <v>1764</v>
      </c>
      <c r="E308" t="s">
        <v>95</v>
      </c>
      <c r="F308" t="s">
        <v>18</v>
      </c>
      <c r="G308" s="4" t="s">
        <v>1765</v>
      </c>
      <c r="H308" s="6" t="s">
        <v>47</v>
      </c>
      <c r="J308" t="s">
        <v>47</v>
      </c>
      <c r="L308" t="str">
        <f t="shared" si="4"/>
        <v/>
      </c>
    </row>
    <row r="309" spans="1:15" ht="259.5" hidden="1">
      <c r="A309" t="s">
        <v>1766</v>
      </c>
      <c r="B309" t="s">
        <v>1767</v>
      </c>
      <c r="C309" t="s">
        <v>1768</v>
      </c>
      <c r="D309" t="s">
        <v>1769</v>
      </c>
      <c r="E309" t="s">
        <v>149</v>
      </c>
      <c r="F309" t="s">
        <v>1770</v>
      </c>
      <c r="G309" s="4" t="s">
        <v>1771</v>
      </c>
      <c r="H309" s="6" t="s">
        <v>47</v>
      </c>
      <c r="J309" t="s">
        <v>47</v>
      </c>
      <c r="L309" t="str">
        <f t="shared" si="4"/>
        <v/>
      </c>
    </row>
    <row r="310" spans="1:15" ht="244.5" hidden="1">
      <c r="A310" t="s">
        <v>1772</v>
      </c>
      <c r="B310" t="s">
        <v>1773</v>
      </c>
      <c r="C310" t="s">
        <v>1774</v>
      </c>
      <c r="D310" t="s">
        <v>1775</v>
      </c>
      <c r="E310" t="s">
        <v>38</v>
      </c>
      <c r="F310" t="s">
        <v>18</v>
      </c>
      <c r="G310" s="4" t="s">
        <v>1776</v>
      </c>
      <c r="H310" s="6" t="s">
        <v>47</v>
      </c>
      <c r="J310" t="s">
        <v>47</v>
      </c>
      <c r="L310" t="str">
        <f t="shared" si="4"/>
        <v/>
      </c>
    </row>
    <row r="311" spans="1:15" ht="167.25" hidden="1">
      <c r="A311" t="s">
        <v>1777</v>
      </c>
      <c r="B311" t="s">
        <v>1778</v>
      </c>
      <c r="C311" t="s">
        <v>1779</v>
      </c>
      <c r="D311" t="s">
        <v>1780</v>
      </c>
      <c r="E311" t="s">
        <v>38</v>
      </c>
      <c r="F311" t="s">
        <v>1781</v>
      </c>
      <c r="G311" s="4" t="s">
        <v>1782</v>
      </c>
      <c r="H311" s="6" t="s">
        <v>47</v>
      </c>
      <c r="J311" t="s">
        <v>47</v>
      </c>
      <c r="L311" t="str">
        <f t="shared" si="4"/>
        <v/>
      </c>
    </row>
    <row r="312" spans="1:15" ht="229.5" hidden="1">
      <c r="A312" t="s">
        <v>1783</v>
      </c>
      <c r="B312" t="s">
        <v>1784</v>
      </c>
      <c r="C312" t="s">
        <v>1785</v>
      </c>
      <c r="D312" t="s">
        <v>1786</v>
      </c>
      <c r="E312" t="s">
        <v>38</v>
      </c>
      <c r="F312" t="s">
        <v>1787</v>
      </c>
      <c r="G312" s="4" t="s">
        <v>1788</v>
      </c>
      <c r="H312" s="6" t="s">
        <v>47</v>
      </c>
      <c r="J312" t="s">
        <v>47</v>
      </c>
      <c r="L312" t="str">
        <f t="shared" si="4"/>
        <v/>
      </c>
    </row>
    <row r="313" spans="1:15" ht="213">
      <c r="A313" t="s">
        <v>1789</v>
      </c>
      <c r="B313" t="s">
        <v>1790</v>
      </c>
      <c r="C313" t="s">
        <v>1791</v>
      </c>
      <c r="D313" t="s">
        <v>1792</v>
      </c>
      <c r="E313" t="s">
        <v>190</v>
      </c>
      <c r="F313" t="s">
        <v>18</v>
      </c>
      <c r="G313" s="4" t="s">
        <v>1793</v>
      </c>
      <c r="H313" s="6" t="s">
        <v>66</v>
      </c>
      <c r="J313" t="s">
        <v>47</v>
      </c>
      <c r="K313" t="s">
        <v>1794</v>
      </c>
      <c r="L313" t="str">
        <f t="shared" si="4"/>
        <v>!!!</v>
      </c>
      <c r="O313" t="str">
        <f>J313</f>
        <v>FALSE</v>
      </c>
    </row>
    <row r="314" spans="1:15" ht="213" hidden="1">
      <c r="A314" t="s">
        <v>1795</v>
      </c>
      <c r="B314" t="s">
        <v>1796</v>
      </c>
      <c r="C314" t="s">
        <v>1797</v>
      </c>
      <c r="D314" t="s">
        <v>1798</v>
      </c>
      <c r="E314" t="s">
        <v>71</v>
      </c>
      <c r="F314" t="s">
        <v>1799</v>
      </c>
      <c r="G314" s="4" t="s">
        <v>1800</v>
      </c>
      <c r="H314" s="6" t="s">
        <v>47</v>
      </c>
      <c r="J314" t="s">
        <v>47</v>
      </c>
      <c r="L314" t="str">
        <f t="shared" si="4"/>
        <v/>
      </c>
    </row>
    <row r="315" spans="1:15" ht="244.5" hidden="1">
      <c r="A315" t="s">
        <v>1801</v>
      </c>
      <c r="B315" t="s">
        <v>1802</v>
      </c>
      <c r="C315" t="s">
        <v>1803</v>
      </c>
      <c r="D315" t="s">
        <v>1804</v>
      </c>
      <c r="E315" t="s">
        <v>190</v>
      </c>
      <c r="F315" t="s">
        <v>18</v>
      </c>
      <c r="G315" s="4" t="s">
        <v>1805</v>
      </c>
      <c r="H315" s="6" t="s">
        <v>47</v>
      </c>
      <c r="J315" t="s">
        <v>47</v>
      </c>
      <c r="L315" t="str">
        <f t="shared" si="4"/>
        <v/>
      </c>
    </row>
    <row r="316" spans="1:15" ht="152.25" hidden="1">
      <c r="A316" t="s">
        <v>1806</v>
      </c>
      <c r="B316" t="s">
        <v>1807</v>
      </c>
      <c r="C316" t="s">
        <v>1808</v>
      </c>
      <c r="D316" t="s">
        <v>1809</v>
      </c>
      <c r="E316" t="s">
        <v>17</v>
      </c>
      <c r="F316" t="s">
        <v>18</v>
      </c>
      <c r="G316" s="4" t="s">
        <v>1810</v>
      </c>
      <c r="H316" s="6" t="s">
        <v>66</v>
      </c>
      <c r="J316" t="s">
        <v>66</v>
      </c>
      <c r="K316" t="s">
        <v>250</v>
      </c>
      <c r="L316" t="str">
        <f t="shared" si="4"/>
        <v/>
      </c>
    </row>
    <row r="317" spans="1:15" ht="106.5" hidden="1">
      <c r="A317" t="s">
        <v>1811</v>
      </c>
      <c r="B317" t="s">
        <v>1812</v>
      </c>
      <c r="C317" t="s">
        <v>1813</v>
      </c>
      <c r="D317" t="s">
        <v>1814</v>
      </c>
      <c r="E317" t="s">
        <v>24</v>
      </c>
      <c r="F317" t="s">
        <v>1815</v>
      </c>
      <c r="G317" s="4" t="s">
        <v>1816</v>
      </c>
      <c r="H317" s="6" t="s">
        <v>47</v>
      </c>
      <c r="J317" t="s">
        <v>47</v>
      </c>
      <c r="L317" t="str">
        <f t="shared" si="4"/>
        <v/>
      </c>
    </row>
    <row r="318" spans="1:15" ht="198">
      <c r="A318" t="s">
        <v>1817</v>
      </c>
      <c r="B318" t="s">
        <v>1818</v>
      </c>
      <c r="C318" t="s">
        <v>1819</v>
      </c>
      <c r="D318" t="s">
        <v>1820</v>
      </c>
      <c r="E318" t="s">
        <v>31</v>
      </c>
      <c r="F318" t="s">
        <v>1821</v>
      </c>
      <c r="G318" s="4" t="s">
        <v>1822</v>
      </c>
      <c r="H318" s="6" t="s">
        <v>66</v>
      </c>
      <c r="J318" t="s">
        <v>47</v>
      </c>
      <c r="K318" t="s">
        <v>1823</v>
      </c>
      <c r="L318" t="str">
        <f t="shared" si="4"/>
        <v>!!!</v>
      </c>
      <c r="O318" t="str">
        <f>J318</f>
        <v>FALSE</v>
      </c>
    </row>
    <row r="319" spans="1:15" ht="167.25" hidden="1">
      <c r="A319" t="s">
        <v>1824</v>
      </c>
      <c r="B319" t="s">
        <v>1825</v>
      </c>
      <c r="C319" t="s">
        <v>1826</v>
      </c>
      <c r="D319" t="s">
        <v>1827</v>
      </c>
      <c r="E319" t="s">
        <v>24</v>
      </c>
      <c r="F319" t="s">
        <v>1828</v>
      </c>
      <c r="G319" s="4" t="s">
        <v>1829</v>
      </c>
      <c r="H319" s="6" t="s">
        <v>47</v>
      </c>
      <c r="J319" t="s">
        <v>47</v>
      </c>
      <c r="L319" t="str">
        <f t="shared" si="4"/>
        <v/>
      </c>
    </row>
    <row r="320" spans="1:15" ht="213" hidden="1">
      <c r="A320" t="s">
        <v>1830</v>
      </c>
      <c r="B320" t="s">
        <v>1831</v>
      </c>
      <c r="C320" t="s">
        <v>1832</v>
      </c>
      <c r="D320" t="s">
        <v>1833</v>
      </c>
      <c r="E320" t="s">
        <v>31</v>
      </c>
      <c r="F320" t="s">
        <v>1834</v>
      </c>
      <c r="G320" s="4" t="s">
        <v>1835</v>
      </c>
      <c r="H320" s="6" t="s">
        <v>66</v>
      </c>
      <c r="J320" t="s">
        <v>66</v>
      </c>
      <c r="L320" t="str">
        <f t="shared" si="4"/>
        <v/>
      </c>
    </row>
    <row r="321" spans="1:15" ht="137.25" hidden="1">
      <c r="A321" t="s">
        <v>1836</v>
      </c>
      <c r="B321" t="s">
        <v>1837</v>
      </c>
      <c r="C321" t="s">
        <v>1838</v>
      </c>
      <c r="D321" t="s">
        <v>1839</v>
      </c>
      <c r="E321" t="s">
        <v>38</v>
      </c>
      <c r="F321" t="s">
        <v>1840</v>
      </c>
      <c r="G321" s="4" t="s">
        <v>1841</v>
      </c>
      <c r="H321" s="6" t="s">
        <v>47</v>
      </c>
      <c r="J321" t="s">
        <v>47</v>
      </c>
      <c r="L321" t="str">
        <f t="shared" si="4"/>
        <v/>
      </c>
    </row>
    <row r="322" spans="1:15" ht="229.5" hidden="1">
      <c r="A322" t="s">
        <v>1842</v>
      </c>
      <c r="B322" t="s">
        <v>1843</v>
      </c>
      <c r="C322" t="s">
        <v>1844</v>
      </c>
      <c r="D322" t="s">
        <v>1845</v>
      </c>
      <c r="E322" t="s">
        <v>38</v>
      </c>
      <c r="F322" t="s">
        <v>1846</v>
      </c>
      <c r="G322" s="4" t="s">
        <v>1847</v>
      </c>
      <c r="H322" s="6" t="s">
        <v>47</v>
      </c>
      <c r="J322" t="s">
        <v>47</v>
      </c>
      <c r="L322" t="str">
        <f t="shared" si="4"/>
        <v/>
      </c>
    </row>
    <row r="323" spans="1:15" ht="213">
      <c r="A323" t="s">
        <v>1848</v>
      </c>
      <c r="B323" t="s">
        <v>1849</v>
      </c>
      <c r="C323" t="s">
        <v>1850</v>
      </c>
      <c r="D323" t="s">
        <v>1851</v>
      </c>
      <c r="E323" t="s">
        <v>38</v>
      </c>
      <c r="F323" t="s">
        <v>1852</v>
      </c>
      <c r="G323" s="4" t="s">
        <v>1853</v>
      </c>
      <c r="H323" s="6" t="s">
        <v>66</v>
      </c>
      <c r="J323" t="s">
        <v>47</v>
      </c>
      <c r="K323" t="s">
        <v>1854</v>
      </c>
      <c r="L323" t="str">
        <f t="shared" ref="L323:L386" si="5">IF(OR(H323="",J323=""),"",IF(TEXT(H323,"")&lt;&gt;TEXT(J323,""),"!!!",""))</f>
        <v>!!!</v>
      </c>
      <c r="O323" t="s">
        <v>66</v>
      </c>
    </row>
    <row r="324" spans="1:15" ht="213" hidden="1">
      <c r="A324" t="s">
        <v>1855</v>
      </c>
      <c r="B324" t="s">
        <v>1856</v>
      </c>
      <c r="C324" t="s">
        <v>1857</v>
      </c>
      <c r="D324" t="s">
        <v>1858</v>
      </c>
      <c r="E324" t="s">
        <v>71</v>
      </c>
      <c r="F324" t="s">
        <v>18</v>
      </c>
      <c r="G324" s="4" t="s">
        <v>1859</v>
      </c>
      <c r="H324" s="6" t="s">
        <v>66</v>
      </c>
      <c r="I324" t="s">
        <v>250</v>
      </c>
      <c r="J324" t="s">
        <v>66</v>
      </c>
      <c r="L324" t="str">
        <f t="shared" si="5"/>
        <v/>
      </c>
    </row>
    <row r="325" spans="1:15" ht="183" hidden="1">
      <c r="A325" t="s">
        <v>1860</v>
      </c>
      <c r="B325" t="s">
        <v>1861</v>
      </c>
      <c r="C325" t="s">
        <v>1862</v>
      </c>
      <c r="D325" t="s">
        <v>1863</v>
      </c>
      <c r="E325" t="s">
        <v>31</v>
      </c>
      <c r="F325" t="s">
        <v>1864</v>
      </c>
      <c r="G325" s="4" t="s">
        <v>1865</v>
      </c>
      <c r="H325" s="6" t="s">
        <v>47</v>
      </c>
      <c r="J325" t="s">
        <v>47</v>
      </c>
      <c r="L325" t="str">
        <f t="shared" si="5"/>
        <v/>
      </c>
    </row>
    <row r="326" spans="1:15" ht="213" hidden="1">
      <c r="A326" t="s">
        <v>1866</v>
      </c>
      <c r="B326" t="s">
        <v>1867</v>
      </c>
      <c r="C326" t="s">
        <v>1868</v>
      </c>
      <c r="D326" t="s">
        <v>1869</v>
      </c>
      <c r="E326" t="s">
        <v>190</v>
      </c>
      <c r="F326" t="s">
        <v>1870</v>
      </c>
      <c r="G326" s="4" t="s">
        <v>1871</v>
      </c>
      <c r="H326" s="6" t="s">
        <v>66</v>
      </c>
      <c r="J326" t="s">
        <v>66</v>
      </c>
      <c r="L326" t="str">
        <f t="shared" si="5"/>
        <v/>
      </c>
    </row>
    <row r="327" spans="1:15" ht="121.5" hidden="1">
      <c r="A327" t="s">
        <v>1872</v>
      </c>
      <c r="B327" t="s">
        <v>1873</v>
      </c>
      <c r="C327" t="s">
        <v>1874</v>
      </c>
      <c r="D327" t="s">
        <v>1875</v>
      </c>
      <c r="E327" t="s">
        <v>149</v>
      </c>
      <c r="F327" t="s">
        <v>1876</v>
      </c>
      <c r="G327" s="4" t="s">
        <v>1877</v>
      </c>
      <c r="H327" s="6" t="s">
        <v>66</v>
      </c>
      <c r="J327" t="s">
        <v>66</v>
      </c>
      <c r="L327" t="str">
        <f t="shared" si="5"/>
        <v/>
      </c>
    </row>
    <row r="328" spans="1:15" ht="106.5" hidden="1">
      <c r="A328" t="s">
        <v>1878</v>
      </c>
      <c r="B328" t="s">
        <v>1879</v>
      </c>
      <c r="C328" t="s">
        <v>1880</v>
      </c>
      <c r="D328" t="s">
        <v>1881</v>
      </c>
      <c r="E328" t="s">
        <v>31</v>
      </c>
      <c r="F328" t="s">
        <v>1882</v>
      </c>
      <c r="G328" s="4" t="s">
        <v>1883</v>
      </c>
      <c r="H328" s="6" t="s">
        <v>47</v>
      </c>
      <c r="J328" t="s">
        <v>47</v>
      </c>
      <c r="L328" t="str">
        <f t="shared" si="5"/>
        <v/>
      </c>
    </row>
    <row r="329" spans="1:15" ht="229.5" hidden="1">
      <c r="A329" t="s">
        <v>1884</v>
      </c>
      <c r="B329" t="s">
        <v>1885</v>
      </c>
      <c r="C329" t="s">
        <v>1886</v>
      </c>
      <c r="D329" t="s">
        <v>1887</v>
      </c>
      <c r="E329" t="s">
        <v>95</v>
      </c>
      <c r="F329" t="s">
        <v>18</v>
      </c>
      <c r="G329" s="4" t="s">
        <v>1888</v>
      </c>
      <c r="H329" s="6" t="s">
        <v>66</v>
      </c>
      <c r="J329" t="s">
        <v>66</v>
      </c>
      <c r="L329" t="str">
        <f t="shared" si="5"/>
        <v/>
      </c>
    </row>
    <row r="330" spans="1:15" ht="213" hidden="1">
      <c r="A330" t="s">
        <v>1889</v>
      </c>
      <c r="B330" t="s">
        <v>1890</v>
      </c>
      <c r="C330" t="s">
        <v>1891</v>
      </c>
      <c r="D330" t="s">
        <v>1892</v>
      </c>
      <c r="E330" t="s">
        <v>31</v>
      </c>
      <c r="F330" t="s">
        <v>1893</v>
      </c>
      <c r="G330" s="4" t="s">
        <v>1894</v>
      </c>
      <c r="H330" s="6" t="s">
        <v>66</v>
      </c>
      <c r="J330" t="s">
        <v>66</v>
      </c>
      <c r="L330" t="str">
        <f t="shared" si="5"/>
        <v/>
      </c>
    </row>
    <row r="331" spans="1:15" ht="167.25" hidden="1">
      <c r="A331" t="s">
        <v>1895</v>
      </c>
      <c r="B331" t="s">
        <v>1896</v>
      </c>
      <c r="C331" t="s">
        <v>1897</v>
      </c>
      <c r="D331" t="s">
        <v>1898</v>
      </c>
      <c r="E331" t="s">
        <v>17</v>
      </c>
      <c r="F331" t="s">
        <v>18</v>
      </c>
      <c r="G331" s="4" t="s">
        <v>1899</v>
      </c>
      <c r="H331" s="6" t="s">
        <v>66</v>
      </c>
      <c r="I331" t="s">
        <v>666</v>
      </c>
      <c r="J331" t="s">
        <v>66</v>
      </c>
      <c r="L331" t="str">
        <f t="shared" si="5"/>
        <v/>
      </c>
    </row>
    <row r="332" spans="1:15" ht="167.25" hidden="1">
      <c r="A332" t="s">
        <v>1900</v>
      </c>
      <c r="B332" t="s">
        <v>1901</v>
      </c>
      <c r="C332" t="s">
        <v>1902</v>
      </c>
      <c r="D332" t="s">
        <v>1903</v>
      </c>
      <c r="E332" t="s">
        <v>24</v>
      </c>
      <c r="F332" t="s">
        <v>1904</v>
      </c>
      <c r="G332" s="4" t="s">
        <v>1905</v>
      </c>
      <c r="H332" s="6" t="s">
        <v>47</v>
      </c>
      <c r="J332" t="s">
        <v>47</v>
      </c>
      <c r="L332" t="str">
        <f t="shared" si="5"/>
        <v/>
      </c>
    </row>
    <row r="333" spans="1:15" ht="213" hidden="1">
      <c r="A333" t="s">
        <v>1906</v>
      </c>
      <c r="B333" t="s">
        <v>1907</v>
      </c>
      <c r="C333" t="s">
        <v>1908</v>
      </c>
      <c r="D333" t="s">
        <v>1909</v>
      </c>
      <c r="E333" t="s">
        <v>38</v>
      </c>
      <c r="F333" t="s">
        <v>18</v>
      </c>
      <c r="G333" s="4" t="s">
        <v>1910</v>
      </c>
      <c r="H333" s="6" t="s">
        <v>66</v>
      </c>
      <c r="J333" t="s">
        <v>66</v>
      </c>
      <c r="L333" t="str">
        <f t="shared" si="5"/>
        <v/>
      </c>
    </row>
    <row r="334" spans="1:15" ht="137.25" hidden="1">
      <c r="A334" t="s">
        <v>1911</v>
      </c>
      <c r="B334" t="s">
        <v>1912</v>
      </c>
      <c r="C334" t="s">
        <v>1913</v>
      </c>
      <c r="D334" t="s">
        <v>1914</v>
      </c>
      <c r="E334" t="s">
        <v>17</v>
      </c>
      <c r="F334" t="s">
        <v>18</v>
      </c>
      <c r="G334" s="4" t="s">
        <v>1915</v>
      </c>
      <c r="H334" s="6" t="s">
        <v>47</v>
      </c>
      <c r="J334" t="s">
        <v>47</v>
      </c>
      <c r="L334" t="str">
        <f t="shared" si="5"/>
        <v/>
      </c>
    </row>
    <row r="335" spans="1:15" ht="409.6" hidden="1">
      <c r="A335" t="s">
        <v>1916</v>
      </c>
      <c r="B335" t="s">
        <v>1917</v>
      </c>
      <c r="C335" t="s">
        <v>1918</v>
      </c>
      <c r="D335" t="s">
        <v>1919</v>
      </c>
      <c r="E335" t="s">
        <v>1104</v>
      </c>
      <c r="F335" t="s">
        <v>18</v>
      </c>
      <c r="G335" s="4" t="s">
        <v>1920</v>
      </c>
      <c r="H335" s="6" t="s">
        <v>66</v>
      </c>
      <c r="J335" t="s">
        <v>66</v>
      </c>
      <c r="L335" t="str">
        <f t="shared" si="5"/>
        <v/>
      </c>
    </row>
    <row r="336" spans="1:15" ht="167.25" hidden="1">
      <c r="A336" t="s">
        <v>1921</v>
      </c>
      <c r="B336" t="s">
        <v>1922</v>
      </c>
      <c r="C336" t="s">
        <v>1923</v>
      </c>
      <c r="D336" t="s">
        <v>1924</v>
      </c>
      <c r="E336" t="s">
        <v>17</v>
      </c>
      <c r="F336" t="s">
        <v>18</v>
      </c>
      <c r="G336" s="4" t="s">
        <v>1925</v>
      </c>
      <c r="H336" s="6" t="s">
        <v>66</v>
      </c>
      <c r="J336" t="s">
        <v>66</v>
      </c>
      <c r="L336" t="str">
        <f t="shared" si="5"/>
        <v/>
      </c>
    </row>
    <row r="337" spans="1:12" ht="198" hidden="1">
      <c r="A337" t="s">
        <v>1926</v>
      </c>
      <c r="B337" t="s">
        <v>1927</v>
      </c>
      <c r="C337" t="s">
        <v>1928</v>
      </c>
      <c r="D337" t="s">
        <v>1929</v>
      </c>
      <c r="E337" t="s">
        <v>108</v>
      </c>
      <c r="F337" t="s">
        <v>18</v>
      </c>
      <c r="G337" s="4" t="s">
        <v>1930</v>
      </c>
      <c r="H337" s="6" t="s">
        <v>47</v>
      </c>
      <c r="J337" t="s">
        <v>47</v>
      </c>
      <c r="L337" t="str">
        <f t="shared" si="5"/>
        <v/>
      </c>
    </row>
    <row r="338" spans="1:12" ht="106.5" hidden="1">
      <c r="A338" t="s">
        <v>1931</v>
      </c>
      <c r="B338" t="s">
        <v>1932</v>
      </c>
      <c r="C338" t="s">
        <v>1933</v>
      </c>
      <c r="D338" t="s">
        <v>1934</v>
      </c>
      <c r="E338" t="s">
        <v>190</v>
      </c>
      <c r="F338" t="s">
        <v>18</v>
      </c>
      <c r="G338" s="4" t="s">
        <v>1935</v>
      </c>
      <c r="H338" s="6" t="s">
        <v>47</v>
      </c>
      <c r="J338" t="s">
        <v>47</v>
      </c>
      <c r="L338" t="str">
        <f t="shared" si="5"/>
        <v/>
      </c>
    </row>
    <row r="339" spans="1:12" ht="213" hidden="1">
      <c r="A339" t="s">
        <v>1936</v>
      </c>
      <c r="B339" t="s">
        <v>1937</v>
      </c>
      <c r="C339" t="s">
        <v>1938</v>
      </c>
      <c r="D339" t="s">
        <v>1939</v>
      </c>
      <c r="E339" t="s">
        <v>95</v>
      </c>
      <c r="F339" t="s">
        <v>18</v>
      </c>
      <c r="G339" s="4" t="s">
        <v>1940</v>
      </c>
      <c r="H339" s="6" t="s">
        <v>66</v>
      </c>
      <c r="J339" t="s">
        <v>66</v>
      </c>
      <c r="L339" t="str">
        <f t="shared" si="5"/>
        <v/>
      </c>
    </row>
    <row r="340" spans="1:12" ht="183" hidden="1">
      <c r="A340" t="s">
        <v>1941</v>
      </c>
      <c r="B340" t="s">
        <v>1942</v>
      </c>
      <c r="C340" t="s">
        <v>1943</v>
      </c>
      <c r="D340" t="s">
        <v>1944</v>
      </c>
      <c r="E340" t="s">
        <v>31</v>
      </c>
      <c r="F340" t="s">
        <v>18</v>
      </c>
      <c r="G340" s="4" t="s">
        <v>1945</v>
      </c>
      <c r="H340" s="6" t="s">
        <v>66</v>
      </c>
      <c r="J340" t="s">
        <v>66</v>
      </c>
      <c r="L340" t="str">
        <f t="shared" si="5"/>
        <v/>
      </c>
    </row>
    <row r="341" spans="1:12" ht="106.5" hidden="1">
      <c r="A341" t="s">
        <v>1946</v>
      </c>
      <c r="B341" t="s">
        <v>1947</v>
      </c>
      <c r="C341" t="s">
        <v>1948</v>
      </c>
      <c r="D341" t="s">
        <v>1949</v>
      </c>
      <c r="E341" t="s">
        <v>24</v>
      </c>
      <c r="F341" t="s">
        <v>1950</v>
      </c>
      <c r="G341" s="4" t="s">
        <v>1951</v>
      </c>
      <c r="H341" s="6" t="s">
        <v>47</v>
      </c>
      <c r="J341" t="s">
        <v>47</v>
      </c>
      <c r="L341" t="str">
        <f t="shared" si="5"/>
        <v/>
      </c>
    </row>
    <row r="342" spans="1:12" ht="167.25" hidden="1">
      <c r="A342" t="s">
        <v>1952</v>
      </c>
      <c r="B342" t="s">
        <v>1953</v>
      </c>
      <c r="C342" t="s">
        <v>1954</v>
      </c>
      <c r="D342" t="s">
        <v>1955</v>
      </c>
      <c r="E342" t="s">
        <v>31</v>
      </c>
      <c r="F342" t="s">
        <v>1956</v>
      </c>
      <c r="G342" s="4" t="s">
        <v>1957</v>
      </c>
      <c r="H342" s="6" t="s">
        <v>66</v>
      </c>
      <c r="J342" t="s">
        <v>66</v>
      </c>
      <c r="L342" t="str">
        <f t="shared" si="5"/>
        <v/>
      </c>
    </row>
    <row r="343" spans="1:12" ht="198" hidden="1">
      <c r="A343" t="s">
        <v>1958</v>
      </c>
      <c r="B343" t="s">
        <v>1959</v>
      </c>
      <c r="C343" t="s">
        <v>1960</v>
      </c>
      <c r="D343" t="s">
        <v>1961</v>
      </c>
      <c r="E343" t="s">
        <v>24</v>
      </c>
      <c r="F343" t="s">
        <v>1962</v>
      </c>
      <c r="G343" s="4" t="s">
        <v>1963</v>
      </c>
      <c r="H343" s="6" t="s">
        <v>47</v>
      </c>
      <c r="J343" t="s">
        <v>47</v>
      </c>
      <c r="L343" t="str">
        <f t="shared" si="5"/>
        <v/>
      </c>
    </row>
    <row r="344" spans="1:12" ht="167.25" hidden="1">
      <c r="A344" t="s">
        <v>1964</v>
      </c>
      <c r="B344" t="s">
        <v>1965</v>
      </c>
      <c r="C344" t="s">
        <v>1966</v>
      </c>
      <c r="D344" t="s">
        <v>1967</v>
      </c>
      <c r="E344" t="s">
        <v>24</v>
      </c>
      <c r="F344" t="s">
        <v>1968</v>
      </c>
      <c r="G344" s="4" t="s">
        <v>1969</v>
      </c>
      <c r="H344" s="6" t="s">
        <v>47</v>
      </c>
      <c r="J344" t="s">
        <v>47</v>
      </c>
      <c r="L344" t="str">
        <f t="shared" si="5"/>
        <v/>
      </c>
    </row>
    <row r="345" spans="1:12" ht="152.25" hidden="1">
      <c r="A345" t="s">
        <v>1970</v>
      </c>
      <c r="B345" t="s">
        <v>1971</v>
      </c>
      <c r="C345" t="s">
        <v>1972</v>
      </c>
      <c r="D345" t="s">
        <v>1973</v>
      </c>
      <c r="E345" t="s">
        <v>108</v>
      </c>
      <c r="F345" t="s">
        <v>1974</v>
      </c>
      <c r="G345" s="4" t="s">
        <v>1975</v>
      </c>
      <c r="H345" s="6" t="s">
        <v>47</v>
      </c>
      <c r="J345" t="s">
        <v>47</v>
      </c>
      <c r="L345" t="str">
        <f t="shared" si="5"/>
        <v/>
      </c>
    </row>
    <row r="346" spans="1:12" ht="152.25" hidden="1">
      <c r="A346" t="s">
        <v>1976</v>
      </c>
      <c r="B346" t="s">
        <v>1977</v>
      </c>
      <c r="C346" t="s">
        <v>1978</v>
      </c>
      <c r="D346" t="s">
        <v>1979</v>
      </c>
      <c r="E346" t="s">
        <v>17</v>
      </c>
      <c r="F346" t="s">
        <v>18</v>
      </c>
      <c r="G346" s="4" t="s">
        <v>1980</v>
      </c>
      <c r="H346" s="6" t="s">
        <v>66</v>
      </c>
      <c r="J346" t="s">
        <v>66</v>
      </c>
      <c r="L346" t="str">
        <f t="shared" si="5"/>
        <v/>
      </c>
    </row>
    <row r="347" spans="1:12" ht="121.5" hidden="1">
      <c r="A347" t="s">
        <v>1981</v>
      </c>
      <c r="B347" t="s">
        <v>1982</v>
      </c>
      <c r="C347" t="s">
        <v>1983</v>
      </c>
      <c r="D347" t="s">
        <v>1984</v>
      </c>
      <c r="E347" t="s">
        <v>17</v>
      </c>
      <c r="F347" t="s">
        <v>18</v>
      </c>
      <c r="G347" s="4" t="s">
        <v>1985</v>
      </c>
      <c r="H347" s="6" t="s">
        <v>47</v>
      </c>
      <c r="I347" t="s">
        <v>250</v>
      </c>
      <c r="J347" t="s">
        <v>47</v>
      </c>
      <c r="L347" t="str">
        <f t="shared" si="5"/>
        <v/>
      </c>
    </row>
    <row r="348" spans="1:12" ht="259.5" hidden="1">
      <c r="A348" t="s">
        <v>1986</v>
      </c>
      <c r="B348" t="s">
        <v>1987</v>
      </c>
      <c r="C348" t="s">
        <v>1988</v>
      </c>
      <c r="D348" t="s">
        <v>1989</v>
      </c>
      <c r="E348" t="s">
        <v>95</v>
      </c>
      <c r="F348" t="s">
        <v>18</v>
      </c>
      <c r="G348" s="4" t="s">
        <v>1990</v>
      </c>
      <c r="H348" s="6" t="s">
        <v>47</v>
      </c>
      <c r="J348" t="s">
        <v>47</v>
      </c>
      <c r="L348" t="str">
        <f t="shared" si="5"/>
        <v/>
      </c>
    </row>
    <row r="349" spans="1:12" ht="183" hidden="1">
      <c r="A349" t="s">
        <v>1991</v>
      </c>
      <c r="B349" t="s">
        <v>1992</v>
      </c>
      <c r="C349" t="s">
        <v>1993</v>
      </c>
      <c r="D349" t="s">
        <v>1994</v>
      </c>
      <c r="E349" t="s">
        <v>190</v>
      </c>
      <c r="F349" t="s">
        <v>18</v>
      </c>
      <c r="G349" s="4" t="s">
        <v>1995</v>
      </c>
      <c r="H349" s="6" t="s">
        <v>47</v>
      </c>
      <c r="J349" t="s">
        <v>47</v>
      </c>
      <c r="L349" t="str">
        <f t="shared" si="5"/>
        <v/>
      </c>
    </row>
    <row r="350" spans="1:12" ht="152.25" hidden="1">
      <c r="A350" t="s">
        <v>1996</v>
      </c>
      <c r="B350" t="s">
        <v>1997</v>
      </c>
      <c r="C350" t="s">
        <v>1998</v>
      </c>
      <c r="D350" t="s">
        <v>1999</v>
      </c>
      <c r="E350" t="s">
        <v>108</v>
      </c>
      <c r="F350" t="s">
        <v>18</v>
      </c>
      <c r="G350" s="4" t="s">
        <v>2000</v>
      </c>
      <c r="H350" s="6" t="s">
        <v>47</v>
      </c>
      <c r="J350" t="s">
        <v>47</v>
      </c>
      <c r="L350" t="str">
        <f t="shared" si="5"/>
        <v/>
      </c>
    </row>
    <row r="351" spans="1:12" ht="198" hidden="1">
      <c r="A351" t="s">
        <v>2001</v>
      </c>
      <c r="B351" t="s">
        <v>2002</v>
      </c>
      <c r="C351" t="s">
        <v>2003</v>
      </c>
      <c r="D351" t="s">
        <v>2004</v>
      </c>
      <c r="E351" t="s">
        <v>31</v>
      </c>
      <c r="F351" t="s">
        <v>2005</v>
      </c>
      <c r="G351" s="4" t="s">
        <v>2006</v>
      </c>
      <c r="H351" s="6" t="s">
        <v>66</v>
      </c>
      <c r="J351" t="s">
        <v>66</v>
      </c>
      <c r="L351" t="str">
        <f t="shared" si="5"/>
        <v/>
      </c>
    </row>
    <row r="352" spans="1:12" ht="121.5" hidden="1">
      <c r="A352" t="s">
        <v>2007</v>
      </c>
      <c r="B352" t="s">
        <v>2008</v>
      </c>
      <c r="C352" t="s">
        <v>2009</v>
      </c>
      <c r="D352" t="s">
        <v>2010</v>
      </c>
      <c r="E352" t="s">
        <v>17</v>
      </c>
      <c r="F352" t="s">
        <v>18</v>
      </c>
      <c r="G352" s="4" t="s">
        <v>2011</v>
      </c>
      <c r="H352" s="6" t="s">
        <v>66</v>
      </c>
      <c r="I352" t="s">
        <v>666</v>
      </c>
      <c r="J352" t="s">
        <v>66</v>
      </c>
      <c r="L352" t="str">
        <f t="shared" si="5"/>
        <v/>
      </c>
    </row>
    <row r="353" spans="1:15" ht="167.25" hidden="1">
      <c r="A353" t="s">
        <v>2012</v>
      </c>
      <c r="B353" t="s">
        <v>2013</v>
      </c>
      <c r="C353" t="s">
        <v>2014</v>
      </c>
      <c r="D353" t="s">
        <v>2015</v>
      </c>
      <c r="E353" t="s">
        <v>31</v>
      </c>
      <c r="F353" t="s">
        <v>2016</v>
      </c>
      <c r="G353" s="4" t="s">
        <v>2017</v>
      </c>
      <c r="H353" s="6" t="s">
        <v>66</v>
      </c>
      <c r="J353" t="s">
        <v>66</v>
      </c>
      <c r="L353" t="str">
        <f t="shared" si="5"/>
        <v/>
      </c>
    </row>
    <row r="354" spans="1:15" ht="152.25" hidden="1">
      <c r="A354" t="s">
        <v>2018</v>
      </c>
      <c r="B354" t="s">
        <v>2019</v>
      </c>
      <c r="C354" t="s">
        <v>2020</v>
      </c>
      <c r="D354" t="s">
        <v>2021</v>
      </c>
      <c r="E354" t="s">
        <v>24</v>
      </c>
      <c r="F354" t="s">
        <v>2022</v>
      </c>
      <c r="G354" s="4" t="s">
        <v>2023</v>
      </c>
      <c r="H354" s="6" t="s">
        <v>47</v>
      </c>
      <c r="J354" t="s">
        <v>47</v>
      </c>
      <c r="L354" t="str">
        <f t="shared" si="5"/>
        <v/>
      </c>
    </row>
    <row r="355" spans="1:15" ht="198" hidden="1">
      <c r="A355" t="s">
        <v>2024</v>
      </c>
      <c r="B355" t="s">
        <v>2025</v>
      </c>
      <c r="C355" t="s">
        <v>2026</v>
      </c>
      <c r="D355" t="s">
        <v>2027</v>
      </c>
      <c r="E355" t="s">
        <v>190</v>
      </c>
      <c r="F355" t="s">
        <v>18</v>
      </c>
      <c r="G355" s="4" t="s">
        <v>2028</v>
      </c>
      <c r="H355" s="6" t="s">
        <v>47</v>
      </c>
      <c r="J355" t="s">
        <v>47</v>
      </c>
      <c r="L355" t="str">
        <f t="shared" si="5"/>
        <v/>
      </c>
    </row>
    <row r="356" spans="1:15" ht="183" hidden="1">
      <c r="A356" t="s">
        <v>2029</v>
      </c>
      <c r="B356" t="s">
        <v>2030</v>
      </c>
      <c r="C356" t="s">
        <v>2031</v>
      </c>
      <c r="D356" t="s">
        <v>2032</v>
      </c>
      <c r="E356" t="s">
        <v>31</v>
      </c>
      <c r="F356" t="s">
        <v>2033</v>
      </c>
      <c r="G356" s="4" t="s">
        <v>2034</v>
      </c>
      <c r="H356" s="6" t="s">
        <v>47</v>
      </c>
      <c r="J356" t="s">
        <v>47</v>
      </c>
      <c r="L356" t="str">
        <f t="shared" si="5"/>
        <v/>
      </c>
    </row>
    <row r="357" spans="1:15" ht="183">
      <c r="A357" t="s">
        <v>2035</v>
      </c>
      <c r="B357" t="s">
        <v>2036</v>
      </c>
      <c r="C357" t="s">
        <v>2037</v>
      </c>
      <c r="D357" t="s">
        <v>2038</v>
      </c>
      <c r="E357" t="s">
        <v>17</v>
      </c>
      <c r="F357" t="s">
        <v>18</v>
      </c>
      <c r="G357" s="4" t="s">
        <v>2039</v>
      </c>
      <c r="H357" s="6" t="s">
        <v>66</v>
      </c>
      <c r="I357" t="s">
        <v>250</v>
      </c>
      <c r="J357" t="s">
        <v>47</v>
      </c>
      <c r="K357" t="s">
        <v>2040</v>
      </c>
      <c r="L357" t="str">
        <f t="shared" si="5"/>
        <v>!!!</v>
      </c>
      <c r="O357" t="str">
        <f>J357</f>
        <v>FALSE</v>
      </c>
    </row>
    <row r="358" spans="1:15" ht="198" hidden="1">
      <c r="A358" t="s">
        <v>2041</v>
      </c>
      <c r="B358" t="s">
        <v>2042</v>
      </c>
      <c r="C358" t="s">
        <v>2043</v>
      </c>
      <c r="D358" t="s">
        <v>2044</v>
      </c>
      <c r="E358" t="s">
        <v>31</v>
      </c>
      <c r="F358" t="s">
        <v>2045</v>
      </c>
      <c r="G358" s="4" t="s">
        <v>2046</v>
      </c>
      <c r="H358" s="6" t="s">
        <v>47</v>
      </c>
      <c r="I358" t="s">
        <v>250</v>
      </c>
      <c r="J358" t="s">
        <v>47</v>
      </c>
      <c r="L358" t="str">
        <f t="shared" si="5"/>
        <v/>
      </c>
    </row>
    <row r="359" spans="1:15" ht="152.25" hidden="1">
      <c r="A359" t="s">
        <v>2047</v>
      </c>
      <c r="B359" t="s">
        <v>2048</v>
      </c>
      <c r="C359" t="s">
        <v>2049</v>
      </c>
      <c r="D359" t="s">
        <v>2050</v>
      </c>
      <c r="E359" t="s">
        <v>17</v>
      </c>
      <c r="F359" t="s">
        <v>18</v>
      </c>
      <c r="G359" s="4" t="s">
        <v>2051</v>
      </c>
      <c r="H359" s="6" t="s">
        <v>66</v>
      </c>
      <c r="J359" t="s">
        <v>66</v>
      </c>
      <c r="L359" t="str">
        <f t="shared" si="5"/>
        <v/>
      </c>
    </row>
    <row r="360" spans="1:15" ht="183" hidden="1">
      <c r="A360" t="s">
        <v>2052</v>
      </c>
      <c r="B360" t="s">
        <v>2053</v>
      </c>
      <c r="C360" t="s">
        <v>2054</v>
      </c>
      <c r="D360" t="s">
        <v>2055</v>
      </c>
      <c r="E360" t="s">
        <v>24</v>
      </c>
      <c r="F360" t="s">
        <v>2056</v>
      </c>
      <c r="G360" s="4" t="s">
        <v>2057</v>
      </c>
      <c r="H360" s="6" t="s">
        <v>66</v>
      </c>
      <c r="J360" t="s">
        <v>66</v>
      </c>
      <c r="L360" t="str">
        <f t="shared" si="5"/>
        <v/>
      </c>
    </row>
    <row r="361" spans="1:15" ht="167.25" hidden="1">
      <c r="A361" t="s">
        <v>2058</v>
      </c>
      <c r="B361" t="s">
        <v>2059</v>
      </c>
      <c r="C361" t="s">
        <v>2060</v>
      </c>
      <c r="D361" t="s">
        <v>2061</v>
      </c>
      <c r="E361" t="s">
        <v>24</v>
      </c>
      <c r="F361" t="s">
        <v>2062</v>
      </c>
      <c r="G361" s="4" t="s">
        <v>2063</v>
      </c>
      <c r="H361" s="6" t="s">
        <v>47</v>
      </c>
      <c r="I361" t="s">
        <v>250</v>
      </c>
      <c r="J361" t="s">
        <v>47</v>
      </c>
      <c r="L361" t="str">
        <f t="shared" si="5"/>
        <v/>
      </c>
    </row>
    <row r="362" spans="1:15" ht="229.5" hidden="1">
      <c r="A362" t="s">
        <v>2064</v>
      </c>
      <c r="B362" t="s">
        <v>2065</v>
      </c>
      <c r="C362" t="s">
        <v>2066</v>
      </c>
      <c r="D362" t="s">
        <v>2067</v>
      </c>
      <c r="E362" t="s">
        <v>31</v>
      </c>
      <c r="F362" t="s">
        <v>2068</v>
      </c>
      <c r="G362" s="4" t="s">
        <v>2069</v>
      </c>
      <c r="H362" s="6" t="s">
        <v>66</v>
      </c>
      <c r="J362" t="s">
        <v>66</v>
      </c>
      <c r="L362" t="str">
        <f t="shared" si="5"/>
        <v/>
      </c>
    </row>
    <row r="363" spans="1:15" ht="275.25" hidden="1">
      <c r="A363" t="s">
        <v>2070</v>
      </c>
      <c r="B363" t="s">
        <v>2071</v>
      </c>
      <c r="C363" t="s">
        <v>2072</v>
      </c>
      <c r="D363" t="s">
        <v>2073</v>
      </c>
      <c r="E363" t="s">
        <v>24</v>
      </c>
      <c r="F363" t="s">
        <v>2074</v>
      </c>
      <c r="G363" s="4" t="s">
        <v>2075</v>
      </c>
      <c r="H363" s="6" t="s">
        <v>66</v>
      </c>
      <c r="J363" t="s">
        <v>66</v>
      </c>
      <c r="K363" t="s">
        <v>250</v>
      </c>
      <c r="L363" t="str">
        <f t="shared" si="5"/>
        <v/>
      </c>
    </row>
    <row r="364" spans="1:15" ht="275.25" hidden="1">
      <c r="A364" t="s">
        <v>2076</v>
      </c>
      <c r="B364" t="s">
        <v>2077</v>
      </c>
      <c r="C364" t="s">
        <v>2078</v>
      </c>
      <c r="D364" t="s">
        <v>2079</v>
      </c>
      <c r="E364" t="s">
        <v>71</v>
      </c>
      <c r="F364" t="s">
        <v>18</v>
      </c>
      <c r="G364" s="4" t="s">
        <v>2080</v>
      </c>
      <c r="H364" s="6" t="s">
        <v>47</v>
      </c>
      <c r="J364" t="s">
        <v>47</v>
      </c>
      <c r="L364" t="str">
        <f t="shared" si="5"/>
        <v/>
      </c>
    </row>
    <row r="365" spans="1:15" ht="121.5" hidden="1">
      <c r="A365" t="s">
        <v>2081</v>
      </c>
      <c r="B365" t="s">
        <v>2082</v>
      </c>
      <c r="C365" t="s">
        <v>2083</v>
      </c>
      <c r="D365" t="s">
        <v>2084</v>
      </c>
      <c r="E365" t="s">
        <v>17</v>
      </c>
      <c r="F365" t="s">
        <v>18</v>
      </c>
      <c r="G365" s="4" t="s">
        <v>2085</v>
      </c>
      <c r="H365" s="6" t="s">
        <v>47</v>
      </c>
      <c r="J365" t="s">
        <v>47</v>
      </c>
      <c r="L365" t="str">
        <f t="shared" si="5"/>
        <v/>
      </c>
    </row>
    <row r="366" spans="1:15" ht="167.25" hidden="1">
      <c r="A366" t="s">
        <v>2086</v>
      </c>
      <c r="B366" t="s">
        <v>2087</v>
      </c>
      <c r="C366" t="s">
        <v>2088</v>
      </c>
      <c r="D366" t="s">
        <v>2089</v>
      </c>
      <c r="E366" t="s">
        <v>190</v>
      </c>
      <c r="F366" t="s">
        <v>18</v>
      </c>
      <c r="G366" s="4" t="s">
        <v>2090</v>
      </c>
      <c r="H366" s="6" t="s">
        <v>47</v>
      </c>
      <c r="J366" t="s">
        <v>47</v>
      </c>
      <c r="L366" t="str">
        <f t="shared" si="5"/>
        <v/>
      </c>
    </row>
    <row r="367" spans="1:15" ht="198">
      <c r="A367" t="s">
        <v>2091</v>
      </c>
      <c r="B367" t="s">
        <v>2092</v>
      </c>
      <c r="C367" t="s">
        <v>2093</v>
      </c>
      <c r="D367" t="s">
        <v>2094</v>
      </c>
      <c r="E367" t="s">
        <v>149</v>
      </c>
      <c r="F367" t="s">
        <v>2095</v>
      </c>
      <c r="G367" s="4" t="s">
        <v>2096</v>
      </c>
      <c r="H367" s="6" t="s">
        <v>66</v>
      </c>
      <c r="J367" t="s">
        <v>47</v>
      </c>
      <c r="K367" t="s">
        <v>2097</v>
      </c>
      <c r="L367" t="str">
        <f t="shared" si="5"/>
        <v>!!!</v>
      </c>
      <c r="O367" t="str">
        <f>J367</f>
        <v>FALSE</v>
      </c>
    </row>
    <row r="368" spans="1:15" ht="121.5" hidden="1">
      <c r="A368" t="s">
        <v>2098</v>
      </c>
      <c r="B368" t="s">
        <v>2099</v>
      </c>
      <c r="C368" t="s">
        <v>2100</v>
      </c>
      <c r="D368" t="s">
        <v>2101</v>
      </c>
      <c r="E368" t="s">
        <v>17</v>
      </c>
      <c r="F368" t="s">
        <v>18</v>
      </c>
      <c r="G368" s="4" t="s">
        <v>2102</v>
      </c>
      <c r="H368" s="6" t="s">
        <v>47</v>
      </c>
      <c r="J368" t="s">
        <v>47</v>
      </c>
      <c r="L368" t="str">
        <f t="shared" si="5"/>
        <v/>
      </c>
    </row>
    <row r="369" spans="1:12" ht="183" hidden="1">
      <c r="A369" t="s">
        <v>2103</v>
      </c>
      <c r="B369" t="s">
        <v>2104</v>
      </c>
      <c r="C369" t="s">
        <v>2105</v>
      </c>
      <c r="D369" t="s">
        <v>2106</v>
      </c>
      <c r="E369" t="s">
        <v>24</v>
      </c>
      <c r="F369" t="s">
        <v>2107</v>
      </c>
      <c r="G369" s="4" t="s">
        <v>2108</v>
      </c>
      <c r="H369" s="6" t="s">
        <v>47</v>
      </c>
      <c r="J369" t="s">
        <v>47</v>
      </c>
      <c r="L369" t="str">
        <f t="shared" si="5"/>
        <v/>
      </c>
    </row>
    <row r="370" spans="1:12" ht="152.25" hidden="1">
      <c r="A370" t="s">
        <v>2109</v>
      </c>
      <c r="B370" t="s">
        <v>2110</v>
      </c>
      <c r="C370" t="s">
        <v>2111</v>
      </c>
      <c r="D370" t="s">
        <v>2112</v>
      </c>
      <c r="E370" t="s">
        <v>17</v>
      </c>
      <c r="F370" t="s">
        <v>18</v>
      </c>
      <c r="G370" s="4" t="s">
        <v>2113</v>
      </c>
      <c r="H370" s="6" t="s">
        <v>66</v>
      </c>
      <c r="I370" t="s">
        <v>666</v>
      </c>
      <c r="J370" t="s">
        <v>66</v>
      </c>
      <c r="L370" t="str">
        <f t="shared" si="5"/>
        <v/>
      </c>
    </row>
    <row r="371" spans="1:12" ht="213" hidden="1">
      <c r="A371" t="s">
        <v>2114</v>
      </c>
      <c r="B371" t="s">
        <v>2115</v>
      </c>
      <c r="C371" t="s">
        <v>2116</v>
      </c>
      <c r="D371" t="s">
        <v>2117</v>
      </c>
      <c r="E371" t="s">
        <v>190</v>
      </c>
      <c r="F371" t="s">
        <v>18</v>
      </c>
      <c r="G371" s="4" t="s">
        <v>2118</v>
      </c>
      <c r="H371" s="6" t="s">
        <v>47</v>
      </c>
      <c r="J371" t="s">
        <v>47</v>
      </c>
      <c r="L371" t="str">
        <f t="shared" si="5"/>
        <v/>
      </c>
    </row>
    <row r="372" spans="1:12" ht="137.25" hidden="1">
      <c r="A372" t="s">
        <v>2119</v>
      </c>
      <c r="B372" t="s">
        <v>2120</v>
      </c>
      <c r="C372" t="s">
        <v>2121</v>
      </c>
      <c r="D372" t="s">
        <v>2122</v>
      </c>
      <c r="E372" t="s">
        <v>108</v>
      </c>
      <c r="F372" t="s">
        <v>2123</v>
      </c>
      <c r="G372" s="4" t="s">
        <v>2124</v>
      </c>
      <c r="H372" s="6" t="s">
        <v>47</v>
      </c>
      <c r="J372" t="s">
        <v>47</v>
      </c>
      <c r="L372" t="str">
        <f t="shared" si="5"/>
        <v/>
      </c>
    </row>
    <row r="373" spans="1:12" ht="213" hidden="1">
      <c r="A373" t="s">
        <v>2125</v>
      </c>
      <c r="B373" t="s">
        <v>2126</v>
      </c>
      <c r="C373" t="s">
        <v>2127</v>
      </c>
      <c r="D373" t="s">
        <v>2128</v>
      </c>
      <c r="E373" t="s">
        <v>31</v>
      </c>
      <c r="F373" t="s">
        <v>2129</v>
      </c>
      <c r="G373" s="4" t="s">
        <v>2130</v>
      </c>
      <c r="H373" s="6" t="s">
        <v>47</v>
      </c>
      <c r="I373" t="s">
        <v>2131</v>
      </c>
      <c r="J373" t="s">
        <v>47</v>
      </c>
      <c r="L373" t="str">
        <f t="shared" si="5"/>
        <v/>
      </c>
    </row>
    <row r="374" spans="1:12" ht="213" hidden="1">
      <c r="A374" t="s">
        <v>2132</v>
      </c>
      <c r="B374" t="s">
        <v>2133</v>
      </c>
      <c r="C374" t="s">
        <v>2134</v>
      </c>
      <c r="D374" t="s">
        <v>2135</v>
      </c>
      <c r="E374" t="s">
        <v>24</v>
      </c>
      <c r="F374" t="s">
        <v>2136</v>
      </c>
      <c r="G374" s="4" t="s">
        <v>2137</v>
      </c>
      <c r="H374" s="6" t="s">
        <v>47</v>
      </c>
      <c r="J374" t="s">
        <v>47</v>
      </c>
      <c r="L374" t="str">
        <f t="shared" si="5"/>
        <v/>
      </c>
    </row>
    <row r="375" spans="1:12" ht="183" hidden="1">
      <c r="A375" t="s">
        <v>2138</v>
      </c>
      <c r="B375" t="s">
        <v>2139</v>
      </c>
      <c r="C375" t="s">
        <v>2140</v>
      </c>
      <c r="D375" t="s">
        <v>2141</v>
      </c>
      <c r="E375" t="s">
        <v>24</v>
      </c>
      <c r="F375" t="s">
        <v>2142</v>
      </c>
      <c r="G375" s="4" t="s">
        <v>2143</v>
      </c>
      <c r="H375" s="6" t="s">
        <v>47</v>
      </c>
      <c r="J375" t="s">
        <v>47</v>
      </c>
      <c r="L375" t="str">
        <f t="shared" si="5"/>
        <v/>
      </c>
    </row>
    <row r="376" spans="1:12" ht="213" hidden="1">
      <c r="A376" t="s">
        <v>2144</v>
      </c>
      <c r="B376" t="s">
        <v>2145</v>
      </c>
      <c r="C376" t="s">
        <v>2146</v>
      </c>
      <c r="D376" t="s">
        <v>2147</v>
      </c>
      <c r="E376" t="s">
        <v>24</v>
      </c>
      <c r="F376" t="s">
        <v>2148</v>
      </c>
      <c r="G376" s="4" t="s">
        <v>2149</v>
      </c>
      <c r="H376" s="6" t="s">
        <v>47</v>
      </c>
      <c r="J376" t="s">
        <v>47</v>
      </c>
      <c r="L376" t="str">
        <f t="shared" si="5"/>
        <v/>
      </c>
    </row>
    <row r="377" spans="1:12" ht="152.25" hidden="1">
      <c r="A377" t="s">
        <v>2150</v>
      </c>
      <c r="B377" t="s">
        <v>2151</v>
      </c>
      <c r="C377" t="s">
        <v>2152</v>
      </c>
      <c r="D377" t="s">
        <v>2153</v>
      </c>
      <c r="E377" t="s">
        <v>31</v>
      </c>
      <c r="F377" t="s">
        <v>2154</v>
      </c>
      <c r="G377" s="4" t="s">
        <v>2155</v>
      </c>
      <c r="H377" s="6" t="s">
        <v>47</v>
      </c>
      <c r="J377" t="s">
        <v>47</v>
      </c>
      <c r="L377" t="str">
        <f t="shared" si="5"/>
        <v/>
      </c>
    </row>
    <row r="378" spans="1:12" ht="213" hidden="1">
      <c r="A378" t="s">
        <v>2156</v>
      </c>
      <c r="B378" t="s">
        <v>2157</v>
      </c>
      <c r="C378" t="s">
        <v>2158</v>
      </c>
      <c r="D378" t="s">
        <v>2159</v>
      </c>
      <c r="E378" t="s">
        <v>95</v>
      </c>
      <c r="F378" t="s">
        <v>18</v>
      </c>
      <c r="G378" s="4" t="s">
        <v>2160</v>
      </c>
      <c r="H378" s="6" t="s">
        <v>47</v>
      </c>
      <c r="J378" t="s">
        <v>47</v>
      </c>
      <c r="L378" t="str">
        <f t="shared" si="5"/>
        <v/>
      </c>
    </row>
    <row r="379" spans="1:12" ht="152.25" hidden="1">
      <c r="A379" t="s">
        <v>2161</v>
      </c>
      <c r="B379" t="s">
        <v>2162</v>
      </c>
      <c r="C379" t="s">
        <v>2163</v>
      </c>
      <c r="D379" t="s">
        <v>2164</v>
      </c>
      <c r="E379" t="s">
        <v>17</v>
      </c>
      <c r="F379" t="s">
        <v>18</v>
      </c>
      <c r="G379" s="4" t="s">
        <v>2165</v>
      </c>
      <c r="H379" s="6" t="s">
        <v>66</v>
      </c>
      <c r="J379" t="s">
        <v>66</v>
      </c>
      <c r="L379" t="str">
        <f t="shared" si="5"/>
        <v/>
      </c>
    </row>
    <row r="380" spans="1:12" ht="167.25" hidden="1">
      <c r="A380" t="s">
        <v>2166</v>
      </c>
      <c r="B380" t="s">
        <v>2167</v>
      </c>
      <c r="C380" t="s">
        <v>2168</v>
      </c>
      <c r="D380" t="s">
        <v>2169</v>
      </c>
      <c r="E380" t="s">
        <v>17</v>
      </c>
      <c r="F380" t="s">
        <v>18</v>
      </c>
      <c r="G380" s="4" t="s">
        <v>2170</v>
      </c>
      <c r="H380" s="6" t="s">
        <v>66</v>
      </c>
      <c r="J380" t="s">
        <v>66</v>
      </c>
      <c r="L380" t="str">
        <f t="shared" si="5"/>
        <v/>
      </c>
    </row>
    <row r="381" spans="1:12" ht="244.5" hidden="1">
      <c r="A381" t="s">
        <v>2171</v>
      </c>
      <c r="B381" t="s">
        <v>2172</v>
      </c>
      <c r="C381" t="s">
        <v>2173</v>
      </c>
      <c r="D381" t="s">
        <v>2174</v>
      </c>
      <c r="E381" t="s">
        <v>95</v>
      </c>
      <c r="F381" t="s">
        <v>18</v>
      </c>
      <c r="G381" s="4" t="s">
        <v>2175</v>
      </c>
      <c r="H381" s="6" t="s">
        <v>47</v>
      </c>
      <c r="J381" t="s">
        <v>47</v>
      </c>
      <c r="L381" t="str">
        <f t="shared" si="5"/>
        <v/>
      </c>
    </row>
    <row r="382" spans="1:12" ht="167.25" hidden="1">
      <c r="A382" t="s">
        <v>2176</v>
      </c>
      <c r="B382" t="s">
        <v>2177</v>
      </c>
      <c r="C382" t="s">
        <v>2178</v>
      </c>
      <c r="D382" t="s">
        <v>2179</v>
      </c>
      <c r="E382" t="s">
        <v>17</v>
      </c>
      <c r="F382" t="s">
        <v>18</v>
      </c>
      <c r="G382" s="4" t="s">
        <v>2180</v>
      </c>
      <c r="H382" s="6" t="s">
        <v>47</v>
      </c>
      <c r="J382" t="s">
        <v>47</v>
      </c>
      <c r="L382" t="str">
        <f t="shared" si="5"/>
        <v/>
      </c>
    </row>
    <row r="383" spans="1:12" ht="137.25" hidden="1">
      <c r="A383" t="s">
        <v>2181</v>
      </c>
      <c r="B383" t="s">
        <v>2182</v>
      </c>
      <c r="C383" t="s">
        <v>2183</v>
      </c>
      <c r="D383" t="s">
        <v>2184</v>
      </c>
      <c r="E383" t="s">
        <v>95</v>
      </c>
      <c r="F383" t="s">
        <v>18</v>
      </c>
      <c r="G383" s="4" t="s">
        <v>2185</v>
      </c>
      <c r="H383" s="6" t="s">
        <v>47</v>
      </c>
      <c r="J383" t="s">
        <v>47</v>
      </c>
      <c r="L383" t="str">
        <f t="shared" si="5"/>
        <v/>
      </c>
    </row>
    <row r="384" spans="1:12" ht="121.5" hidden="1">
      <c r="A384" t="s">
        <v>2186</v>
      </c>
      <c r="B384" t="s">
        <v>2187</v>
      </c>
      <c r="C384" t="s">
        <v>2188</v>
      </c>
      <c r="D384" t="s">
        <v>2189</v>
      </c>
      <c r="E384" t="s">
        <v>71</v>
      </c>
      <c r="F384" t="s">
        <v>18</v>
      </c>
      <c r="G384" s="4" t="s">
        <v>2190</v>
      </c>
      <c r="H384" s="6" t="s">
        <v>47</v>
      </c>
      <c r="J384" t="s">
        <v>47</v>
      </c>
      <c r="L384" t="str">
        <f t="shared" si="5"/>
        <v/>
      </c>
    </row>
    <row r="385" spans="1:15" ht="152.25" hidden="1">
      <c r="A385" t="s">
        <v>2191</v>
      </c>
      <c r="B385" t="s">
        <v>2192</v>
      </c>
      <c r="C385" t="s">
        <v>2193</v>
      </c>
      <c r="D385" t="s">
        <v>2194</v>
      </c>
      <c r="E385" t="s">
        <v>17</v>
      </c>
      <c r="F385" t="s">
        <v>18</v>
      </c>
      <c r="G385" s="4" t="s">
        <v>2195</v>
      </c>
      <c r="H385" s="6" t="s">
        <v>47</v>
      </c>
      <c r="J385" t="s">
        <v>47</v>
      </c>
      <c r="L385" t="str">
        <f t="shared" si="5"/>
        <v/>
      </c>
    </row>
    <row r="386" spans="1:15" ht="167.25" hidden="1">
      <c r="A386" t="s">
        <v>2196</v>
      </c>
      <c r="B386" t="s">
        <v>2197</v>
      </c>
      <c r="C386" t="s">
        <v>2198</v>
      </c>
      <c r="D386" t="s">
        <v>2199</v>
      </c>
      <c r="E386" t="s">
        <v>38</v>
      </c>
      <c r="F386" t="s">
        <v>2200</v>
      </c>
      <c r="G386" s="4" t="s">
        <v>2201</v>
      </c>
      <c r="H386" s="6" t="s">
        <v>47</v>
      </c>
      <c r="J386" t="s">
        <v>47</v>
      </c>
      <c r="L386" t="str">
        <f t="shared" si="5"/>
        <v/>
      </c>
    </row>
    <row r="387" spans="1:15" ht="183" hidden="1">
      <c r="A387" t="s">
        <v>2202</v>
      </c>
      <c r="B387" t="s">
        <v>2203</v>
      </c>
      <c r="C387" t="s">
        <v>2204</v>
      </c>
      <c r="D387" t="s">
        <v>2205</v>
      </c>
      <c r="E387" t="s">
        <v>95</v>
      </c>
      <c r="F387" t="s">
        <v>18</v>
      </c>
      <c r="G387" s="4" t="s">
        <v>2206</v>
      </c>
      <c r="H387" s="6" t="s">
        <v>66</v>
      </c>
      <c r="J387" t="s">
        <v>66</v>
      </c>
      <c r="L387" t="str">
        <f t="shared" ref="L387:L401" si="6">IF(OR(H387="",J387=""),"",IF(TEXT(H387,"")&lt;&gt;TEXT(J387,""),"!!!",""))</f>
        <v/>
      </c>
    </row>
    <row r="388" spans="1:15" ht="137.25">
      <c r="A388" t="s">
        <v>2207</v>
      </c>
      <c r="B388" t="s">
        <v>2208</v>
      </c>
      <c r="C388" t="s">
        <v>2209</v>
      </c>
      <c r="D388" t="s">
        <v>2210</v>
      </c>
      <c r="E388" t="s">
        <v>17</v>
      </c>
      <c r="F388" t="s">
        <v>18</v>
      </c>
      <c r="G388" s="4" t="s">
        <v>2211</v>
      </c>
      <c r="H388" s="6" t="s">
        <v>66</v>
      </c>
      <c r="J388" t="s">
        <v>47</v>
      </c>
      <c r="K388" t="s">
        <v>2212</v>
      </c>
      <c r="L388" t="str">
        <f t="shared" si="6"/>
        <v>!!!</v>
      </c>
      <c r="O388" t="str">
        <f>J388</f>
        <v>FALSE</v>
      </c>
    </row>
    <row r="389" spans="1:15" ht="244.5" hidden="1">
      <c r="A389" t="s">
        <v>2213</v>
      </c>
      <c r="B389" t="s">
        <v>2214</v>
      </c>
      <c r="C389" t="s">
        <v>2215</v>
      </c>
      <c r="D389" t="s">
        <v>2216</v>
      </c>
      <c r="E389" t="s">
        <v>95</v>
      </c>
      <c r="F389" t="s">
        <v>18</v>
      </c>
      <c r="G389" s="4" t="s">
        <v>2217</v>
      </c>
      <c r="H389" s="6" t="s">
        <v>66</v>
      </c>
      <c r="J389" t="s">
        <v>66</v>
      </c>
      <c r="L389" t="str">
        <f t="shared" si="6"/>
        <v/>
      </c>
    </row>
    <row r="390" spans="1:15" ht="229.5" hidden="1">
      <c r="A390" t="s">
        <v>2218</v>
      </c>
      <c r="B390" t="s">
        <v>2219</v>
      </c>
      <c r="C390" t="s">
        <v>2220</v>
      </c>
      <c r="D390" t="s">
        <v>2221</v>
      </c>
      <c r="E390" t="s">
        <v>71</v>
      </c>
      <c r="F390" t="s">
        <v>2222</v>
      </c>
      <c r="G390" s="4" t="s">
        <v>2223</v>
      </c>
      <c r="H390" s="6" t="s">
        <v>66</v>
      </c>
      <c r="J390" t="s">
        <v>66</v>
      </c>
      <c r="L390" t="str">
        <f t="shared" si="6"/>
        <v/>
      </c>
    </row>
    <row r="391" spans="1:15" ht="167.25" hidden="1">
      <c r="A391" t="s">
        <v>2224</v>
      </c>
      <c r="B391" t="s">
        <v>2225</v>
      </c>
      <c r="C391" t="s">
        <v>2226</v>
      </c>
      <c r="D391" t="s">
        <v>2227</v>
      </c>
      <c r="E391" t="s">
        <v>38</v>
      </c>
      <c r="F391" t="s">
        <v>2228</v>
      </c>
      <c r="G391" s="4" t="s">
        <v>2229</v>
      </c>
      <c r="H391" s="6" t="s">
        <v>66</v>
      </c>
      <c r="J391" t="s">
        <v>66</v>
      </c>
      <c r="L391" t="str">
        <f t="shared" si="6"/>
        <v/>
      </c>
    </row>
    <row r="392" spans="1:15" ht="213" hidden="1">
      <c r="A392" t="s">
        <v>2230</v>
      </c>
      <c r="B392" t="s">
        <v>2231</v>
      </c>
      <c r="C392" t="s">
        <v>2232</v>
      </c>
      <c r="D392" t="s">
        <v>2233</v>
      </c>
      <c r="E392" t="s">
        <v>31</v>
      </c>
      <c r="F392" t="s">
        <v>2234</v>
      </c>
      <c r="G392" s="4" t="s">
        <v>2235</v>
      </c>
      <c r="H392" s="6" t="s">
        <v>66</v>
      </c>
      <c r="J392" t="s">
        <v>66</v>
      </c>
      <c r="L392" t="str">
        <f t="shared" si="6"/>
        <v/>
      </c>
    </row>
    <row r="393" spans="1:15" ht="290.25" hidden="1">
      <c r="A393" t="s">
        <v>2236</v>
      </c>
      <c r="B393" t="s">
        <v>2237</v>
      </c>
      <c r="C393" t="s">
        <v>2238</v>
      </c>
      <c r="D393" t="s">
        <v>2239</v>
      </c>
      <c r="E393" t="s">
        <v>31</v>
      </c>
      <c r="F393" t="s">
        <v>2240</v>
      </c>
      <c r="G393" s="4" t="s">
        <v>2241</v>
      </c>
      <c r="H393" s="6" t="s">
        <v>47</v>
      </c>
      <c r="J393" t="s">
        <v>47</v>
      </c>
      <c r="L393" t="str">
        <f t="shared" si="6"/>
        <v/>
      </c>
    </row>
    <row r="394" spans="1:15" ht="259.5" hidden="1">
      <c r="A394" t="s">
        <v>2242</v>
      </c>
      <c r="B394" t="s">
        <v>2243</v>
      </c>
      <c r="C394" t="s">
        <v>2244</v>
      </c>
      <c r="D394" t="s">
        <v>2245</v>
      </c>
      <c r="E394" t="s">
        <v>71</v>
      </c>
      <c r="F394" t="s">
        <v>2246</v>
      </c>
      <c r="G394" s="4" t="s">
        <v>2247</v>
      </c>
      <c r="H394" s="6" t="s">
        <v>47</v>
      </c>
      <c r="J394" t="s">
        <v>47</v>
      </c>
      <c r="L394" t="str">
        <f t="shared" si="6"/>
        <v/>
      </c>
    </row>
    <row r="395" spans="1:15" ht="91.5" hidden="1">
      <c r="A395" t="s">
        <v>2248</v>
      </c>
      <c r="B395" t="s">
        <v>2249</v>
      </c>
      <c r="C395" t="s">
        <v>2250</v>
      </c>
      <c r="D395" t="s">
        <v>2251</v>
      </c>
      <c r="E395" t="s">
        <v>31</v>
      </c>
      <c r="F395" t="s">
        <v>18</v>
      </c>
      <c r="G395" s="4" t="s">
        <v>2252</v>
      </c>
      <c r="H395" s="6" t="s">
        <v>47</v>
      </c>
      <c r="I395" t="s">
        <v>666</v>
      </c>
      <c r="J395" t="s">
        <v>47</v>
      </c>
      <c r="L395" t="str">
        <f t="shared" si="6"/>
        <v/>
      </c>
    </row>
    <row r="396" spans="1:15" ht="167.25" hidden="1">
      <c r="A396" t="s">
        <v>2253</v>
      </c>
      <c r="B396" t="s">
        <v>2254</v>
      </c>
      <c r="C396" t="s">
        <v>2255</v>
      </c>
      <c r="D396" t="s">
        <v>2256</v>
      </c>
      <c r="E396" t="s">
        <v>31</v>
      </c>
      <c r="F396" t="s">
        <v>2257</v>
      </c>
      <c r="G396" s="4" t="s">
        <v>2258</v>
      </c>
      <c r="H396" s="6" t="s">
        <v>47</v>
      </c>
      <c r="J396" t="s">
        <v>47</v>
      </c>
      <c r="L396" t="str">
        <f t="shared" si="6"/>
        <v/>
      </c>
    </row>
    <row r="397" spans="1:15" ht="167.25" hidden="1">
      <c r="A397" t="s">
        <v>2259</v>
      </c>
      <c r="B397" t="s">
        <v>2260</v>
      </c>
      <c r="C397" t="s">
        <v>2261</v>
      </c>
      <c r="D397" t="s">
        <v>2262</v>
      </c>
      <c r="E397" t="s">
        <v>24</v>
      </c>
      <c r="F397" t="s">
        <v>2263</v>
      </c>
      <c r="G397" s="4" t="s">
        <v>2264</v>
      </c>
      <c r="H397" s="6" t="s">
        <v>47</v>
      </c>
      <c r="J397" t="s">
        <v>47</v>
      </c>
      <c r="L397" t="str">
        <f t="shared" si="6"/>
        <v/>
      </c>
    </row>
    <row r="398" spans="1:15" ht="183" hidden="1">
      <c r="A398" t="s">
        <v>2265</v>
      </c>
      <c r="B398" t="s">
        <v>2266</v>
      </c>
      <c r="C398" t="s">
        <v>2267</v>
      </c>
      <c r="D398" t="s">
        <v>2268</v>
      </c>
      <c r="E398" t="s">
        <v>24</v>
      </c>
      <c r="F398" t="s">
        <v>2269</v>
      </c>
      <c r="G398" s="4" t="s">
        <v>2270</v>
      </c>
      <c r="H398" s="6" t="s">
        <v>47</v>
      </c>
      <c r="I398" t="s">
        <v>666</v>
      </c>
      <c r="J398" t="s">
        <v>47</v>
      </c>
      <c r="L398" t="str">
        <f t="shared" si="6"/>
        <v/>
      </c>
    </row>
    <row r="399" spans="1:15" ht="152.25" hidden="1">
      <c r="A399" t="s">
        <v>2271</v>
      </c>
      <c r="B399" t="s">
        <v>2272</v>
      </c>
      <c r="C399" t="s">
        <v>2273</v>
      </c>
      <c r="D399" t="s">
        <v>2274</v>
      </c>
      <c r="E399" t="s">
        <v>17</v>
      </c>
      <c r="F399" t="s">
        <v>18</v>
      </c>
      <c r="G399" s="4" t="s">
        <v>2275</v>
      </c>
      <c r="H399" s="6" t="s">
        <v>66</v>
      </c>
      <c r="J399" t="s">
        <v>66</v>
      </c>
      <c r="K399" t="s">
        <v>2276</v>
      </c>
      <c r="L399" t="str">
        <f t="shared" si="6"/>
        <v/>
      </c>
    </row>
    <row r="400" spans="1:15" ht="244.5" hidden="1">
      <c r="A400" t="s">
        <v>2277</v>
      </c>
      <c r="B400" t="s">
        <v>2278</v>
      </c>
      <c r="C400" t="s">
        <v>2279</v>
      </c>
      <c r="D400" t="s">
        <v>2280</v>
      </c>
      <c r="E400" t="s">
        <v>95</v>
      </c>
      <c r="F400" t="s">
        <v>18</v>
      </c>
      <c r="G400" s="4" t="s">
        <v>2281</v>
      </c>
      <c r="H400" s="6" t="s">
        <v>66</v>
      </c>
      <c r="J400" t="s">
        <v>66</v>
      </c>
      <c r="L400" t="str">
        <f t="shared" si="6"/>
        <v/>
      </c>
    </row>
    <row r="401" spans="1:15" ht="167.25">
      <c r="A401" t="s">
        <v>2282</v>
      </c>
      <c r="B401" t="s">
        <v>2283</v>
      </c>
      <c r="C401" t="s">
        <v>2284</v>
      </c>
      <c r="D401" t="s">
        <v>2285</v>
      </c>
      <c r="E401" t="s">
        <v>17</v>
      </c>
      <c r="F401" t="s">
        <v>18</v>
      </c>
      <c r="G401" s="4" t="s">
        <v>2286</v>
      </c>
      <c r="H401" s="6" t="s">
        <v>66</v>
      </c>
      <c r="J401" t="s">
        <v>47</v>
      </c>
      <c r="K401" t="s">
        <v>2287</v>
      </c>
      <c r="L401" t="str">
        <f t="shared" si="6"/>
        <v>!!!</v>
      </c>
      <c r="O401" t="str">
        <f>J401</f>
        <v>FALSE</v>
      </c>
    </row>
  </sheetData>
  <autoFilter ref="L1:L401" xr:uid="{00000000-0001-0000-0000-000000000000}">
    <filterColumn colId="0">
      <customFilters>
        <customFilter operator="notEqual" val=" "/>
      </customFilters>
    </filterColumn>
  </autoFilter>
  <hyperlinks>
    <hyperlink ref="K26" r:id="rId1" xr:uid="{799CDF47-0EA9-4232-B714-50907DC0EECB}"/>
  </hyperlinks>
  <pageMargins left="0.75" right="0.75" top="1" bottom="1" header="0.5" footer="0.5"/>
  <pageSetup paperSize="9" orientation="portrait" horizontalDpi="0" verticalDpi="0"/>
</worksheet>
</file>

<file path=docMetadata/LabelInfo.xml><?xml version="1.0" encoding="utf-8"?>
<clbl:labelList xmlns:clbl="http://schemas.microsoft.com/office/2020/mipLabelMetadata">
  <clbl:label id="{1faf88fe-a998-4c5b-93c9-210a11d9a5c2}" enabled="0" method="" siteId="{1faf88fe-a998-4c5b-93c9-210a11d9a5c2}"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Guest User</cp:lastModifiedBy>
  <cp:revision/>
  <dcterms:created xsi:type="dcterms:W3CDTF">2026-03-27T23:58:41Z</dcterms:created>
  <dcterms:modified xsi:type="dcterms:W3CDTF">2026-04-02T17:14:30Z</dcterms:modified>
  <cp:category/>
  <cp:contentStatus/>
</cp:coreProperties>
</file>